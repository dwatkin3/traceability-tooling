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gbrserco.sharepoint.com/sites/Xanadutesting/Shared Documents/48. Bail ATV/"/>
    </mc:Choice>
  </mc:AlternateContent>
  <xr:revisionPtr revIDLastSave="12073" documentId="13_ncr:1_{A8622756-1F7F-4E8A-AE6B-86AEC5B15DB2}" xr6:coauthVersionLast="47" xr6:coauthVersionMax="47" xr10:uidLastSave="{1F81B3CD-9497-4417-B64E-A14EDCEAB5EF}"/>
  <bookViews>
    <workbookView xWindow="-108" yWindow="-108" windowWidth="23256" windowHeight="13896" tabRatio="566" firstSheet="3" activeTab="3" xr2:uid="{C8155761-8FC3-4314-9FB8-C47B4CC04086}"/>
  </bookViews>
  <sheets>
    <sheet name="Version Control" sheetId="17" r:id="rId1"/>
    <sheet name="Summary" sheetId="3" r:id="rId2"/>
    <sheet name="Install Success Opt1-4" sheetId="1" r:id="rId3"/>
    <sheet name="KPI Enhancements" sheetId="11" r:id="rId4"/>
    <sheet name="March Enhancements" sheetId="12" r:id="rId5"/>
    <sheet name="Alert Regression" sheetId="13" r:id="rId6"/>
    <sheet name="Validation" sheetId="10" state="hidden" r:id="rId7"/>
    <sheet name="Defects" sheetId="14" r:id="rId8"/>
    <sheet name="Sheet1" sheetId="16" state="hidden" r:id="rId9"/>
    <sheet name="OVERALL" sheetId="15" r:id="rId10"/>
  </sheets>
  <definedNames>
    <definedName name="_xlnm._FilterDatabase" localSheetId="4" hidden="1">'March Enhancements'!$A$1:$O$80</definedName>
    <definedName name="_xlnm._FilterDatabase" localSheetId="7" hidden="1">Defects!$A$1:$L$100</definedName>
    <definedName name="_xlnm._FilterDatabase" localSheetId="2" hidden="1">'Install Success Opt1-4'!$A$1:$K$141</definedName>
    <definedName name="_xlnm._FilterDatabase" localSheetId="8" hidden="1">Sheet1!$A$5:$M$34</definedName>
    <definedName name="_xlnm._FilterDatabase" localSheetId="5" hidden="1">'Alert Regression'!$A$1:$K$1</definedName>
    <definedName name="_xlnm._FilterDatabase" localSheetId="3" hidden="1">'KPI Enhancements'!$A$1:$K$1</definedName>
    <definedName name="defect">Validation!$C$1:$C$6</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8" i="3" l="1"/>
  <c r="AD17" i="3"/>
  <c r="AD16" i="3"/>
  <c r="AD15" i="3"/>
  <c r="AD14" i="3"/>
  <c r="AD13" i="3"/>
  <c r="AD12" i="3"/>
  <c r="C39" i="3"/>
  <c r="C38" i="3"/>
  <c r="C37" i="3"/>
  <c r="C36" i="3"/>
  <c r="C35" i="3"/>
  <c r="C34" i="3"/>
  <c r="C33" i="3"/>
  <c r="P18" i="3"/>
  <c r="P17" i="3"/>
  <c r="P16" i="3"/>
  <c r="P15" i="3"/>
  <c r="P14" i="3"/>
  <c r="P13" i="3"/>
  <c r="P12" i="3"/>
  <c r="P39" i="3"/>
  <c r="P38" i="3"/>
  <c r="P37" i="3"/>
  <c r="P36" i="3"/>
  <c r="P35" i="3"/>
  <c r="P34" i="3"/>
  <c r="P33" i="3"/>
  <c r="C18" i="3"/>
  <c r="C17" i="3"/>
  <c r="C16" i="3"/>
  <c r="C15" i="3"/>
  <c r="C14" i="3"/>
  <c r="C13" i="3"/>
  <c r="C12" i="3"/>
  <c r="AD7" i="3"/>
  <c r="AD5" i="3"/>
  <c r="AD9" i="3" s="1"/>
  <c r="AE12" i="15"/>
  <c r="AD6" i="3" l="1"/>
  <c r="AD19" i="3"/>
  <c r="AE13" i="3" s="1"/>
  <c r="P28" i="3"/>
  <c r="P26" i="3"/>
  <c r="C28" i="3"/>
  <c r="C26" i="3"/>
  <c r="P7" i="3"/>
  <c r="P5" i="3"/>
  <c r="AE15" i="3" l="1"/>
  <c r="AE17" i="3"/>
  <c r="AE16" i="3"/>
  <c r="AE12" i="3"/>
  <c r="AE14" i="3"/>
  <c r="AE18" i="3"/>
  <c r="C7" i="3"/>
  <c r="C5" i="3"/>
  <c r="P6" i="3"/>
  <c r="P9" i="3"/>
  <c r="P19" i="3"/>
  <c r="Q18" i="3" s="1"/>
  <c r="C27" i="3"/>
  <c r="P27" i="3"/>
  <c r="C30" i="3"/>
  <c r="P30" i="3"/>
  <c r="C40" i="3"/>
  <c r="D34" i="3" s="1"/>
  <c r="P40" i="3"/>
  <c r="Q36" i="3" s="1"/>
  <c r="C9" i="3" l="1"/>
  <c r="Q34" i="3"/>
  <c r="Q35" i="3"/>
  <c r="Q39" i="3"/>
  <c r="Q38" i="3"/>
  <c r="Q37" i="3"/>
  <c r="Q33" i="3"/>
  <c r="D37" i="3"/>
  <c r="D35" i="3"/>
  <c r="D33" i="3"/>
  <c r="D36" i="3"/>
  <c r="D38" i="3"/>
  <c r="D39" i="3"/>
  <c r="Q17" i="3"/>
  <c r="Q15" i="3"/>
  <c r="Q14" i="3"/>
  <c r="Q13" i="3"/>
  <c r="Q16" i="3"/>
  <c r="Q12" i="3"/>
  <c r="C19" i="3"/>
  <c r="D16" i="3" s="1"/>
  <c r="C6" i="3"/>
  <c r="D12" i="3" l="1"/>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author>
  </authors>
  <commentList>
    <comment ref="J1" authorId="0" shapeId="0" xr:uid="{4EA62F17-08DC-485A-9491-C0A82C8035B6}">
      <text>
        <r>
          <rPr>
            <sz val="10"/>
            <rFont val="Arial"/>
          </rPr>
          <t>Barlow, Beverley:
Open - Draft, WIP, Scoping
Retest - BAT testing
Ready for Prod - retest passed
Training - workaround or info for training
Closed - test data or raised in error
On Hold - in future release</t>
        </r>
      </text>
    </comment>
  </commentList>
</comments>
</file>

<file path=xl/sharedStrings.xml><?xml version="1.0" encoding="utf-8"?>
<sst xmlns="http://schemas.openxmlformats.org/spreadsheetml/2006/main" count="2233" uniqueCount="1283">
  <si>
    <t>Document Information</t>
  </si>
  <si>
    <t>Title</t>
  </si>
  <si>
    <t>Test Execution Log</t>
  </si>
  <si>
    <t>March Release</t>
  </si>
  <si>
    <t>Release Identifier</t>
  </si>
  <si>
    <t>RLSE0010188, RLSE0010214, RLSE0010192</t>
  </si>
  <si>
    <t>Author</t>
  </si>
  <si>
    <t>Beverley Barlow</t>
  </si>
  <si>
    <t>Document Version History</t>
  </si>
  <si>
    <t>Version</t>
  </si>
  <si>
    <t>Date</t>
  </si>
  <si>
    <t>Summary of Changes</t>
  </si>
  <si>
    <t>Draft RLSE0010214</t>
  </si>
  <si>
    <t>Working Copy - RLSE0010188, RLSE0010192 added</t>
  </si>
  <si>
    <t>Test Evidence Repository</t>
  </si>
  <si>
    <t>Test Execution Evidence is stored at this link</t>
  </si>
  <si>
    <t>Link to Test Evidence Repository</t>
  </si>
  <si>
    <t>Scope of Release</t>
  </si>
  <si>
    <t>This release implements a Servicenow upgrade</t>
  </si>
  <si>
    <t>Defect/Story ID</t>
  </si>
  <si>
    <t>Type</t>
  </si>
  <si>
    <t>Details</t>
  </si>
  <si>
    <t>STRY0089352</t>
  </si>
  <si>
    <t>Enhancement</t>
  </si>
  <si>
    <t>2nd WOT creation for Install at source / Tag at source fields</t>
  </si>
  <si>
    <t>STRY0089363</t>
  </si>
  <si>
    <t>Label change to Enforcement Action</t>
  </si>
  <si>
    <t>STRY0085912</t>
  </si>
  <si>
    <t>Visibility of HMU phone number within the mobile app view of the WOT</t>
  </si>
  <si>
    <t>STRY0085923</t>
  </si>
  <si>
    <t>Visibility of device wearer's mobile phone number within the mobile app view of the WOT</t>
  </si>
  <si>
    <t>STRY0085924</t>
  </si>
  <si>
    <t>Ability to make a call from within a WOT within the mobile applications</t>
  </si>
  <si>
    <t>STRY0085928</t>
  </si>
  <si>
    <t>Ability to make a call from within a WOT within the mobile applications to HMU</t>
  </si>
  <si>
    <t>STRY0085930</t>
  </si>
  <si>
    <t>Ability to mask FMO's phone number when calling DW from within the mobile application</t>
  </si>
  <si>
    <t>STRY0085931</t>
  </si>
  <si>
    <t>Record outcome of phone call made from within the mobile application</t>
  </si>
  <si>
    <t>STRY0086297</t>
  </si>
  <si>
    <t>New order playbook - additional steps - verify contact information</t>
  </si>
  <si>
    <t>STRY0086298</t>
  </si>
  <si>
    <t>New order playbook - additional steps - contact device wearer on order entry</t>
  </si>
  <si>
    <t>STRY0086330</t>
  </si>
  <si>
    <t>Ensure WOTs that need attention are highlighted to schedules</t>
  </si>
  <si>
    <t>STRY0086400</t>
  </si>
  <si>
    <t>Visually displaying a WOT that needs attention in the list view</t>
  </si>
  <si>
    <t>STRY0086404</t>
  </si>
  <si>
    <t>Text Response' field on the WOT</t>
  </si>
  <si>
    <t>STRY0087281</t>
  </si>
  <si>
    <t>Update to Nudge templates</t>
  </si>
  <si>
    <t>STRY0087283</t>
  </si>
  <si>
    <t>Call outcome choices</t>
  </si>
  <si>
    <t>STRY0087287</t>
  </si>
  <si>
    <t>Mandatory Free text box for some Call outcome choices</t>
  </si>
  <si>
    <t>STRY0087291</t>
  </si>
  <si>
    <t>Not allowing FMO to accept job before completing call outcome</t>
  </si>
  <si>
    <t>STRY0087294</t>
  </si>
  <si>
    <t>Auto listing call outcome as no number listed</t>
  </si>
  <si>
    <t>STRY0087295</t>
  </si>
  <si>
    <t>Moving WOT back to pending dispatch if Call outcome was unavailable</t>
  </si>
  <si>
    <t>STRY0087296</t>
  </si>
  <si>
    <t>Option to update contact details on agent app</t>
  </si>
  <si>
    <t>STRY0089373</t>
  </si>
  <si>
    <t>Text message to device wearer for New monitoring order</t>
  </si>
  <si>
    <t>STRY0089394</t>
  </si>
  <si>
    <t>Text to device wearer 1st install on assignment</t>
  </si>
  <si>
    <t>STRY0089397</t>
  </si>
  <si>
    <t>Text to device wearer for 2nd/3rd install on assignment</t>
  </si>
  <si>
    <t>STRY0089398</t>
  </si>
  <si>
    <t>FMO travel text message for installs</t>
  </si>
  <si>
    <t>STRY0089399</t>
  </si>
  <si>
    <t>Text message to Device wearer when Decomm WOT is assigned</t>
  </si>
  <si>
    <t>STRY0089400</t>
  </si>
  <si>
    <t>FMO travel text message - Decomms</t>
  </si>
  <si>
    <t>STRY0089401</t>
  </si>
  <si>
    <t>Text message to Device wearer for tamper visits when the task is assigned - Curfew</t>
  </si>
  <si>
    <t>STRY0089402</t>
  </si>
  <si>
    <t>Text message to Device wearer for tamper visits when the task is assigned - no Curfew</t>
  </si>
  <si>
    <t>STRY0089403</t>
  </si>
  <si>
    <t>FMO Travel text - tampers</t>
  </si>
  <si>
    <t>STRY0089404</t>
  </si>
  <si>
    <t>FMO Travel text - Other visits</t>
  </si>
  <si>
    <t>STRY0089405</t>
  </si>
  <si>
    <t>Text to device wearer when visit is assigned - other visits - curfew</t>
  </si>
  <si>
    <t>STRY0089406</t>
  </si>
  <si>
    <t>Text to device wearer when visit is assigned - other visits - NON-curfew</t>
  </si>
  <si>
    <t>Install Success Opt1-4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</si>
  <si>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</si>
  <si>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</si>
  <si>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</si>
  <si>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</si>
  <si>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</si>
  <si>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</si>
  <si>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</si>
  <si>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</si>
  <si>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</si>
  <si>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</si>
  <si>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</si>
  <si>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</si>
  <si>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</si>
  <si>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</si>
  <si>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</si>
  <si>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</si>
  <si>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March Enhancements DASHBOARD</t>
  </si>
  <si>
    <t>KPI Enhancements DASHBOARD</t>
  </si>
  <si>
    <t>Test ID</t>
  </si>
  <si>
    <t>Test Scenario</t>
  </si>
  <si>
    <t>Test Steps</t>
  </si>
  <si>
    <t>Outcome Expected</t>
  </si>
  <si>
    <t># of Steps</t>
  </si>
  <si>
    <t>Completed Steps</t>
  </si>
  <si>
    <t>Status</t>
  </si>
  <si>
    <t>Notes</t>
  </si>
  <si>
    <t>Data notes</t>
  </si>
  <si>
    <t>Tested by</t>
  </si>
  <si>
    <t>Story</t>
  </si>
  <si>
    <t>IS157</t>
  </si>
  <si>
    <t>Adult - Text message not sent to device wearer for Specials New Monitoring Order Cases</t>
  </si>
  <si>
    <t>1. create a new interaction
2. create a new device wearer (with mobile number)
3. create a new monitoring order case
4. create work order
5. create work order task
6. SMS will not send to the device wearer</t>
  </si>
  <si>
    <t>SMS will not be sent to the device wearer following the creation of the new monitoring order case</t>
  </si>
  <si>
    <t>SPECIALS REGRESSION</t>
  </si>
  <si>
    <t>IS158</t>
  </si>
  <si>
    <t>Adult - text message not sent to device wearer when install 1st attempt WOT is assigned to FMO</t>
  </si>
  <si>
    <t xml:space="preserve">1. assign install 1st attempt WOT (created in IS157) to FMO
2. sms will not send to the device wearer
3. check work notes of WOT to ensure sms not sent
</t>
  </si>
  <si>
    <t>SMS will not be sent to the device wearer following a WOT being assigned to an fmo</t>
  </si>
  <si>
    <t>continued from IS157</t>
  </si>
  <si>
    <t>IS159</t>
  </si>
  <si>
    <t>Adult - text message not sent to device wearer when FMO starts travel</t>
  </si>
  <si>
    <t>1. FMO receives install 1st attempt WOT (assigned in IS158)
2. FMO selects accept on their agent app
3. FMO selects start travel on their agent app
4. state of WOT updates to 'on route'
5. SMS will not send to the device wearer
6. check work notes of WOT to ensure SMS not sent</t>
  </si>
  <si>
    <t>SMS will not be sent to the device wearer following an fmo selecting 'start travel' on their app</t>
  </si>
  <si>
    <t>continued from IS158</t>
  </si>
  <si>
    <t>IS160</t>
  </si>
  <si>
    <t>Adult - text message not sent to device wearer when decom WOT is assigned to FMO</t>
  </si>
  <si>
    <t xml:space="preserve">1. create decom WOT
2. assign install decom WOT to FMO
3. SMS will not send to the device wearer
4. check work notes of WOT to ensure SMS not sent
</t>
  </si>
  <si>
    <t>IS161</t>
  </si>
  <si>
    <t>1. FMO receives decom WOT (assigned in IS160)
2. FMO selects accept on their agent app
3. FMO selects start travel on their agent app
4. state of WOT updates to 'on route'
5. SMS will not send to the device wearer
6. check work notes of WOT to ensure SMS not sent</t>
  </si>
  <si>
    <t>continued from IS160</t>
  </si>
  <si>
    <t>IS162</t>
  </si>
  <si>
    <t>Adult - text message not sent to device wearer when tamper WOT is assigned to FMO</t>
  </si>
  <si>
    <t xml:space="preserve">1. create tamper WOT
2. assign install tamper WOT to FMO
2. SMS will not send to the device wearer
3. check work notes of WOT to ensure SMS not sent
</t>
  </si>
  <si>
    <t>IS163</t>
  </si>
  <si>
    <t>1. FMO receives tamper WOT (assigned in IS162)
2. FMO selects accept on their agent app
3. FMO selects start travel on their agent app
4. state of WOT updates to 'on route'
5. SMS will not send to the device wearer
6. check work notes of WOT to ensure SMS not sent</t>
  </si>
  <si>
    <t>continued from IS163</t>
  </si>
  <si>
    <t>IS01</t>
  </si>
  <si>
    <t>1.Create a new order
2. Install HMU &amp; SOLO 
3. Ensure HMU number is in the 'Contact Devices' field in Device Wearer
4.Create an equipment check WOT
5. Assign WOT to FMO
6. FMO receives WOT on Agent App
7. Ensure HMU phone number is displayed on the WOT information</t>
  </si>
  <si>
    <t>Correct HMU phone number displays on the WOT  - Ensure HMU phone number matches the HMU phone number that is installed at the WOT address</t>
  </si>
  <si>
    <t>IS02</t>
  </si>
  <si>
    <t>Visibility of Device Wearer's mobile phone number within the mobile app view of the WOT</t>
  </si>
  <si>
    <t>1. Create a new order 
2. Ensure Device Wearer's mobile number is in the mobile phone field in Device Wearer
3.Create an install WOT
4. Assign WOT to FMO
5. FMO receives WOT on Agent App
6. Ensure DW mobile phone number is displayed on the WOT information</t>
  </si>
  <si>
    <t>Device Wearer's phone number displays on the WOT  - Ensure phone number matches the phone number on the Device Wearer's profile</t>
  </si>
  <si>
    <t>IS03</t>
  </si>
  <si>
    <t>1. Create a new order 
2. Ensure Device Wearer's mobile number is in the mobile phone field in Device Wearer
3.Create an install WOT
4. Assign WOT to FMO
5. FMO receives WOT on Agent App
6. DW mobile phone number visible
7. Option to call displayed at the right of the DW mobile phone number
8. FMO selects the option to call
9. Phone call to DW starts
10. Phone call recorded in the 'activity' section of the WOT</t>
  </si>
  <si>
    <t>FMOs will have the option to call the mobile phone that is displayed on the agent app - call will then be made to the Device Wearer
Phone call will then be recorded in the activity within the WOT</t>
  </si>
  <si>
    <t>IS04</t>
  </si>
  <si>
    <t>1. Install HMU &amp; SOLO 
2. Ensure HMU number is in the 'Contact Devices' field in Device Wearer
3.Create an equipment check WOT
4. Assign WOT to FMO
5. FMO receives WOT on Agent App
6. HMU phone number visible
7. Option to call displayed at the right of the HMU phone number
8. FMO selects the option to call
9. Phone call to DW'S HMU starts
10. Phone call recorded in the 'activity' section of the WOT</t>
  </si>
  <si>
    <t>FMOs will have the option to call the HMU phone number that is displayed on the agent app - call will then be made to the Device Wearer's HMU
Phone call will then be recorded in the activity within the WOT</t>
  </si>
  <si>
    <t>IS05</t>
  </si>
  <si>
    <t>Ability to mask FMO's phone number when calling DW from within the mobile application
Part 1 - HMU</t>
  </si>
  <si>
    <t>1. FMO assigned WOT
2. HMU phone number visible
3. Option to call displayed at the right of the HMU phone number
4. FMO selects the option to call
5. Phone call to DW's HMU starts
6. Device Wearer receives call from withheld number</t>
  </si>
  <si>
    <t>Device Wearers will not see the FMOs phone number when the FMO calls</t>
  </si>
  <si>
    <t>IS06</t>
  </si>
  <si>
    <t>Ability to mask FMO's phone number when calling DW from within the mobile application
Part 2 - Mobile</t>
  </si>
  <si>
    <t>1. FMO assigned WOT
2. DW mobile phone number visible
3. Option to call displayed at the right of the mobile number
4. FMO selects the option to call
5. Phone call to DW's mobile number starts
6. Device Wearer receives call from withheld number</t>
  </si>
  <si>
    <t>IS07</t>
  </si>
  <si>
    <t>Record outcome of phone call made from within the mobile application
Part 1 - Call Unanswered</t>
  </si>
  <si>
    <t>1. FMO assigned WOT
2. HMU phone number / mobile number visible
3. FMO selects the option to call
5. Phone call to HMU / Mobile starts
6. Device Wearer receives call from withheld number
7. Call not answered
8. FMO selects Call Outcome - 'Call Unanswered'</t>
  </si>
  <si>
    <t xml:space="preserve">FMO records outcome of the phone call  - 'Call unanswered' </t>
  </si>
  <si>
    <t>linked to IS15</t>
  </si>
  <si>
    <t>STRY0085931 / STRY0087283</t>
  </si>
  <si>
    <t>IS08</t>
  </si>
  <si>
    <t>Record outcome of phone call made from within the mobile application
Part 2 - Call Answered - Available</t>
  </si>
  <si>
    <t>1. FMO assigned WOT
2. HMU phone number / mobile number visible
3. FMO selects the option to call
5. Phone call to HMU / Mobile starts
6. Device Wearer receives call from witheld number
7. Call answered - Device Wearer confirmed they are available
8. FMO selects Call Outcome - 'Call Answered-Available'</t>
  </si>
  <si>
    <t xml:space="preserve">FMO records outcome of the phone call with the Device Wearer - 'Call answered-available' </t>
  </si>
  <si>
    <t>linked to IS16</t>
  </si>
  <si>
    <t>IS09</t>
  </si>
  <si>
    <t>Record outcome of phone call made from within the mobile application
Part 3 - Call Answered - Device Wearer unavailable</t>
  </si>
  <si>
    <t>1. FMO assigned WOT
2. HMU phone number / Mobile visible
3. FMO selects the option to call
5. Phone call to HMU / Mobile starts
6. Device Wearer receives call from withheld number
7. Call answered - Device Wearer confirmed they are not available
8. FMO selects Call Outcome - 'Call Answered-Device Wearer unavailable'</t>
  </si>
  <si>
    <t xml:space="preserve">FMO records outcome of the phone call with the Device Wearer - 'call answered-device wearer unavailable' </t>
  </si>
  <si>
    <t>linked to IS13</t>
  </si>
  <si>
    <t>IS10</t>
  </si>
  <si>
    <t>Record outcome of phone call made from within the mobile application
Part 4 - Call Unanswered - Voicemail left</t>
  </si>
  <si>
    <t>1. FMO assigned WOT
2. HMU phone number / Mobile visible
3. FMO selects the option to call
5. Phone call to HMU / Mobile starts
6. Device Wearer receives call from withheld number
7. Call not answered - FMO leaves voicemail
8. FMO selects Call Outcome - 'Call unanswered - voicemail left'</t>
  </si>
  <si>
    <t xml:space="preserve">FMO records outcome of the phone call - 'call unanswered - voicemail left' </t>
  </si>
  <si>
    <t>linked to IS17</t>
  </si>
  <si>
    <t>IS11</t>
  </si>
  <si>
    <t>Record outcome of phone call made from within the mobile application
Part 5 - Call Answered - other</t>
  </si>
  <si>
    <t>1. FMO assigned WOT
2. HMU phone number / Mobile visible
3. FMO selects the option to call
5. Phone call to HMU / Mobile starts
6. Device Wearer receives call from withheld number
7. Call answered - Device Wearer refused access
8. FMO selects Call Outcome - 'Call Answered-other'</t>
  </si>
  <si>
    <t xml:space="preserve">FMO records outcome of the phone call with the Device Wearer - 'Call answered-other' </t>
  </si>
  <si>
    <t>linked to IS14</t>
  </si>
  <si>
    <t>IS12</t>
  </si>
  <si>
    <t>Record outcome of phone call made from within the mobile application
Part 6 - No number listed</t>
  </si>
  <si>
    <t>1. FMO assigned WOT
2. No HMU phone number / Mobile visible
3. FMO unable to select option to call
4. Call Outcome prepopulated as 'No number listed'</t>
  </si>
  <si>
    <t>Call outcome prepopulated as 'No number listed'</t>
  </si>
  <si>
    <t>linked to IS18 &amp; IS24</t>
  </si>
  <si>
    <t>IS31</t>
  </si>
  <si>
    <t>New order playbook - additional steps - verify contact information
Non-CEMO - Adult - Bail</t>
  </si>
  <si>
    <t>1. create a new interaction
2. create a new device wearer
3. create a new monitoring case
4. follow the playbook - after the 'Check Device Wearer attributes received are accurate..' playbook step, ensure a new playbook section 'Contact Number Review appears
5. ensure new playbook step 'Confirm Contact Details' appears
6. ensure correct device wearer displays
7. update the mobile number field
8. enter a work note in the 'work notes' field
9. select 'update'
10. check mobile phone field on the device wearer - ensure this has updated
11. select 'mark complete' on the playbook step</t>
  </si>
  <si>
    <t>New playbook step 'confirm contact details' appears in the New Monitoring Order case playbook</t>
  </si>
  <si>
    <t>IS32</t>
  </si>
  <si>
    <t>New order playbook - additional steps - verify contact information
Non-CEMO - Adult - Non-Bail</t>
  </si>
  <si>
    <t>IS33</t>
  </si>
  <si>
    <t>New order playbook - additional steps - verify contact information
Non-CEMO - Adult - Immigration</t>
  </si>
  <si>
    <t>IS34</t>
  </si>
  <si>
    <t>New order playbook - additional steps - verify contact information
Non-CEMO - Adult - Alcohol</t>
  </si>
  <si>
    <t>IS35</t>
  </si>
  <si>
    <t>New order playbook - additional steps - verify contact information
Non-CEMO - Adult - Acquisitive Crime</t>
  </si>
  <si>
    <t>IS36</t>
  </si>
  <si>
    <t>New order playbook - additional steps - verify contact information
Non-CEMO - Child - Bail</t>
  </si>
  <si>
    <t>IS37</t>
  </si>
  <si>
    <t>New order playbook - additional steps - verify contact information
Non-CEMO - Child - Non-Bail</t>
  </si>
  <si>
    <t>IS38</t>
  </si>
  <si>
    <t>New order playbook - additional steps - verify contact information
CEMO - Adult - Post release</t>
  </si>
  <si>
    <t>IS39</t>
  </si>
  <si>
    <t>New order playbook - additional steps - verify contact information
CEMO - Adult - Immigration</t>
  </si>
  <si>
    <t>IS40</t>
  </si>
  <si>
    <t>New order playbook - additional steps - verify contact information
CEMO - Adult - DAPO</t>
  </si>
  <si>
    <t>IS41</t>
  </si>
  <si>
    <t>New order playbook - additional steps - verify contact information
CEMO - Child - Post release</t>
  </si>
  <si>
    <t>IS42</t>
  </si>
  <si>
    <t>New order playbook - additional steps - contact device wearer on order entry
Non-CEMO - Adult - Bail</t>
  </si>
  <si>
    <t>1. create a new interaction
2. create a new device wearer
3. create a new monitoring case
4. follow the playbook - after the 'Parts required' playbook step, ensure a new playbook step 'Contact Device Wearer' appears
5. select 'skip' button</t>
  </si>
  <si>
    <t>New playbook step 'contact device wearer' appears in the New Monitoring Order case playbook</t>
  </si>
  <si>
    <t>continuing from IS31</t>
  </si>
  <si>
    <t>IS43</t>
  </si>
  <si>
    <t>New order playbook - additional steps - contact device wearer on order entry
Non-CEMO - Adult - Non-bail</t>
  </si>
  <si>
    <t>continuing from IS32</t>
  </si>
  <si>
    <t>IS44</t>
  </si>
  <si>
    <t>New order playbook - additional steps - contact device wearer on order entry
Non-CEMO - Adult - Immigration</t>
  </si>
  <si>
    <t>continuing from IS33</t>
  </si>
  <si>
    <t>IS45</t>
  </si>
  <si>
    <t>New order playbook - additional steps - contact device wearer on order entry
Non-CEMO - Adult - Alcohol</t>
  </si>
  <si>
    <t>continuing from IS34</t>
  </si>
  <si>
    <t>IS46</t>
  </si>
  <si>
    <t>New order playbook - additional steps - contact device wearer on order entry
Non-CEMO - Adult - Acquisitive Crime</t>
  </si>
  <si>
    <t>continuing from IS35</t>
  </si>
  <si>
    <t>IS47</t>
  </si>
  <si>
    <t>New order playbook - additional steps - contact device wearer on order entry
Non-CEMO - Child - Bail</t>
  </si>
  <si>
    <t>continuing from IS36</t>
  </si>
  <si>
    <t>IS48</t>
  </si>
  <si>
    <t>New order playbook - additional steps - contact device wearer on order entry
Non-CEMO - Child - Non Bail</t>
  </si>
  <si>
    <t>continuing from IS37</t>
  </si>
  <si>
    <t>IS49</t>
  </si>
  <si>
    <t>New order playbook - additional steps - contact device wearer on order entry
CEMO - Adult - Post release</t>
  </si>
  <si>
    <t>continuing from IS38</t>
  </si>
  <si>
    <t>IS50</t>
  </si>
  <si>
    <t>continuing from IS39</t>
  </si>
  <si>
    <t>IS51</t>
  </si>
  <si>
    <t>continuing from IS40</t>
  </si>
  <si>
    <t>IS52</t>
  </si>
  <si>
    <t>New order playbook - additional steps - contact device wearer on order entry
CEMO - Child - Post release</t>
  </si>
  <si>
    <t>continuing from IS41</t>
  </si>
  <si>
    <t>IS53</t>
  </si>
  <si>
    <t>Text Response' field on the WOT
Adult Install WOT</t>
  </si>
  <si>
    <t>1. create an install WOT
2. assign WOT to FMO
3. SMS sent to device wearer
4. device wearer replies to SMS
5. ensure new field 'Text Response' appears in the WOT
6. ensure the device wearers response populates in the 'text response' field
7. ensure the date &amp; time the response was received also populates in the 'text response' field</t>
  </si>
  <si>
    <t>Device wearer's SMS response populates in the 'text response' field along with the date &amp; time the response was sent</t>
  </si>
  <si>
    <t>IS54</t>
  </si>
  <si>
    <t>Text Response' field on the WOT
Child Install WOT</t>
  </si>
  <si>
    <t>IS55</t>
  </si>
  <si>
    <t>Text Response' field on the WOT
Adult Decom WOT</t>
  </si>
  <si>
    <t>1. create a decom WOT
2. assign WOT to FMO
3. sms sent to device wearer
4. device wearer replies to sms
5. ensure new field 'Text Response' appears in the WOT
6. ensure the device wearers response populates in the 'text response' field
7. ensure the date &amp; time the response was received also populates in the 'text response' field</t>
  </si>
  <si>
    <t>Device wearer's sms response populates in the 'text response' field along with the date &amp; time the response was sent</t>
  </si>
  <si>
    <t>IS56</t>
  </si>
  <si>
    <t>Text Response' field on the WOT
Child Decom WOT</t>
  </si>
  <si>
    <t>1. create a decom WOT
2. assign WOT to FMO
3. SMS sent to device wearer
4. device wearer replies to SMS
5. ensure new field 'Text Response' appears in the WOT
6. ensure the device wearers response populates in the 'text response' field
7. ensure the date &amp; time the response was received also populates in the 'text response' field</t>
  </si>
  <si>
    <t>IS57</t>
  </si>
  <si>
    <t>Text Response' field on the WOT
Adult Tamper WOT</t>
  </si>
  <si>
    <t>1. create a tamper WOT
2. assign WOT to FMO
3. SMS sent to device wearer
4. device wearer replies to SMS
5. ensure new field 'Text Response' appears in the WOT
6. ensure the device wearers response populates in the 'text response' field
7. ensure the date &amp; time the response was received also populates in the 'text response' field</t>
  </si>
  <si>
    <t>IS58</t>
  </si>
  <si>
    <t>Text Response' field on the WOT
Child Tamper WOT</t>
  </si>
  <si>
    <t>IS13</t>
  </si>
  <si>
    <t>Mandatory Free text box for some Call outcome choices
Call Answered - Device Wearer Unavailable</t>
  </si>
  <si>
    <t>1. FMO assigned WOT
2. HMU phone number / Mobile visible
3. FMO selects the option to call
5. Phone call to HMU / Mobile starts
6. Device Wearer receives call from withheld number
7. Call answered - Device Wearer confirmed they are not available
8. FMO selects Call Outcome - 'Call Answered-Device Wearer unavailable'
9. 'Order Reason' field is mandatory</t>
  </si>
  <si>
    <t>FMO records outcome of the phone call with the Device Wearer - 'call answered-device wearer unavailable'  - free text box field 'Order Reason' is mandatory</t>
  </si>
  <si>
    <t>continued from IS09</t>
  </si>
  <si>
    <t>IS14</t>
  </si>
  <si>
    <t>Mandatory Free text box for some Call outcome choices
Call Answered - Other</t>
  </si>
  <si>
    <t>1. FMO assigned WOT
2. HMU phone number / Mobile visible
3. FMO selects the option to call
5. Phone call to HMU / Mobile starts
6. Device Wearer receives call from withheld number
7. Call answered - Device Wearer refused access
8. FMO selects Call Outcome - 'Call Answered-other'
9. 'Order Reason' field is mandatory</t>
  </si>
  <si>
    <t>FMO records outcome of the phone call with the Device Wearer - 'call answered-other'  - free text box field 'Order Reason' is mandatory</t>
  </si>
  <si>
    <t>continued from IS11</t>
  </si>
  <si>
    <t>IS15</t>
  </si>
  <si>
    <t>Mandatory Free text box for some Call outcome choices
Call unanswered</t>
  </si>
  <si>
    <t>1. FMO assigned WOT
2. HMU phone number / Mobile visible
3. FMO selects the option to call
5. Phone call to HMU / Mobile starts
6. Device Wearer receives call from withheld number
7. Call unanswered
8. FMO selects Call Outcome - 'Call unanswered'
9. 'Order Reason' field is not mandatory</t>
  </si>
  <si>
    <t>FMO records outcome of the phone call with the Device Wearer - 'call unanswered'  - free text box field 'Order Reason' is not mandatory</t>
  </si>
  <si>
    <t>continued from IS07</t>
  </si>
  <si>
    <t>IS16</t>
  </si>
  <si>
    <t>Mandatory Free text box for some Call outcome choices
Call Answered-Available</t>
  </si>
  <si>
    <t>1. FMO assigned WOT
2. HMU phone number / Mobile visible
3. FMO selects the option to call
5. Phone call to HMU / Mobile starts
6. Device Wearer receives call from witheld number
7. Call answered - Device Wearer confirmed they are available
8. FMO selects Call Outcome - 'Call Answered-Available'
9. 'Order Reason' field is not mandatory</t>
  </si>
  <si>
    <t>FMO records outcome of the phone call with the Device Wearer - 'call answered-available'  - free text box field 'Order Reason' is not mandatory</t>
  </si>
  <si>
    <t>continued from IS08</t>
  </si>
  <si>
    <t>IS17</t>
  </si>
  <si>
    <t>Mandatory Free text box for some Call outcome choices
Call Unanswered - Voicemail left</t>
  </si>
  <si>
    <t>1. FMO assigned WOT
2. HMU phone number / Mobile visible
3. FMO selects the option to call
5. Phone call to HMU / Mobile starts
6. Device Wearer receives call from withheld number
7. Call unanswered
8. FMO leaves voicemail
9. FMO selects Call Outcome - 'Call Unanswered-voicemail left'
10. 'Order Reason' field is not mandatory</t>
  </si>
  <si>
    <t>FMO records outcome of the phone call - 'call unanswered-voicemail left'  - free text box field 'Order Reason' is not mandatory</t>
  </si>
  <si>
    <t>continued from IS10</t>
  </si>
  <si>
    <t>IS18</t>
  </si>
  <si>
    <t>Mandatory Free text box for some Call outcome choices
No Number Listed</t>
  </si>
  <si>
    <t>1. FMO assigned WOT
2. No HMU phone number / Mobile visible
3. FMO unable to select option to call
4. Call Outcome prepopulated as 'No number listed'
5. 'Order Reason' field is not mandatory</t>
  </si>
  <si>
    <t>continued from IS12</t>
  </si>
  <si>
    <t>IS19</t>
  </si>
  <si>
    <t>Not allowing FMO to accept job before completing call outcome
Install WOT</t>
  </si>
  <si>
    <t>1. create install 1st attempt WOT &amp; qualify
2. FMO assigned WOT
3. FMO does not populate call outcome field
4. FMO selects 'Accept'
5. Error message appears</t>
  </si>
  <si>
    <t>FMO unable to accept WOT when the 'call outcome field' is not populated</t>
  </si>
  <si>
    <t>IS20</t>
  </si>
  <si>
    <t>Not allowing FMO to accept job before completing call outcome
Decom WOT</t>
  </si>
  <si>
    <t>1. create decom WOT &amp; qualify
2. FMO assigned WOT
3. FMO does not populate call outcome field
4. FMO selects 'Accept'
5. Error message appears</t>
  </si>
  <si>
    <t>IS21</t>
  </si>
  <si>
    <t>Not allowing FMO to accept job before completing call outcome
Tamper WOT</t>
  </si>
  <si>
    <t>1. create tamper WOT &amp; qualify
2. FMO assigned WOT
3. FMO does not populate call outcome field
4. FMO selects 'Accept'
5. Error message appears</t>
  </si>
  <si>
    <t>IS22</t>
  </si>
  <si>
    <t>Not allowing FMO to accept job before completing call outcome
Equipment Check WOT</t>
  </si>
  <si>
    <t>1. create equipment check WOT &amp; qualify
2. FMO assigned WOT
3. FMO does not populate call outcome field
4. FMO selects 'Accept'
5. Error message appears</t>
  </si>
  <si>
    <t>IS23</t>
  </si>
  <si>
    <t>Not allowing FMO to accept job before completing call outcome
Planned Maintenance WOT</t>
  </si>
  <si>
    <t>1. create planned maintenance WOT &amp; qualify
2. FMO assigned WOT
3. FMO does not populate call outcome field
4. FMO selects 'Accept'
5. Error message appears</t>
  </si>
  <si>
    <t>IS24</t>
  </si>
  <si>
    <t>1. create a device wearer with no contact number
2. create install WOT
3. FMO assigned WOT
4. 'Call outcome field' prepopulated with 'no number listed'
5. FMO able to accept WOT</t>
  </si>
  <si>
    <t>Call outcome field prepopulated with 'no number listed' - FMO able to accept WOT</t>
  </si>
  <si>
    <t>IS25</t>
  </si>
  <si>
    <t>Moving WOT back to pending dispatch if Call outcome was unavailable
Install WOT</t>
  </si>
  <si>
    <t>1. FMO assigned WOT
2. Select 'call outcome field' as 'Call answered - device wearer unavailable'
3. Add comments to Mandatory free text box
4. State of WOT updates to Pending Dispatch
5. WOT unassigned from FMO
6. WOT flagged as 'needs attention'</t>
  </si>
  <si>
    <t>FMO populates call outcome field as 'call answered-device wearer unavailable' - WOT moves back to a state of Pending Dispatch, WOT no longer assigned to FMO</t>
  </si>
  <si>
    <t xml:space="preserve">STRY0087295 </t>
  </si>
  <si>
    <t>IS26</t>
  </si>
  <si>
    <t>Moving WOT back to pending dispatch if Call outcome was unavailable
Decom WOT</t>
  </si>
  <si>
    <t>IS27</t>
  </si>
  <si>
    <t>Moving WOT back to pending dispatch if Call outcome was unavailable
Tamper WOT</t>
  </si>
  <si>
    <t>IS28</t>
  </si>
  <si>
    <t>Moving WOT back to pending dispatch if Call outcome was unavailable
Equipment Check WOT</t>
  </si>
  <si>
    <t>IS29</t>
  </si>
  <si>
    <t>Moving WOT back to pending dispatch if Call outcome was unavailable
Planned Maintenance WOT</t>
  </si>
  <si>
    <t>IS30</t>
  </si>
  <si>
    <t>1. FMO assigned WOT
2. Select Accept WOT
3. Select Start Travel
4. Select Start Work
5. Update Device Wearer's personal mobile number
6. Check if Device Wearer's mobile number has been updated on SNOW
7. Update Device Wearer's personal email address
8. Check if Device Wearer's email address has been updated on SNOW</t>
  </si>
  <si>
    <t>FMO can update the Device Wearer's mobile number &amp; personal email address</t>
  </si>
  <si>
    <t>IS59</t>
  </si>
  <si>
    <t>Adult - Text message to device wearer for New monitoring order</t>
  </si>
  <si>
    <t>1. create a new interaction
2. create a new device wearer (with mobile number)
3. create a new monitoring order case
4. follow the playbook steps as normal until you get to 'physical visit required?' step
5. for the 'physical visit required?' step - select 'yes'
6. SMS will send to the device wearer</t>
  </si>
  <si>
    <t>SMS will be sent to the device wearer following the agent selecting 'yes' for the 'physical visit required?' playbook step
Content of SMS will be as below;
'Hello [name]. We are contacting you from the Electronic Monitoring Service to let you know that we have been made aware of your monitoring order. We will shortly be in touch with a further text to inform you of when we will be visiting you to fit your monitoring device. Failure to be available as arranged will be notified to your responsible agency/officer as a violation which could lead to enforcement action. Thank you for your co-operation.'</t>
  </si>
  <si>
    <t>IS61</t>
  </si>
  <si>
    <t>Adult - Text to device wearer 1st install on assignment
Part 1</t>
  </si>
  <si>
    <t>1. use the install 1st attempt WOT created in IS59 &amp; qualify the WOT
2. assign the install WOT to an FMO
3. SMS will send to the device wearer</t>
  </si>
  <si>
    <t>SMS will be sent to the device wearer following the install 1st attempt WOT being assigned to an FMO
Content of SMS will be as below;
'Hello [name]. An officer from the Electronic Monitoring Service will visit you today to fit your monitoring device. This will take place any time before [insert time here] and within your curfew/installation hours. Failure to be available as arranged will be notified to your responsible agency/officer as a violation which could lead to enforcement action. Please secure any pets during the visit. Thank you for your co-operation.'</t>
  </si>
  <si>
    <t>linked to IS59</t>
  </si>
  <si>
    <t>IS62</t>
  </si>
  <si>
    <t>Adult - Text to device wearer 1st install on assignment
Part 2</t>
  </si>
  <si>
    <t>1. remove the install 1st attempt WOT (IS61) from the FMO
2. reassign the install WOT to a different FMO (same day)
3. SMS (detailed in the Outcome Expected for IS61) should not be sent again</t>
  </si>
  <si>
    <t>Re-assignment of the install 1st attempt WOT on the same day it was originally assigned will not generate another SMS to be sent
no more than one of these texts will be sent a day</t>
  </si>
  <si>
    <t>continuing from IS61</t>
  </si>
  <si>
    <t>IS63</t>
  </si>
  <si>
    <t>Adult - Text to device wearer 1st install on assignment
Part 3</t>
  </si>
  <si>
    <t>1. remove the install 1st attempt WOT (IS62) from the FMO
2. wait until the next day
3. re-assign the install WOT to an FMO
4. SMS will send to the device wearer</t>
  </si>
  <si>
    <t>Re-assignment of the install 1st attempt WOT the day after it was originally assigned will generate another SMS to be sent</t>
  </si>
  <si>
    <t>continuing from IS62</t>
  </si>
  <si>
    <t>IS69</t>
  </si>
  <si>
    <t>Adult - Text to device wearer for 2nd/3rd install on assignment
Part 1</t>
  </si>
  <si>
    <t>1. generate an install 2nd attempt
2. assign the install WOT to an FMO
3. SMS sent to the device wearer</t>
  </si>
  <si>
    <t>SMS will be sent to the device wearer following the install 2nd attempt WOT being assigned to an FMO
Content of SMS will be as below;
Hello [name]. An officer from the Electronic Monitoring Service visited you [today/yesterday] to fit your monitoring device but you were not available. We will visit again today. The visit will take place at any time before [insert time here] and within your curfew/installation hours. Failure to be available as arranged will be notified to your responsible agency/officer as a violation which could lead to enforcement action. Please secure any pets during the visit. Thank you for your co-operation.</t>
  </si>
  <si>
    <t>continuing from IS67 (following no show)</t>
  </si>
  <si>
    <t>IS70</t>
  </si>
  <si>
    <t>Adult - Text to device wearer for 2nd/3rd install on assignment
Part 2</t>
  </si>
  <si>
    <t>1. remove the install 2nd attempt WOT (IS69) from the FMO
2. reassign the install WOT to a different FMO (same day)
3. SMS (detailed in the Outcome Expected for IS69) should not be sent again</t>
  </si>
  <si>
    <t>Re-assignment of the install 2nd attempt WOT on the same day it was originally assigned will not generate another SMS to be sent
no more than one of these texts will be sent a day</t>
  </si>
  <si>
    <t>continuing from IS69</t>
  </si>
  <si>
    <t>IS71</t>
  </si>
  <si>
    <t>Adult - Text to device wearer for 2nd/3rd install on assignment
Part 3</t>
  </si>
  <si>
    <t>1. remove the install 2nd attempt WOT (IS69) from the FMO
2. wait until the next day
3. re-assign the install WOT to an FMO
4. SMS will send to the device wearer</t>
  </si>
  <si>
    <t>Re-assignment of the install 2nd attempt WOT the day after it was originally assigned will generate another SMS to be sent</t>
  </si>
  <si>
    <t>continuing from IS70</t>
  </si>
  <si>
    <t>IS67</t>
  </si>
  <si>
    <t>Adult - FMO travel text message for installs</t>
  </si>
  <si>
    <t>1. FMO receives install 1st attempt WOT on their Agent App
2. FMO selects 'Accept'
3. FMO selects 'Start Travel'
4. state of the WOT updates to 'On Route'
5. SMS sent to the device wearer</t>
  </si>
  <si>
    <t>FMO receives install 1st attempt WOT on agent app and starts travel - SMS will send to device wearer
Content of SMS will be as below;
Hello [name]. An officer from the Electronic Monitoring Service is on their way to fit your monitoring device. Failure to be available as arranged will be notified to your responsible agency/officer as a violation which could lead to enforcement action. Please secure any pets during the visit. Thank you for your co-operation.</t>
  </si>
  <si>
    <t>continuing from IS63 - book visit off as no show to lead to IS69</t>
  </si>
  <si>
    <t>IS84</t>
  </si>
  <si>
    <t>Child - Text message to Device wearer when Decom WOT is assigned
Part 1</t>
  </si>
  <si>
    <t>1. create decom WOT
2. assign decom WOT to FMO
3. SMS will send to the device wearer</t>
  </si>
  <si>
    <t>SMS will be sent to the device wearer following the decom WOT being assigned to an FMO
Content of SMS will be as follows;
'Hello [name]. An officer from the Electronic Monitoring Service will visit you today to collect your monitoring equipment following completion of your monitoring order. This visit will take place between [insert times here]. We would be grateful if you could make yourself available to avoid any further visits. Please make sure that you have a responsible adult available and that any pets are safely secured during the visit. Thank you for your co-operation.'</t>
  </si>
  <si>
    <t>IS85</t>
  </si>
  <si>
    <t>Child - Text message to Device wearer when Decom WOT is assigned
Part 2</t>
  </si>
  <si>
    <t>1. remove the decom WOT (IS84) from the FMO
2. reassign the decom WOT to a different FMO (same day)
3. SMS (detailed in the Outcome Expected for IS84) should not be sent again</t>
  </si>
  <si>
    <t>Re-assignment of the decom WOT on the same day it was originally assigned will not generate another SMS to be sent
no more than one of these texts will be sent a day</t>
  </si>
  <si>
    <t>continuing from IS84</t>
  </si>
  <si>
    <t>IS86</t>
  </si>
  <si>
    <t>Child - Text message to Device wearer when Decom WOT is assigned
Part 3</t>
  </si>
  <si>
    <t>1. remove the decom WOT (IS85) from the FMO
2. wait until the next day
3. re-assign the decom WOT to an FMO
4. SMS will send to the device wearer</t>
  </si>
  <si>
    <t>Re-assignment of the decom WOT the day after it was originally assigned will generate another SMS to be sent</t>
  </si>
  <si>
    <t>continuing from IS85</t>
  </si>
  <si>
    <t>IS87</t>
  </si>
  <si>
    <t>Child - Text message to Device wearer when ERO WOT is assigned
Part 1</t>
  </si>
  <si>
    <t>1. create ERO WOT
2. assign ERO WOT to FMO
3. SMS will send to the device wearer</t>
  </si>
  <si>
    <t>SMS will be sent to the device wearer following the ERO WOT being assigned to an FMO
Content of SMS will be as follows;
'Hello [name]. An officer from the Electronic Monitoring Service will visit you today to collect your monitoring equipment following completion of your monitoring order. This visit will take place between [insert times here]. We would be grateful if you could make yourself available to avoid any further visits. Please make sure that you have a responsible adult available and that any pets are safely secured during the visit. Thank you for your co-operation.'</t>
  </si>
  <si>
    <t>IS88</t>
  </si>
  <si>
    <t>Child - Text message to Device wearer when ERO WOT is assigned
Part 2</t>
  </si>
  <si>
    <t>1. remove the ERO WOT (IS87) from the FMO
2. reassign the ERO WOT to a different FMO (same day)
3. SMS (detailed in the Outcome Expected for IS87) should not be sent again</t>
  </si>
  <si>
    <t>Re-assignment of the ERO WOT on the same day it was originally assigned will not generate another SMS to be sent
no more than one of these texts will be sent a day</t>
  </si>
  <si>
    <t>continuing from IS87</t>
  </si>
  <si>
    <t>IS89</t>
  </si>
  <si>
    <t>Child - Text message to Device wearer when ERO WOT is assigned
Part 3</t>
  </si>
  <si>
    <t>1. remove the ERO WOT (IS88) from the FMO
2. wait until the next day
3. re-assign the ERO WOT to an FMO
4. SMS will send to the device wearer</t>
  </si>
  <si>
    <t>Re-assignment of the ERO WOT the day after it was originally assigned will generate another SMS to be sent</t>
  </si>
  <si>
    <t>continuing from IS88</t>
  </si>
  <si>
    <t>IS90</t>
  </si>
  <si>
    <t>Adult - FMO travel text message - Decoms</t>
  </si>
  <si>
    <t>1. FMO receives decom WOT on their Agent App
2. FMO selects 'Accept'
3. FMO selects 'Start Travel'
4. state of the WOT updates to 'On Route'
5. SMS sent to the device wearer</t>
  </si>
  <si>
    <t>FMO receives decom WOT on agent app and starts travel - SMS will send to device wearer
Content of SMS will be as below;
Hello [name]. An officer from the Electronic Monitoring Service is on their way. We would be grateful if you could make yourself available. Please secure any pets during the visit. Thank you for your co-operation.</t>
  </si>
  <si>
    <t>continuing from IS80</t>
  </si>
  <si>
    <t>IS91</t>
  </si>
  <si>
    <t>Adult - FMO travel text message - ERO</t>
  </si>
  <si>
    <t>1. FMO receives ERO WOT on their Agent App
2. FMO selects 'Accept'
3. FMO selects 'Start Travel'
4. state of the WOT updates to 'On Route'
5. SMS sent to the device wearer</t>
  </si>
  <si>
    <t>FMO receives ERO WOT on agent app and starts travel - SMS will send to device wearer
Content of SMS will be as below;
Hello [name]. An officer from the Electronic Monitoring Service is on their way. We would be grateful if you could make yourself available. Please secure any pets during the visit. Thank you for your co-operation.</t>
  </si>
  <si>
    <t>continuing from IS83</t>
  </si>
  <si>
    <t>IS94</t>
  </si>
  <si>
    <t>Adult - Text message to Device wearer for PID/SOLO/AM tamper visit when the task is assigned  - Curfew
Part 1</t>
  </si>
  <si>
    <t>1. create PID/SOLO/AM tamper WOT
2. assign PID/SOLO/AM tamper WOT to FMO
3. SMS will send to the device wearer</t>
  </si>
  <si>
    <t>SMS will be sent to the device wearer following the PID/SOLO/AM tamper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You are obliged to make yourself available during your curfew. Failure to do so may result in enforcement action. Please secure any pets during the visit. Thank you for your co-operation.</t>
  </si>
  <si>
    <t>IS95</t>
  </si>
  <si>
    <t>Adult - Text message to Device wearer for PID/SOLO/AM tamper visits when the task is assigned  - Curfew
Part 2</t>
  </si>
  <si>
    <t>1. remove the PID/SOLO/AM tamper WOT (IS94) from the FMO
2. reassign the PID/SOLO/AM tamper WOT to a different FMO (same day)
3. SMS (detailed in the Outcome Expected for IS94) should not be sent again</t>
  </si>
  <si>
    <t>Re-assignment of the PID/SOLO/AM tamper WOT on the same day it was originally assigned will not generate another SMS to be sent
no more than one of these texts will be sent a day</t>
  </si>
  <si>
    <t>continuing from IS94</t>
  </si>
  <si>
    <t>IS96</t>
  </si>
  <si>
    <t>Adult - Text message to Device wearer for PID/SOLO/AM tamper visits when the task is assigned  - Curfew
Part 3</t>
  </si>
  <si>
    <t>1. remove the PID/SOLO/AM tamper WOT (IS95) from the FMO
2. wait until the next day
3. re-assign the PID/SOLO/AM tamper WOT to an FMO
4. SMS will send to the device wearer</t>
  </si>
  <si>
    <t>Re-assignment of the PID/SOLO/AM tamper WOT the day after it was originally assigned will generate another SMS to be sent</t>
  </si>
  <si>
    <t>continuing from IS95</t>
  </si>
  <si>
    <t>IS97</t>
  </si>
  <si>
    <t>ADULT - Text message to Device wearer for HMU tamper visits when the task is assigned  - no Curfew
Part 1</t>
  </si>
  <si>
    <t>1. create HMU tamper WOT
2. assign HMU tamper WOT to FMO
3. SMS will send to the device wearer</t>
  </si>
  <si>
    <t>SMS will be sent to the device wearer following the HMU tamper WOT being assigned to an FMO
Content of SMS will be as follows;
'Hello [name]. An officer from the Electronic Monitoring Service will visit you today to check your equipment/discuss a matter about your monitoring order. This visit will take place before [insert times here]. Failure to do so may result in enforcement action. Please secure any pets during the visit. Thank you for your co-operation.</t>
  </si>
  <si>
    <t>IS98</t>
  </si>
  <si>
    <t>ADULT - Text message to Device wearer for HMU tamper visits when the task is assigned  - no Curfew
Part 2</t>
  </si>
  <si>
    <t>1. remove the HMU tamper WOT (IS97) from the FMO
2. reassign the HMU tamper WOT to a different FMO (same day)
3. SMS (detailed in the Outcome Expected fro IS97) should not be sent again</t>
  </si>
  <si>
    <t>Re-assignment of the HMU tamper WOT on the same day it was originally assigned will not generate another SMS to be sent
no more than one of these texts will be sent a day</t>
  </si>
  <si>
    <t>continuing from IS97</t>
  </si>
  <si>
    <t>IS99</t>
  </si>
  <si>
    <t>ADULT - Text message to Device wearer for HMU tamper visits when the task is assigned  - no Curfew
Part 3</t>
  </si>
  <si>
    <t>1. remove the HMU tamper WOT (IS98) from the FMO
2. wait until the next day
3. re-assign the HMU tamper WOT to an FMO
4. SMS will send to the device wearer</t>
  </si>
  <si>
    <t>Re-assignment of the HMU tamper WOT the day after it was originally assigned will generate another SMS to be sent</t>
  </si>
  <si>
    <t>continuing from IS98</t>
  </si>
  <si>
    <t>IS106</t>
  </si>
  <si>
    <t>Adult - FMO Travel text - tampers</t>
  </si>
  <si>
    <t>1. FMO receives tamper WOT on their Agent App
2. FMO selects 'Accept'
3. FMO selects 'Start Travel'
4. state of the WOT updates to 'On Route'
5. SMS sent to the device wearer</t>
  </si>
  <si>
    <t>FMO receives tamper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</si>
  <si>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IS96</t>
  </si>
  <si>
    <t>IS144</t>
  </si>
  <si>
    <t>Adult - FMO Travel text - Other visits
Part 1 - equipment check</t>
  </si>
  <si>
    <t>1. FMO receives equipment check WOT on their Agent App
2. FMO selects 'Accept'
3. FMO selects 'Start Travel'
4. state of the WOT updates to 'On Route'
5. SMS sent to the device wearer</t>
  </si>
  <si>
    <t>FMO receives equipment check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</si>
  <si>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IS110</t>
  </si>
  <si>
    <t>IS145</t>
  </si>
  <si>
    <t>Adult - FMO Travel text - Other visits
Part 2 - range test</t>
  </si>
  <si>
    <t>1. FMO receives range test WOT on their Agent App
2. FMO selects 'Accept'
3. FMO selects 'Start Travel'
4. state of the WOT updates to 'On Route'
5. SMS sent to the device wearer</t>
  </si>
  <si>
    <t>FMO receives range test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</si>
  <si>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IS113</t>
  </si>
  <si>
    <t>IS146</t>
  </si>
  <si>
    <t>Adult - FMO Travel text - Other visits
Part 3 - missing status check - hmu</t>
  </si>
  <si>
    <t>1. FMO receives missing status check WOT on their Agent App
2. FMO selects 'Accept'
3. FMO selects 'Start Travel'
4. state of the WOT updates to 'On Route'
5. SMS sent to the device wearer</t>
  </si>
  <si>
    <t>FMO receives missing status check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</si>
  <si>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IS116</t>
  </si>
  <si>
    <t>IS147</t>
  </si>
  <si>
    <t>Adult - FMO Travel text - Other visits
Part 4 - equipment swap out</t>
  </si>
  <si>
    <t>1. FMO receives equipment swap out WOT on their Agent App
2. FMO selects 'Accept'
3. FMO selects 'Start Travel'
4. state of the WOT updates to 'On Route'
5. SMS sent to the device wearer</t>
  </si>
  <si>
    <t>FMO receives equipment swap out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</si>
  <si>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IS119</t>
  </si>
  <si>
    <t>IS148</t>
  </si>
  <si>
    <t>Adult - FMO Travel text - Other visits
Part 5 - NFD Biometric check</t>
  </si>
  <si>
    <t>1. FMO receives NFD biometric WOT on their Agent App
2. FMO selects 'Accept'
3. FMO selects 'Start Travel'
4. state of the WOT updates to 'On Route'
5. SMS sent to the device wearer</t>
  </si>
  <si>
    <t>FMO receives NFD biometric WOT on agent app and starts travel - SMS will send to device wearer
Content of SMS will be as below;
Hello [name]. An officer from the Electronic Monitoring Service is on their way. Failure to be available will be notified to your responsible agency/officer as a violation which could lead to enforcement action. Please secure any pets during the visit. Thank you for your co-operation.</t>
  </si>
  <si>
    <t>continuing from IS122</t>
  </si>
  <si>
    <t>IS149</t>
  </si>
  <si>
    <t>Adult - FMO Travel text - Other visits
Part 6 - Planned maintenance</t>
  </si>
  <si>
    <t>1. FMO receives planned maintenance WOT on their Agent App
2. FMO selects 'Accept'
3. FMO selects 'Start Travel'
4. state of the WOT updates to 'On Route'
5. SMS sent to the device wearer</t>
  </si>
  <si>
    <t>continuing from IS125</t>
  </si>
  <si>
    <t>IS108</t>
  </si>
  <si>
    <t>Adult - Text to device wearer when visit is assigned - other visits - curfew
Part 1 - equipment check</t>
  </si>
  <si>
    <t>1. create equipment check WOT
2. assign equipment check WOT to FMO
3. SMS will send to the device wearer</t>
  </si>
  <si>
    <t>SMS will be sent to the device wearer following the equipment check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You are obliged to make yourself available during your curfew. Failure to do so may result in enforcement action. Please secure any pets during the visit. Thank you for your co-operation.</t>
  </si>
  <si>
    <t>IS109</t>
  </si>
  <si>
    <t>Adult - Text to device wearer when visit is assigned - other visits - curfew
Part 2 - equipment check</t>
  </si>
  <si>
    <t>1. remove the equipment check WOT (IS108) from the FMO
2. reassign the equipment check WOT to a different FMO (same day)
3. SMS (detailed in the Outcome Expected for IS108) should not be sent again</t>
  </si>
  <si>
    <t>Re-assignment of the equipment check WOT on the same day it was originally assigned will not generate another SMS to be sent
no more than one of these texts will be sent a day</t>
  </si>
  <si>
    <t>continuing from IS108</t>
  </si>
  <si>
    <t>IS110</t>
  </si>
  <si>
    <t>Adult - Text to device wearer when visit is assigned - other visits - curfew
Part 3 - equipment check</t>
  </si>
  <si>
    <t>1. remove the equipment check WOT (IS109) from the FMO
2. wait until the next day
3. re-assign the equipment check WOT to an FMO
4. SMS will send to the device wearer</t>
  </si>
  <si>
    <t>Re-assignment of the equipment check WOT the day after it was originally assigned will generate another SMS to be sent</t>
  </si>
  <si>
    <t>continuing from IS109</t>
  </si>
  <si>
    <t>IS111</t>
  </si>
  <si>
    <t>Adult - Text to device wearer when visit is assigned - other visits - curfew
Part 4 - range test</t>
  </si>
  <si>
    <t>1. create range test WOT
2. assign range test WOT to FMO
3. SMS will send to the device wearer</t>
  </si>
  <si>
    <t>SMS will be sent to the device wearer following the range test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You are obliged to make yourself available during your curfew. Failure to do so may result in enforcement action. Please secure any pets during the visit. Thank you for your co-operation.</t>
  </si>
  <si>
    <t>IS112</t>
  </si>
  <si>
    <t>Adult - Text to device wearer when visit is assigned - other visits - curfew
Part 5 - range test</t>
  </si>
  <si>
    <t>1. remove the range test WOT (IS111) from the FMO
2. reassign the range test WOT to a different FMO (same day)
3. SMS (detailed in the Outcome Expected for IS111) should not be sent again</t>
  </si>
  <si>
    <t>Re-assignment of the range test WOT on the same day it was originally assigned will not generate another SMS to be sent
no more than one of these texts will be sent a day</t>
  </si>
  <si>
    <t>continuing from IS111</t>
  </si>
  <si>
    <t>IS113</t>
  </si>
  <si>
    <t>Adult - Text to device wearer when visit is assigned - other visits - curfew
Part 6 - range test</t>
  </si>
  <si>
    <t>1. remove the range test WOT (IS112) from the FMO
2. wait until the next day
3. re-assign the range test WOT to an FMO
4. SMS will send to the device wearer</t>
  </si>
  <si>
    <t>Re-assignment of the range test WOT the day after it was originally assigned will generate another SMS to be sent</t>
  </si>
  <si>
    <t>continuing from IS112</t>
  </si>
  <si>
    <t>IS114</t>
  </si>
  <si>
    <t>Adult - Text to device wearer when visit is assigned - other visits - curfew
Part 7 - missing status check - hmu</t>
  </si>
  <si>
    <t>1. create missing status check-hmu WOT
2. assign missing status check-hmu WOT to FMO
3. SMS will send to the device wearer</t>
  </si>
  <si>
    <t>SMS will be sent to the device wearer following the missing status check-hmu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You are obliged to make yourself available during your curfew. Failure to do so may result in enforcement action. Please secure any pets during the visit. Thank you for your co-operation.</t>
  </si>
  <si>
    <t>IS115</t>
  </si>
  <si>
    <t>Adult - Text to device wearer when visit is assigned - other visits - curfew
Part 8 - missing status check - hmu</t>
  </si>
  <si>
    <t>1. remove the missing status check-hmu WOT (IS114) from the FMO
2. reassign the missing status check-hmu WOT to a different FMO (same day)
3. SMS (detailed in the Outcome Expected fro IS114) should not be sent again</t>
  </si>
  <si>
    <t>Re-assignment of the missing status check-hmu WOT on the same day it was originally assigned will not generate another SMS to be sent
no more than one of these texts will be sent a day</t>
  </si>
  <si>
    <t>continuing from IS114</t>
  </si>
  <si>
    <t>IS116</t>
  </si>
  <si>
    <t>Adult - Text to device wearer when visit is assigned - other visits - curfew
Part 9 - missing status check - hmu</t>
  </si>
  <si>
    <t>1. remove the missing status check-hmu WOT (IS115) from the FMO
2. wait until the next day
3. re-assign the missing status check-hmu WOT to an FMO
4. SMS will send to the device wearer</t>
  </si>
  <si>
    <t>Re-assignment of the missing status check-hmu WOT the day after it was originally assigned will generate another SMS to be sent</t>
  </si>
  <si>
    <t>continuing from IS115</t>
  </si>
  <si>
    <t>IS118</t>
  </si>
  <si>
    <t>Adult - Text to device wearer when visit is assigned - other visits - NON-curfew
Part 2 - Equipment swap out</t>
  </si>
  <si>
    <t>1. remove the equipment swap out WOT (IS117) from the FMO
2. reassign the equipment swap out WOT to a different FMO (same day)
3. SMS (detailed in the Outcome Expected for IS117) should not be sent again</t>
  </si>
  <si>
    <t>Re-assignment of the equipment swap out WOT on the same day it was originally assigned will not generate another SMS to be sent
no more than one of these texts will be sent a day</t>
  </si>
  <si>
    <t>continuing from IS117</t>
  </si>
  <si>
    <t>IS119</t>
  </si>
  <si>
    <t>Adult - Text to device wearer when visit is assigned - other visits - NON-curfew
Part 3 - Equipment swap out</t>
  </si>
  <si>
    <t>1. remove the equipment swap out WOT (IS118) from the FMO
2. wait until the next day
3. re-assign the equipment swap out WOT to an FMO
4. SMS will send to the device wearer</t>
  </si>
  <si>
    <t>Re-assignment of the equipment swap out WOT the day after it was originally assigned will generate another SMS to be sent</t>
  </si>
  <si>
    <t>continuing from IS118</t>
  </si>
  <si>
    <t>IS121</t>
  </si>
  <si>
    <t>Adult - Text to device wearer when visit is assigned - other visits - NON-curfew
Part 5 - NFD Biometric Check</t>
  </si>
  <si>
    <t>1. remove the NFD biometric check WOT (IS120) from the FMO
2. reassign the NFD biometric check WOT to a different FMO (same day)
3. SMS (detailed in the Outcome Expected for IS120) should not be sent again</t>
  </si>
  <si>
    <t>Re-assignment of the NFD biometric check WOT on the same day it was originally assigned will not generate another SMS to be sent
no more than one of these texts will be sent a day</t>
  </si>
  <si>
    <t>continuing from IS120</t>
  </si>
  <si>
    <t>IS122</t>
  </si>
  <si>
    <t>Adult - Text to device wearer when visit is assigned - other visits - NON-curfew
Part 6 - NFD Biometric Check</t>
  </si>
  <si>
    <t>1. remove the NFD biometric check WOT (IS121) from the FMO
2. wait until the next day
3. re-assign the NFD biometric check WOT to an FMO
4. SMS will send to the device wearer</t>
  </si>
  <si>
    <t>Re-assignment of the NFD biometric check WOT the day after it was originally assigned will generate another SMS to be sent</t>
  </si>
  <si>
    <t>continuing from IS121</t>
  </si>
  <si>
    <t>IS124</t>
  </si>
  <si>
    <t>Adult - Text to device wearer when visit is assigned - other visits - NON-curfew
Part 8 - Planned Maintenance</t>
  </si>
  <si>
    <t>1. remove the planned maintenance WOT (IS123) from the FMO
2. reassign the planned maintenance WOT to a different FMO (same day)
3. SMS (detailed in the Outcome Expected fro IS123) should not be sent again</t>
  </si>
  <si>
    <t>Re-assignment of the planned maintenance WOT on the same day it was originally assigned will not generate another SMS to be sent
no more than one of these texts will be sent a day</t>
  </si>
  <si>
    <t>continuing from IS123</t>
  </si>
  <si>
    <t>IS125</t>
  </si>
  <si>
    <t>Adult - Text to device wearer when visit is assigned - other visits - NON-curfew
Part 9 - Planned Maintenance</t>
  </si>
  <si>
    <t>1. remove the planned maintenance WOT (IS124) from the FMO
2. wait until the next day
3. re-assign the planned maintenance WOT to an FMO
4. SMS will send to the device wearer</t>
  </si>
  <si>
    <t>Re-assignment of the planned maintenance WOT the day after it was originally assigned will generate another SMS to be sent</t>
  </si>
  <si>
    <t>continuing from IS124</t>
  </si>
  <si>
    <t>IS127</t>
  </si>
  <si>
    <t>Adult - Text to device wearer when visit is assigned - other visits - NON-curfew
Part 2 - Removal of fitted device to nfd</t>
  </si>
  <si>
    <t>1. remove the removal of fitted device to nfd WOT (IS126) from the FMO
2. reassign the removal of fitted device to nfd WOT to a different FMO (same day)
3. SMS (detailed in the Outcome Expected for IS126) should not be sent again</t>
  </si>
  <si>
    <t>Re-assignment of the removal of fitted device to nfd WOT on the same day it was originally assigned will not generate another SMS to be sent
no more than one of these texts will be sent a day</t>
  </si>
  <si>
    <t>continuing from IS126</t>
  </si>
  <si>
    <t>IS128</t>
  </si>
  <si>
    <t>Adult - Text to device wearer when visit is assigned - other visits - NON-curfew
Part 3 - Removal of fitted device to nfd</t>
  </si>
  <si>
    <t>1. remove the removal of fitted device to nfd WOT (IS127) from the FMO
2. wait until the next day
3. re-assign the removal of fitted device to nfd WOT to an FMO
4. SMS will send to the device wearer</t>
  </si>
  <si>
    <t>Re-assignment of the removal of fitted device to nfd WOT the day after it was originally assigned will generate another SMS to be sent</t>
  </si>
  <si>
    <t>continuing from IS127</t>
  </si>
  <si>
    <t>IS130</t>
  </si>
  <si>
    <t>Adult - Text to device wearer when visit is assigned - other visits - NON-curfew
Part 5 - removal of nfd to fitted device</t>
  </si>
  <si>
    <t>1. remove the removal of nfd to fitted device WOT (IS129) from the FMO
2. reassign the removal of nfd to fitted device WOT to a different FMO (same day)
3. SMS (detailed in the Outcome Expected for IS129) should not be sent again</t>
  </si>
  <si>
    <t>Re-assignment of the removal of nfd to fitted device WOT on the same day it was originally assigned will not generate another SMS to be sent
no more than one of these texts will be sent a day</t>
  </si>
  <si>
    <t>continuing from IS129</t>
  </si>
  <si>
    <t>Column1</t>
  </si>
  <si>
    <t>IS131</t>
  </si>
  <si>
    <t>Adult - Text to device wearer when visit is assigned - other visits - NON-curfew
Part 6 - removal of nfd to fitted device</t>
  </si>
  <si>
    <t>1. remove the removal of nfd to fitted device WOT (IS130) from the FMO
2. wait until the next day
3. re-assign the removal of nfd to fitted device WOT to an FMO
4. SMS will send to the device wearer</t>
  </si>
  <si>
    <t>Re-assignment of the removal of nfd to fitted device WOT the day after it was originally assigned will generate another SMS to be sent</t>
  </si>
  <si>
    <t>continuing from IS130</t>
  </si>
  <si>
    <t>IS117</t>
  </si>
  <si>
    <t>Adult - Text to device wearer when visit is assigned - other visits - NON-curfew
Ensure WOTs that need attention are highlighted to schedules
Visually displaying a WOT that needs attention in the list view
Part 1 - Equipment swap out</t>
  </si>
  <si>
    <t xml:space="preserve">1. create equipment swap out WOT
2. assign equipment swap out WOT to FMO
3. SMS will send to the device wearer
4. device wearer sends a response with an available date
5. check 'needs attention' list (located under Work Order Tasks list)
6. ensure equipment swap out WOT appears
7. ensure WOT has 'needs attention = true' (add needs attention column)
8. check 'needs attention' filter in the Dispatcher Workspace
9. ensure equipment swap out WOT appears in the list
10. ensure the visit tile shows 'needs attention true'
11. click the information icon 
12. visit details will display on the right hand side of the screen
13. ensure 'needs attention true' &amp; the 'text response' (in full) displays
</t>
  </si>
  <si>
    <t>SMS will be sent to the device wearer following the equipment swap out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secure any pets during the visit. Thank you for your co-operation. 
When the device wearer responds - the WOT will be flagged as 'needs attention' - this will be displayed in the lists view &amp; the dispatcher</t>
  </si>
  <si>
    <t>STRY0089406 / STRY0086330 / STRY0086400</t>
  </si>
  <si>
    <t>IS120</t>
  </si>
  <si>
    <t>Adult - Text to device wearer when visit is assigned - other visits - NON-curfew
Ensure WOTs that need attention are highlighted to schedules
Visually displaying a WOT that needs attention in the list view
Part 4 - NFD Biometric Check</t>
  </si>
  <si>
    <t>1. create NFD biometric check WOT
2. assign NFD biometric check WOT to FMO
3. SMS will send to the device wearer
4. device wearer sends a response with an available date
5. check 'needs attention' list (located under Work Order Tasks list)
6. ensure NFD biometric check WOT appears
7. ensure WOT has 'needs attention = true' (add needs attention column)
8. check 'needs attention' filter in the Dispatcher Workspace
9. ensure NFD biometric check WOT appears in the list
10. ensure the visit tile shows 'needs attention true'
11. click the information icon 
12. visit details will display on the right hand side of the screen
13. ensure 'needs attention true' &amp; the 'text response' (in full) displays</t>
  </si>
  <si>
    <t>SMS will be sent to the device wearer following the NFD biometric check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secure any pets during the visit. Thank you for your co-operation.
When the device wearer responds - the WOT will be flagged as 'needs attention' - this will be displayed in the lists view &amp; the dispatcher</t>
  </si>
  <si>
    <t>IS123</t>
  </si>
  <si>
    <t>Adult - Text to device wearer when visit is assigned - other visits - NON-curfew
Ensure WOTs that need attention are highlighted to schedules
Visually displaying a WOT that needs attention in the list view
Part 7 - Planned Maintenance</t>
  </si>
  <si>
    <t xml:space="preserve">1. create planned maintenance WOT
2. assign planned maintenance WOT to FMO
3. SMS will send to the device wearer
4. device wearer sends a response with an available date
5. check 'needs attention' list (located under Work Order Tasks list)
6. ensure planned maintenance WOT appears
7. ensure WOT has 'needs attention = true' (add needs attention column)
8. check 'needs attention' filter in the Dispatcher Workspace
9. ensure planned maintenance WOT appears in the list
10. ensure the visit tile shows 'needs attention true'
11. click the information icon 
12. visit details will display on the right hand side of the screen
13. ensure 'needs attention true' &amp; the 'text response' (in full) displays
</t>
  </si>
  <si>
    <t>SMS will be sent to the device wearer following the planned maintenance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secure any pets during the visit. Thank you for your co-operation.
When the device wearer responds - the WOT will be flagged as 'needs attention' - this will be displayed in the lists view &amp; the dispatcher</t>
  </si>
  <si>
    <t>IS126</t>
  </si>
  <si>
    <t>Adult - Text to device wearer when visit is assigned - other visits - NON-curfew
Ensure WOTs that need attention are highlighted to schedules
Visually displaying a WOT that needs attention in the list view
Part 1 - Removal of fitted device to nfd</t>
  </si>
  <si>
    <t>1. create removal of fitted device to nfd WOT
2. assign removal of fitted device to nfd WOT to FMO
3. SMS will send to the device wearer
4. device wearer sends a response with an available date
5. check 'needs attention' list (located under Work Order Tasks list)
6. ensure removal of fitted device to nfd WOT appears
7. ensure WOT has 'needs attention = true' (add needs attention column)
8. check 'needs attention' filter in the Dispatcher Workspace
9. ensure removal of fitted device to nfd WOT appears in the list
10. ensure the visit tile shows 'needs attention true'
11. click the information icon 
12. visit details will display on the right hand side of the screen
13. ensure 'needs attention true' &amp; the 'text response' (in full) displays</t>
  </si>
  <si>
    <t>SMS will be sent to the device wearer following the removal of fitted device to NFD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secure any pets during the visit. Thank you for your co-operation.
When the device wearer responds - the WOT will be flagged as 'needs attention' - this will be displayed in the lists view &amp; the dispatcher</t>
  </si>
  <si>
    <t>IS129</t>
  </si>
  <si>
    <t>Adult - Text to device wearer when visit is assigned - other visits - NON-curfew
Ensure WOTs that need attention are highlighted to schedules
Visually displaying a WOT that needs attention in the list view
Part 4 - removal of nfd to fitted device</t>
  </si>
  <si>
    <t>1. create removal of nfd to fitted device WOT
2. assign removal of nfd to fitted device WOT to FMO
3. SMS will send to the device wearer
4. device wearer sends a response with an available date
5. check 'needs attention' list (located under Work Order Tasks list)
6. ensure removal of nfd to fitted device WOT appears
7. ensure WOT has 'needs attention = true' (add needs attention column)
8. check 'needs attention' filter in the Dispatcher Workspace
9. ensure removal of nfd to fitted device WOT appears in the list
10. ensure the visit tile shows 'needs attention true'
11. click the information icon 
12. visit details will display on the right hand side of the screen
13. ensure 'needs attention true' &amp; the 'text response' (in full) displays</t>
  </si>
  <si>
    <t>SMS will be sent to the device wearer following the removal of nfd to fitted device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secure any pets during the visit. Thank you for your co-operation.
When the device wearer responds - the WOT will be flagged as 'needs attention' - this will be displayed in the lists view &amp; the dispatcher</t>
  </si>
  <si>
    <t>IS60</t>
  </si>
  <si>
    <t>Child - Text message to device wearer for New monitoring order</t>
  </si>
  <si>
    <t>SMS will be sent to the device wearer following the agent selecting 'yes' for the 'physical visit required?' playbook step
Content of SMS will be as below;
'Hello [name]. We are getting in touch with you from the Electronic Monitoring Service to let you know that we have been made aware of your monitoring order. We will send you another text shortly to tell you when we will be visiting to fit your monitoring device. It is important that you are available for this visit, as not being available could lead to enforcement action. Thank you for your co-operation.'</t>
  </si>
  <si>
    <t>STRY0089869</t>
  </si>
  <si>
    <t>IS64</t>
  </si>
  <si>
    <t>Child - Text to device wearer 1st install on assignment
Part 1</t>
  </si>
  <si>
    <t>1. use the install 1st attempt WOT created in IS60 &amp; qualify the WOT
2. assign the install WOT to an FMO
3. SMS will send to the device wearer</t>
  </si>
  <si>
    <t xml:space="preserve"> SMS will be sent to the device wearer following the install 1st attempt WOT being assigned to an FMO
Content of SMS will be as below;
Hello [name]. An officer from the Electronic Monitoring Service will be visiting you today to fit your monitoring device. This visit will take place at any time before [insert time here] and within your curfew/installation hours. It's important to be present for this visit, as not being available could lead to enforcement action. Please make sure that you have a responsible adult available and that any pets are safely secured during the visit. Thank you for your co-operation.</t>
  </si>
  <si>
    <t>linked to IS60</t>
  </si>
  <si>
    <t>STRY0089871</t>
  </si>
  <si>
    <t>IS65</t>
  </si>
  <si>
    <t>Child - Text to device wearer 1st install on assignment
Part 2</t>
  </si>
  <si>
    <t>1. remove the install 1st attempt WOT (IS64) from the FMO
2. reassign the install WOT to a different FMO (same day)
3. SMS (detailed in the Outcome Expected for IS64) should not be sent again</t>
  </si>
  <si>
    <t>Re-assignment of the WOT on the same day it was originally assigned will not generate another SMS to be sent
no more than one of these texts will be sent a day</t>
  </si>
  <si>
    <t>continuing from IS64</t>
  </si>
  <si>
    <t>IS66</t>
  </si>
  <si>
    <t>Child - Text to device wearer 1st install on assignment
Part 3</t>
  </si>
  <si>
    <t>1. remove the install 1st attempt WOT (IS65) from the FMO
2. wait until the next day
3. re-assign the install WOT to an FMO
4. SMS will send to the device wearer</t>
  </si>
  <si>
    <t>continuing from IS65</t>
  </si>
  <si>
    <t>IS68</t>
  </si>
  <si>
    <t>Child - FMO travel text message for installs</t>
  </si>
  <si>
    <t>FMO receives install 1st attempt WOT on agent app and starts travel - SMS will send to device wearer
Content of SMS will be as below;
Hello [name]. An officer from the Electronic Monitoring Service is on their way to fit your monitoring device. It's important to be present for this visit, as not being available could lead to enforcement action. Please make sure that you have a responsible adult available and that any pets are safely secured during the visit. Thank you for your co-operation.</t>
  </si>
  <si>
    <t>continuing from IS66 - book visit off as no show to lead to IS72</t>
  </si>
  <si>
    <t>STRY0089872</t>
  </si>
  <si>
    <t>IS72</t>
  </si>
  <si>
    <t>Child - Text to device wearer for 2nd/3rd install on assignment
Part 1 - install 2nd attempt</t>
  </si>
  <si>
    <t>SMS will be sent to the device wearer following the install 2nd attempt WOT being assigned to an FMO
Content of SMS will be as below;
Hello [name]. An officer from the Electronic Monitoring Service visited you [today/yesterday] to fit your monitoring device but you were not available. We will visit again today. The visit will take place at any time before [insert time here] and within your curfew/installation hours. It's important to be present for this visit, as not being available could lead to enforcement action. Please make sure that you have a responsible adult available and that any pets are safely secured during the visit. Thank you for your co-operation.</t>
  </si>
  <si>
    <t>continuing from IS68</t>
  </si>
  <si>
    <t>STRY0089875</t>
  </si>
  <si>
    <t>IS75</t>
  </si>
  <si>
    <t>Child - Text to device wearer for 2nd/3rd install on assignment
Part 1 - install 3rd attempt</t>
  </si>
  <si>
    <t>1. generate an install 3rd attempt
2. assign the install WOT to an FMO
3. SMS sent to the device wearer</t>
  </si>
  <si>
    <t>SMS will be sent to the device wearer following the install 3rd attempt WOT being assigned to an FMO
Content of SMS will be as below;
Hello [name]. An officer from the Electronic Monitoring Service visited you [today/yesterday] to fit your monitoring device but you were not available. We will visit again today. The visit will take place at any time before [insert time here] and within your curfew/installation hours. It's important to be present for this visit, as not being available could lead to enforcement action. Please make sure that you have a responsible adult available and that any pets are safely secured during the visit. Thank you for your co-operation.</t>
  </si>
  <si>
    <t>continuing from IS74</t>
  </si>
  <si>
    <t>IS76</t>
  </si>
  <si>
    <t>Child - Text to device wearer for 2nd/3rd install on assignment
Part 2 - install 3rd attempt</t>
  </si>
  <si>
    <t>1. remove the install 3rd attempt WOT (IS75) from the FMO
2. reassign the install WOT to a different FMO (same day)
3. SMS (detailed in the Outcome Expected for IS75) should not be sent again</t>
  </si>
  <si>
    <t>Re-assignment of the install 3rd attempt WOT on the same day it was originally assigned will not generate another SMS to be sent
no more than one of these texts will be sent a day</t>
  </si>
  <si>
    <t>continuing from IS75</t>
  </si>
  <si>
    <t>IS77</t>
  </si>
  <si>
    <t>Child - Text to device wearer for 2nd/3rd install on assignment
Part 3 - install 3rd attempt</t>
  </si>
  <si>
    <t>1. remove the install 3rd attempt WOT (IS76) from the FMO
2. wait until the next day
3. re-assign the install WOT to an FMO
4. SMS will send to the device wearer</t>
  </si>
  <si>
    <t>Re-assignment of the install 3rd attempt WOT the day after it was originally assigned will generate another SMS to be sent</t>
  </si>
  <si>
    <t>continuing from IS76</t>
  </si>
  <si>
    <t>IS100</t>
  </si>
  <si>
    <t>Child - Text message to Device wearer for PID/SOLO/AM tamper visits when the task is assigned - Curfew
Part 1</t>
  </si>
  <si>
    <t>SMS will be sent to the device wearer following the PID/SOLO/AM tamper WOT being assigned to an FMO
Content of SMS will be as follows;
'Hello [name]. An officer from the Electronic Monitoring Service will visit you today to check your equipment/discuss a matter about your monitoring order. This visit will take place between [insert times here] and during your curfew. It's important to make yourself available during your curfew as not being available could lead to enforcement action. Please make sure that you have a responsible adult available and that you secure any pets during the visit. Thank you for your co-operation.</t>
  </si>
  <si>
    <t>STRY0089880</t>
  </si>
  <si>
    <t>IS101</t>
  </si>
  <si>
    <t>Child - Text message to Device wearer for PID/SOLO/AM tamper visits when the task is assigned - Curfew
Part 2</t>
  </si>
  <si>
    <t>1. remove the PID/SOLO/AM tamper WOT (IS100) from the FMO
2. reassign the PID/SOLO/AM tamper WOT to a different FMO (same day)
3. SMS (detailed in the Outcome Expected for IS100) should not be sent again</t>
  </si>
  <si>
    <t>continuing from IS100</t>
  </si>
  <si>
    <t>IS102</t>
  </si>
  <si>
    <t>Child - Text message to Device wearer for PID/SOLO/AM tamper visits when the task is assigned - Curfew
Part 3</t>
  </si>
  <si>
    <t>1. remove the PID/SOLO/AM tamper WOT (IS101) from the FMO
2. wait until the next day
3. re-assign the PID/SOLO/AM tamper WOT to an FMO
4. SMS will send to the device wearer</t>
  </si>
  <si>
    <t>continuing from IS101</t>
  </si>
  <si>
    <t>IS107</t>
  </si>
  <si>
    <t>Child - FMO Travel text - tampers</t>
  </si>
  <si>
    <t>FMO receives tamper WOT on agent app and starts travel - SMS will send to device wearer
Content of SMS will be as below;
Hello [name]. An officer from the Electronic Monitoring Service is on their way so please ensure that you are available. It's important to be present for this visit, as not being available could lead to enforcement action. Please make sure that you have a responsible adult available and that you secure any pets during the visit. Thank you for your co-operation.</t>
  </si>
  <si>
    <t>continuing from IS105</t>
  </si>
  <si>
    <t>STRY0089980</t>
  </si>
  <si>
    <t>IS103</t>
  </si>
  <si>
    <t>Child - Text message to Device wearer for HMU tamper visits when the task is assigned - no Curfew
Part 1</t>
  </si>
  <si>
    <t>SMS will be sent to the device wearer following the HMU tamper WOT being assigned to an FMO
Content of SMS will be as follows;
'Hello [name]. An officer from the Electronic Monitoring Service will visit you today to check your equipment/discuss a matter about your monitoring order. This visit will take place before [insert times here]. It's important to be present for this visit, as not being available could lead to enforcement action. Please make sure that you have a responsible adult available and that you secure any pets during the visit. Thank you for your co-operation.</t>
  </si>
  <si>
    <t>STRY0089981</t>
  </si>
  <si>
    <t>IS104</t>
  </si>
  <si>
    <t>Child - Text message to Device wearer for HMU tamper visits when the task is assigned - no Curfew
Part 2</t>
  </si>
  <si>
    <t>1. remove the HMU tamper WOT (IS103) from the FMO
2. reassign the HMU tamper WOT to a different FMO (same day)
3. SMS (detailed in the Outcome Expected for IS103) should not be sent again</t>
  </si>
  <si>
    <t>continuing from IS103</t>
  </si>
  <si>
    <t>IS105</t>
  </si>
  <si>
    <t>Child - Text message to Device wearer for HMU tamper visits when the task is assigned - no Curfew
Part 3</t>
  </si>
  <si>
    <t>1. remove the HMU tamper WOT (IS104) from the FMO
2. wait until the next day
3. re-assign the HMU tamper WOT to an FMO
4. SMS will send to the device wearer</t>
  </si>
  <si>
    <t>continuing from IS104</t>
  </si>
  <si>
    <t>IS132</t>
  </si>
  <si>
    <t>Child - Text to device wearer when visit is assigned - other visits - curfew
Part 1 - Consent withdrawn</t>
  </si>
  <si>
    <t>1. create consent withdrawn WOT
2. assign consent withdrawn WOT to FMO
3. SMS will send to the device wearer</t>
  </si>
  <si>
    <t>SMS will be sent to the device wearer following the consent withdrawn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It's important to be present for this visit, as not being available could lead to enforcement action. Please make sure that you have a responsible adult available and that you secure any pets during the visit. Thank you for your co-operation.</t>
  </si>
  <si>
    <t>STRY0089982</t>
  </si>
  <si>
    <t>IS133</t>
  </si>
  <si>
    <t>Child - Text to device wearer when visit is assigned - other visits - curfew
Part 2 - Consent withdrawn</t>
  </si>
  <si>
    <t>1. remove the consent withdrawn WOT (IS132) from the FMO
2. reassign the consent withdrawn WOT to a different FMO (same day)
3. SMS (detailed in the Outcome Expected fro IS132) should not be sent again</t>
  </si>
  <si>
    <t>Re-assignment of the consent withdrawn WOT on the same day it was originally assigned will not generate another SMS to be sent
no more than one of these texts will be sent a day</t>
  </si>
  <si>
    <t>continuing from IS132</t>
  </si>
  <si>
    <t>IS134</t>
  </si>
  <si>
    <t>Child - Text to device wearer when visit is assigned - other visits - curfew
Part 3 - Consent withdrawn</t>
  </si>
  <si>
    <t>1. remove the consent withdrawn WOT (IS133) from the FMO
2. wait until the next day
3. re-assign the consent withdrawn WOT to an FMO
4. SMS will send to the device wearer</t>
  </si>
  <si>
    <t>Re-assignment of the consent withdrawn WOT the day after it was originally assigned will generate another SMS to be sent</t>
  </si>
  <si>
    <t>continuing from IS133</t>
  </si>
  <si>
    <t>IS135</t>
  </si>
  <si>
    <t>Child - Text to device wearer when visit is assigned - other visits - curfew
Part 4 - HMU swap out</t>
  </si>
  <si>
    <t>1. create hmu swap out WOT
2. assign hmu swap out WOT to FMO
3. SMS will send to the device wearer</t>
  </si>
  <si>
    <t>SMS will be sent to the device wearer following the hmu swap out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It's important to be present for this visit, as not being available could lead to enforcement action. Please make sure that you have a responsible adult available and that you secure any pets during the visit. Thank you for your co-operation.</t>
  </si>
  <si>
    <t>IS136</t>
  </si>
  <si>
    <t>Child - Text to device wearer when visit is assigned - other visits - curfew
Part 5 - HMU swap out</t>
  </si>
  <si>
    <t>1. remove the hmu swap out WOT (IS135) from the FMO
2. reassign the hmu swap out WOT to a different FMO (same day)
3. SMS (detailed in the Outcome Expected for IS135) should not be sent again</t>
  </si>
  <si>
    <t>Re-assignment of the hmu swap out WOT on the same day it was originally assigned will not generate another SMS to be sent
no more than one of these texts will be sent a day</t>
  </si>
  <si>
    <t>continuing from IS135</t>
  </si>
  <si>
    <t>IS137</t>
  </si>
  <si>
    <t>Child - Text to device wearer when visit is assigned - other visits - curfew
Part 6 - HMU swap out</t>
  </si>
  <si>
    <t>1. remove the hmu swap out WOT (IS136) from the FMO
2. wait until the next day
3. re-assign the hmu swap out WOT to an FMO
4. SMS will send to the device wearer</t>
  </si>
  <si>
    <t>Re-assignment of the hmu swap out WOT the day after it was originally assigned will generate another SMS to be sent</t>
  </si>
  <si>
    <t>continuing from IS136</t>
  </si>
  <si>
    <t>IS138</t>
  </si>
  <si>
    <t>Child - Text to device wearer when visit is assigned - other visits - curfew
Part 7 - Monitor move</t>
  </si>
  <si>
    <t>1. create monitor move WOT
2. assign monitor move WOT to FMO
3. SMS will send to the device wearer</t>
  </si>
  <si>
    <t>SMS will be sent to the device wearer following the monitor move WOT being assigned to an FMO
Content of SMS will be as follows;
'Hello [name]. An officer from the Electronic Monitoring Service will visit you today to check your equipment/discuss a matter about your monitoring order. This visit will take place before [insert times here] and during your curfew. It's important to be present for this visit, as not being available could lead to enforcement action. Please make sure that you have a responsible adult available and that you secure any pets during the visit. Thank you for your co-operation.</t>
  </si>
  <si>
    <t>IS139</t>
  </si>
  <si>
    <t>Child - Text to device wearer when visit is assigned - other visits - curfew
Part 8 - Monitor move</t>
  </si>
  <si>
    <t>1. remove the monitor move WOT (IS138) from the FMO
2. reassign the monitor move WOT to a different FMO (same day)
3. SMS (detailed in the Outcome Expected for IS138) should not be sent again</t>
  </si>
  <si>
    <t>Re-assignment of the monitor move WOT on the same day it was originally assigned will not generate another SMS to be sent
no more than one of these texts will be sent a day</t>
  </si>
  <si>
    <t>continuing from IS138</t>
  </si>
  <si>
    <t>IS140</t>
  </si>
  <si>
    <t>Child - Text to device wearer when visit is assigned - other visits - curfew
Part 9 - Monitor move</t>
  </si>
  <si>
    <t>1. remove the monitor move WOT (IS139) from the FMO
2. wait until the next day
3. re-assign the monitor move WOT to an FMO
4. SMS will send to the device wearer</t>
  </si>
  <si>
    <t>Re-assignment of the monitor move WOT the day after it was originally assigned will generate another SMS to be sent</t>
  </si>
  <si>
    <t>continuing from IS139</t>
  </si>
  <si>
    <t>IS141</t>
  </si>
  <si>
    <t>Child - Text to device wearer when visit is assigned - other visits - NON-curfew
Part 7 - missing status check - worn device</t>
  </si>
  <si>
    <t>1. create missing status check-worn device WOT
2. assign missing status check-worn device WOT to FMO
3. SMS will send to the device wearer</t>
  </si>
  <si>
    <t>SMS will be sent to the device wearer following the missing status check-worn device WOT being assigned to an FMO
Content of SMS will be as follows;
'Hello [name]. An officer from the Electronic Monitoring Service will visit you today to check your equipment/discuss a matter about your monitoring order. This visit will take place before [insert times here]. Please make yourself available for this visit. If there is a valid reason this visit cannot take place, please respond to this message with an available date that is before [insert date depending on KPI]. Please make sure that you have a responsible adult available and that you secure any pets during the visit. Thank you for your co-operation.</t>
  </si>
  <si>
    <t>STRY0089983</t>
  </si>
  <si>
    <t>IS142</t>
  </si>
  <si>
    <t>Child - Text to device wearer when visit is assigned - other visits - NON-curfew
Part 8 - missing status check - worn device</t>
  </si>
  <si>
    <t>1. remove the missing status check-worn device WOT (IS141) from the FMO
2. reassign the missing status check-worn device WOT to a different FMO (same day)
3. SMS (detailed in the Outcome Expected for IS141) should not be sent again</t>
  </si>
  <si>
    <t>Re-assignment of the missing status check-worn device WOT on the same day it was originally assigned will not generate another SMS to be sent
no more than one of these texts will be sent a day</t>
  </si>
  <si>
    <t>continuing from IS141</t>
  </si>
  <si>
    <t>IS143</t>
  </si>
  <si>
    <t>Child - Text to device wearer when visit is assigned - other visits - NON-curfew
Part 9 - missing status check - worn device</t>
  </si>
  <si>
    <t>1. remove the missing status check-worn device WOT (IS142) from the FMO
2. wait until the next day
3. re-assign the missing status check-worn device WOT to an FMO
4. SMS will send to the device wearer</t>
  </si>
  <si>
    <t>Re-assignment of the missing status check-worn device WOT the day after it was originally assigned will generate another SMS to be sent</t>
  </si>
  <si>
    <t>continuing from IS142</t>
  </si>
  <si>
    <t>IS150</t>
  </si>
  <si>
    <t>Child - FMO Travel text - Other visits
Part 1 - consent withdrawn</t>
  </si>
  <si>
    <t>1. FMO receives consent withdrawn WOT on their Agent App
2. FMO selects 'Accept'
3. FMO selects 'Start Travel'
4. state of the WOT updates to 'On Route'
5. SMS sent to the device wearer</t>
  </si>
  <si>
    <t>FMO receives consent withdrawn WOT on agent app and starts travel - SMS will send to device wearer
Content of SMS will be as below;
Hello [name]. An officer from the Electronic Monitoring Service is on their way so please ensure that you are available. It's important to be present for this visit, as not being available could lead to enforcement action. Please make sure that you have a responsible adult available and that you secure any pets during the visit. Thank you for your co-operation.</t>
  </si>
  <si>
    <t>continuing from IS134</t>
  </si>
  <si>
    <t>STRY0089984</t>
  </si>
  <si>
    <t>IS151</t>
  </si>
  <si>
    <t>Child - FMO Travel text - Other visits
Part 2 - hmu swap out</t>
  </si>
  <si>
    <t>1. FMO receives hmu swap out WOT on their Agent App
2. FMO selects 'Accept'
3. FMO selects 'Start Travel'
4. state of the WOT updates to 'On Route'
5. SMS sent to the device wearer</t>
  </si>
  <si>
    <t>FMO receives hmu swap out WOT on agent app and starts travel - SMS will send to device wearer
Content of SMS will be as below;
Hello [name]. An officer from the Electronic Monitoring Service is on their way so please ensure that you are available. It's important to be present for this visit, as not being available could lead to enforcement action. Please make sure that you have a responsible adult available and that you secure any pets during the visit. Thank you for your co-operation.</t>
  </si>
  <si>
    <t>continuing from IS137</t>
  </si>
  <si>
    <t>IS152</t>
  </si>
  <si>
    <t>Child - FMO Travel text - Other visits
Part 3 - monitor move</t>
  </si>
  <si>
    <t>1. FMO receives monitor move WOT on their Agent App
2. FMO selects 'Accept'
3. FMO selects 'Start Travel'
4. state of the WOT updates to 'On Route'
5. SMS sent to the device wearer</t>
  </si>
  <si>
    <t>FMO receives monitor move WOT on agent app and starts travel - SMS will send to device wearer
Content of SMS will be as below;
Hello [name]. An officer from the Electronic Monitoring Service is on their way so please ensure that you are available. It's important to be present for this visit, as not being available could lead to enforcement action. Please make sure that you have a responsible adult available and that you secure any pets during the visit. Thank you for your co-operation.</t>
  </si>
  <si>
    <t>continuing from IS140</t>
  </si>
  <si>
    <t>IS153</t>
  </si>
  <si>
    <t>Child - FMO Travel text - Other visits
Part 4 - missing status check - worn device</t>
  </si>
  <si>
    <t>1. FMO receives missing status check - worn device WOT on their Agent App
2. FMO selects 'Accept'
3. FMO selects 'Start Travel'
4. state of the WOT updates to 'On Route'
5. SMS sent to the device wearer</t>
  </si>
  <si>
    <t>FMO receives missing status check - worn device WOT on agent app and starts travel - SMS will send to device wearer
Content of SMS will be as below;
Hello [name]. An officer from the Electronic Monitoring Service is on their way so please ensure that you are available. It's important to be present for this visit, as not being available could lead to enforcement action. Please make sure that you have a responsible adult available and that you secure any pets during the visit. Thank you for your co-operation.</t>
  </si>
  <si>
    <t>continuing from IS143</t>
  </si>
  <si>
    <t>IS78</t>
  </si>
  <si>
    <t>Adult - Text message to Device wearer when Decom WOT is assigned
Part 1</t>
  </si>
  <si>
    <t>SMS will be sent to the device wearer following the decom WOT being assigned to an FMO
Content of SMS will be as follows;
'Hello [name]. An officer from the Electronic Monitoring Service will visit you today to collect your monitoring equipment following completion of your monitoring order. This visit will take place between [insert times here]. We would be grateful if you could make yourself available to avoid any further visits. Please secure any pets during the visit. Thank you for your co-operation.'</t>
  </si>
  <si>
    <t>STRY0090030</t>
  </si>
  <si>
    <t>IS79</t>
  </si>
  <si>
    <t>Adult - Text message to Device wearer when Decom WOT is assigned
Part 2</t>
  </si>
  <si>
    <t>1. remove the decom WOT (IS78) from the FMO
2. reassign the decom WOT to a different FMO (same day)
3. SMS (detailed in the Outcome Expected for IS78) should not be sent again</t>
  </si>
  <si>
    <t>continuing from IS78</t>
  </si>
  <si>
    <t>IS80</t>
  </si>
  <si>
    <t>Adult - Text message to Device wearer when Decom WOT is assigned
Part 3</t>
  </si>
  <si>
    <t>1. remove the decom WOT (IS79) from the FMO
2. wait until the next day
3. re-assign the decom WOT to an FMO
4. SMS will send to the device wearer</t>
  </si>
  <si>
    <t>continuing from IS79</t>
  </si>
  <si>
    <t>IS81</t>
  </si>
  <si>
    <t>Adult - Text message to Device wearer when ERO WOT is assigned
Part 1</t>
  </si>
  <si>
    <t>SMS will be sent to the device wearer following the ERO WOT being assigned to an FMO
Content of SMS will be as follows;
'Hello [name]. An officer from the Electronic Monitoring Service will visit you today to collect your monitoring equipment following completion of your monitoring order. This visit will take place between [insert times here]. We would be grateful if you could make yourself available to avoid any further visits. Please secure any pets during the visit. Thank you for your co-operation.'</t>
  </si>
  <si>
    <t>IS82</t>
  </si>
  <si>
    <t>Adult - Text message to Device wearer when ERO WOT is assigned
Part 2</t>
  </si>
  <si>
    <t>1. remove the ERO WOT (IS81) from the FMO
2. reassign the ERO WOT to a different FMO (same day)
3. SMS (detailed in the Outcome Expected for IS81) should not be sent again</t>
  </si>
  <si>
    <t>continuing from IS81</t>
  </si>
  <si>
    <t>IS83</t>
  </si>
  <si>
    <t>Adult - Text message to Device wearer when ERO WOT is assigned
Part 3</t>
  </si>
  <si>
    <t>1. remove the ERO WOT (IS82) from the FMO
2. wait until the next day
3. re-assign the ERO WOT to an FMO
4. SMS will send to the device wearer</t>
  </si>
  <si>
    <t>continuing from IS82</t>
  </si>
  <si>
    <t>IS92</t>
  </si>
  <si>
    <t>Child - FMO travel text message - Decoms</t>
  </si>
  <si>
    <t>FMO receives decom WOT on agent app and starts travel - SMS will send to device wearer
Content of SMS will be as below;
Hello [name]. An officer from the Electronic Monitoring Service is on their way, we would be grateful if you could make yourself available. Please make sure that you have a responsible adult available and that any pets are safely secured during the visit. Thank you for your co-operation.</t>
  </si>
  <si>
    <t>continuing from IS86</t>
  </si>
  <si>
    <t>STRY0090031</t>
  </si>
  <si>
    <t>IS93</t>
  </si>
  <si>
    <t>Child - FMO travel text message - ERO</t>
  </si>
  <si>
    <t>FMO receives ERO WOT on agent app and starts travel - SMS will send to device wearer
Content of SMS will be as below;
Hello [name]. An officer from the Electronic Monitoring Service is on their way, we would be grateful if you could make yourself available. Please make sure that you have a responsible adult available and that any pets are safely secured during the visit. Thank you for your co-operation.</t>
  </si>
  <si>
    <t>continuing from IS89</t>
  </si>
  <si>
    <t>IS154</t>
  </si>
  <si>
    <t>See text messages sent for visit on WOT</t>
  </si>
  <si>
    <t>1. impersonate Field Service Scheduler 
2. identify WOT where SMS's have been sent (use IS59)
3. open WOT
4. navigate to the 'SMS sent to device wearer' tab
5. ensure SMS was sent on assigning of the WOT
6. ensure SMS was sent on for starting travel
7. repeat steps 2-6 but impersonate MI Analyst
8. repeat steps 2-6 but impersonate an Operations Lead</t>
  </si>
  <si>
    <t>When impersonating Field Service Scheduler / MI Analyst / Operations Lead - SMS's that have been sent will display in the 'SMS sent to device wearer' section of the WOT</t>
  </si>
  <si>
    <t>STRY0090083</t>
  </si>
  <si>
    <t>IS155</t>
  </si>
  <si>
    <t>See text messages sent to Device wearer that have been triggered from a case before a visit
Part 1 - SR01</t>
  </si>
  <si>
    <t>1. impersonate MI Analyst
2. identify SR01 EMS Case where SMS's have been sent (use IS59)
3. open SR01 case
4. navigate to the 'SMS sent to device wearer' tab
5. ensure SMS was sent on creation of the SR01
6. repeat steps 2-5 but impersonate an Operational Lead</t>
  </si>
  <si>
    <t>When impersonating MI Analyst / Operations Lead - SMS's that have been sent will display in the 'SMS sent to device wearer' section of the SR01 case</t>
  </si>
  <si>
    <t>STRY0090085</t>
  </si>
  <si>
    <t>IS156</t>
  </si>
  <si>
    <t>See text messages sent to Device wearer that have been triggered from a case before a visit
Part 2 - SR02</t>
  </si>
  <si>
    <t>1. impersonate MI Analyst
2. identify SR02 EMS Case where SMS's have been sent (use IS56)
3. open SR02 case
4. navigate to the 'SMS sent to device wearer' tab
5. ensure SMS was sent on creation of the SR02
6. repeat steps 2-5 but impersonate an Operational Lead</t>
  </si>
  <si>
    <t>When impersonating MI Analyst / Operations Lead - SMS's that have been sent will display in the 'SMS sent to device wearer' section of the SR02 case</t>
  </si>
  <si>
    <t>IS73</t>
  </si>
  <si>
    <t>Child - Text to device wearer for 2nd/3rd install on assignment
Part 2 - install 2nd attempt</t>
  </si>
  <si>
    <t>1. remove the install 2nd attempt WOT (IS72) from the FMO
2. reassign the install WOT to a different FMO (same day)
3. SMS (detailed in the Outcome Expected for IS72) should not be sent again</t>
  </si>
  <si>
    <t>continuing from IS72</t>
  </si>
  <si>
    <t>IS74</t>
  </si>
  <si>
    <t>Child - Text to device wearer for 2nd/3rd install on assignment
Part 3 - install 2nd attempt</t>
  </si>
  <si>
    <t>1. remove the install 2nd attempt WOT (IS73) from the FMO
2. wait until the next day
3. re-assign the install WOT to an FMO
4. SMS will send to the device wearer</t>
  </si>
  <si>
    <t>continuing from IS73 - book off visit as no show to lead to IS75</t>
  </si>
  <si>
    <t>KP01</t>
  </si>
  <si>
    <t>Hide Order Cease request field on the monitoring order-Bail</t>
  </si>
  <si>
    <t>- create interaction
- create DW
- create case
- create monitoring order
- create Mon Req
- create Mon Con
- create WO
- create WOT</t>
  </si>
  <si>
    <t>-  order cease request field no longer displayed on monitoring order
- Mon Order saved</t>
  </si>
  <si>
    <t>STRY0072638</t>
  </si>
  <si>
    <t>KP02</t>
  </si>
  <si>
    <t>Violation case Closed state Hidden</t>
  </si>
  <si>
    <t xml:space="preserve">- Identify Violation case
- navigate to the state 
</t>
  </si>
  <si>
    <t>Closed state not Presented</t>
  </si>
  <si>
    <t>STRY0086778</t>
  </si>
  <si>
    <t>KP03</t>
  </si>
  <si>
    <t>KPI6-AL02-Call Made-Answered</t>
  </si>
  <si>
    <t>AL02 has been created 
- API to PD displayed in activity stream
- call made to HMU
- call answered
- call ends
- update investigation outcome field on case to Violation confirmed
- update resolution field to completed
- update state to resolved</t>
  </si>
  <si>
    <t xml:space="preserve">-Interaction created in ServiceNow with Short description: AL02 Tamper of worn device non curfew order
- auto set first response date and time field in table
- First Call Outcome data field populated on case
- interaction updated as Closed Complete
- investigation outcome field set to Violation confirmed
- resolution field set to completed
- state set to resolved
</t>
  </si>
  <si>
    <t>STRY0088560</t>
  </si>
  <si>
    <t>KP04</t>
  </si>
  <si>
    <t>KPI6-AL20-Call Made-Closed Abandoned</t>
  </si>
  <si>
    <t>AL20 has been created 
- API triggered to PD Non compliance campaign
- PD call made to HMU
- call abandon
- set interaction state to Closed Abandoned
- on case select 'Violation confirmed' in Investigation Outcome field
- set case state to resolved
- insert text in Work notes (private)
- insert Complete in Resolution code
- insert text in Resolution notes
- select Save</t>
  </si>
  <si>
    <t>- API to PD displayed in activity stream
- interaction created
- chat summary updated on interaction
- interaction set to Closed Abandoned state
- interaction updated to Closed Abandoned state
- case set to resolved and data fields updated</t>
  </si>
  <si>
    <t>KP05</t>
  </si>
  <si>
    <t xml:space="preserve">AL20 - Auto resolution of cases and promotion to enforcement-Closed Complete </t>
  </si>
  <si>
    <t xml:space="preserve">AL20 case has been created
- within FMO app complete Equipment Check visit report 
- complete work order task as closed complete 
</t>
  </si>
  <si>
    <t xml:space="preserve">- WOT state set to Closed Complete
- AL20 state auto set to resolved                                                                               </t>
  </si>
  <si>
    <t>STRY0089991</t>
  </si>
  <si>
    <t>KP06</t>
  </si>
  <si>
    <t xml:space="preserve">AL20 - Auto resolution of cases and promotion to enforcement-Health &amp; Safety </t>
  </si>
  <si>
    <t>AL20 case has been created
- within FMO app complete Equipment Check  visit report
- complete work order task as unsuccessful
-reason for unsuccessful is health and safety</t>
  </si>
  <si>
    <t xml:space="preserve">WOT state set to Closed Incomplete
AL20 to promote to enforcement:
Reason for non compliance = Health &amp; Safety 
Category = Other 
Subcategory = 103 - No movement of device wearer </t>
  </si>
  <si>
    <t>KP07</t>
  </si>
  <si>
    <t>AL20 - Auto resolution of cases and promotion to enforcement-No Show</t>
  </si>
  <si>
    <t>AL20 case has been created
- within FMO app complete Equipment Check visit  report
- complete work order task as unsuccessful</t>
  </si>
  <si>
    <t xml:space="preserve">WOT state set to Closed Incomplete
AL20 to promote to enforcement:
Reason for non compliance = no show
Category = Other 
Subcategory = 103 - No movement of device wearer 
</t>
  </si>
  <si>
    <t>KP08</t>
  </si>
  <si>
    <t>AL20 - Auto resolution of cases and promotion to enforcement-withdrawl of consent</t>
  </si>
  <si>
    <t>AL20 case has been created
- within FMO app complete Equipment Check  report
-complete work order task as unsuccessful</t>
  </si>
  <si>
    <t xml:space="preserve">WOT state set to Closed Incomplete
AL20 to promote to enforcement:
Reason for non compliance = Withdrawal of Consent
Category = Other
Subcategory = 103 - No movement of device wearer
</t>
  </si>
  <si>
    <t>KP09</t>
  </si>
  <si>
    <t>AL20 - Auto resolution of cases and promotion to enforcement- Unable to Locate</t>
  </si>
  <si>
    <t>AL20 case has been created
- within FMO app complete Equipment Check report
- complete work order task as unsuccessful</t>
  </si>
  <si>
    <t xml:space="preserve">WOT state set to Unsuccessful Closed/Incomplete
AL20 to promote to enforcement:
Reason for non compliance = Unable to Locate
Category = Other
Subcategory = 103 - No movement of device wearer
</t>
  </si>
  <si>
    <t>KP10</t>
  </si>
  <si>
    <t>Make investigation outcome field mandatory when resolving a specials alert case</t>
  </si>
  <si>
    <t xml:space="preserve">create AL01B Alert
-Viloation Confirmed
-Breach Pack created
-Reslove case
-Investigation outcome field is mandatory
</t>
  </si>
  <si>
    <t>Case state resolved
Investigation Outcome' field will become mandatory </t>
  </si>
  <si>
    <t>STRY0086890</t>
  </si>
  <si>
    <t>KP11</t>
  </si>
  <si>
    <t>KPI6-AL03- not answered</t>
  </si>
  <si>
    <t>AL03 has been created
- API to PD displayed in activity stream
- call made to HMU
- call not answered
- update investigation outcome field to Violation confirmed
- update resolution field to completed
- update state to resolved</t>
  </si>
  <si>
    <t xml:space="preserve">- API to PD displayed in activity stream
- auto set first response date and time field in table
- First Call Outcome data field populated on case
- no interaction created
- investigation outcome field set to Violation confirmed
- resolution field set to completed
- state set to resolved"
</t>
  </si>
  <si>
    <t>Regression</t>
  </si>
  <si>
    <t>KP12</t>
  </si>
  <si>
    <t>KPI6-AL08- answered</t>
  </si>
  <si>
    <t xml:space="preserve">AL08 has been created
- API to PD displayed in activity stream
- call made to HMU
- call answered
- call ends
- update investigation outcome field on case to Violation confirmed
- update resolution field to completed
- update state to resolved
-return home late alert generated </t>
  </si>
  <si>
    <t>-Interaction created in ServiceNow with Short description: AL08 Out Past Curfew Commencement
- auto set first response date and time field in table
- First Call Outcome data field populated on case
- interaction updated as Closed Complete
- investigation outcome field set to Violation confirmed
- resolution field set to completed
- state set to resolved
-case closed automatically after 6 hours
-AL09 Is Added to AL08</t>
  </si>
  <si>
    <t>KP13</t>
  </si>
  <si>
    <t>KPI6-AL10- not answered</t>
  </si>
  <si>
    <t>AL10 has been created
- API to PD displayed in activity stream
- call made to HMU
unsuccessful message in actiivity stream
- needs attention flag updated
 auto set first response date and time field
return home late alert generated 
-investigation outcome field set to Violation confirmed
- resolution field set to completed
-case closed automatically after 6 hours</t>
  </si>
  <si>
    <t>- case closed automatically after 6 hours
-AL09 Is Added to</t>
  </si>
  <si>
    <t>KP14</t>
  </si>
  <si>
    <t>KPI6-AL23- answered</t>
  </si>
  <si>
    <t>AL23 has been created
- API to PD displayed in activity stream
- call made to HMU and picked up
- call ends
- update investigation outcome field on case to Violation confirmed
- update resolution field to completed
- update state to resolved
- promote to enforcement AL105
- create breach pack</t>
  </si>
  <si>
    <t>Short description: AL23 Automated voice message to Device Wearer
- auto set first response date and time field in table
- First Call Outcome data field populated on case
- interaction updated as Closed Complete
- needs attention flag updated
- investigation outcome field set to Violation confirmed
- resolution field set to completed
- state set to resolved
- interaction created on AL23 shown on AL105 breach pack"</t>
  </si>
  <si>
    <t>KP15</t>
  </si>
  <si>
    <t>AL23 - Bail - not answered</t>
  </si>
  <si>
    <t>AL23 has been created
- API to PD displayed in activity stream
- call made to HMU
unsuccessful message in actiivity stream
- needs attention flag updated
 auto set first response date and time field
-investigation outcome field set to Violation confirmed
- resolution field set to completed
-  auto close 15 mins later
-auto generate AL105
- create breach pack</t>
  </si>
  <si>
    <t>auto close 15 mins later
auto generate AL105</t>
  </si>
  <si>
    <t>KP16</t>
  </si>
  <si>
    <t>Monitoiring case 'Closed state</t>
  </si>
  <si>
    <t xml:space="preserve">- Identify monitoring case
- navigate to the state 
</t>
  </si>
  <si>
    <t>KP17</t>
  </si>
  <si>
    <t>Enforcement case Closed state</t>
  </si>
  <si>
    <t xml:space="preserve">- Identify Enforcement case
- navigate to the state 
</t>
  </si>
  <si>
    <t>KP18</t>
  </si>
  <si>
    <t>SR05-Additional Address Install-Closed state</t>
  </si>
  <si>
    <t xml:space="preserve">Identify SR05 case
navigate to the state 
</t>
  </si>
  <si>
    <t>KP19</t>
  </si>
  <si>
    <t>SR06-General Enquiry (Phone)-Closed state</t>
  </si>
  <si>
    <t xml:space="preserve">Identify SR06 case
navigate to the state 
</t>
  </si>
  <si>
    <t>KP20</t>
  </si>
  <si>
    <t>SR07-General Enquiry (Other Channels)-Closed state</t>
  </si>
  <si>
    <t xml:space="preserve">Identify SR07 case
navigate to the state 
</t>
  </si>
  <si>
    <t>KP21</t>
  </si>
  <si>
    <t>SR08-Amend Monitoring Requirements-Closed state</t>
  </si>
  <si>
    <t xml:space="preserve">Identify SR08 case
navigate to the state 
</t>
  </si>
  <si>
    <t>KP22</t>
  </si>
  <si>
    <t>SR09-High Priority Visit-Closed state</t>
  </si>
  <si>
    <t xml:space="preserve">Identify SR09 case
navigate to the state 
</t>
  </si>
  <si>
    <t>KP23</t>
  </si>
  <si>
    <t>SR10-Non-High Priority Visit-Closed state</t>
  </si>
  <si>
    <t xml:space="preserve">Identify SR10 case
navigate to the state 
</t>
  </si>
  <si>
    <t>KP24</t>
  </si>
  <si>
    <t>SR11-Device Removal (Bail)-Closed state</t>
  </si>
  <si>
    <t xml:space="preserve">Identify SR11 case
navigate to the state 
</t>
  </si>
  <si>
    <t>KP25</t>
  </si>
  <si>
    <t>SR12-Approve Absence Evidence-Closed state</t>
  </si>
  <si>
    <t xml:space="preserve">Identify SR12 case
navigate to the state 
</t>
  </si>
  <si>
    <t>KP26</t>
  </si>
  <si>
    <t>SR13-Priority 1 Data Request (Mobilised Resources-Closed state</t>
  </si>
  <si>
    <t xml:space="preserve">Identify SR13 case
navigate to the state 
</t>
  </si>
  <si>
    <t>KP27</t>
  </si>
  <si>
    <t>SR15-Priority 1 Data Request (Custody)-Closed state</t>
  </si>
  <si>
    <t xml:space="preserve">Identify SR15 case
navigate to the state 
</t>
  </si>
  <si>
    <t>KP28</t>
  </si>
  <si>
    <t>SR16-Priority 2 Data Request-Closed state</t>
  </si>
  <si>
    <t xml:space="preserve">Identify SR16 case
navigate to the state 
</t>
  </si>
  <si>
    <t>KP29</t>
  </si>
  <si>
    <t>SR17-Data Request (Non-EAR)-Closed state</t>
  </si>
  <si>
    <t xml:space="preserve">Identify SR17 case
navigate to the state 
</t>
  </si>
  <si>
    <t>KP30</t>
  </si>
  <si>
    <t>SR20-Change RO/Organisation-Closed state</t>
  </si>
  <si>
    <t xml:space="preserve">Identify SR20 case
navigate to the state 
</t>
  </si>
  <si>
    <t>KP31</t>
  </si>
  <si>
    <t>SR21-Revocation of Monitoring-Closed state</t>
  </si>
  <si>
    <t xml:space="preserve">Identify SR21 case
navigate to the state 
</t>
  </si>
  <si>
    <t>KP32</t>
  </si>
  <si>
    <t>Hide Order Cease request field on the monitoring order-Non-Bail</t>
  </si>
  <si>
    <t>KP33</t>
  </si>
  <si>
    <t>Hide Order Cease request field on the monitoring order-DAPO</t>
  </si>
  <si>
    <t>KP34</t>
  </si>
  <si>
    <t>Hide Order Cease request field on the monitoring order-Immigration</t>
  </si>
  <si>
    <t>KP35</t>
  </si>
  <si>
    <t>Hide Order Cease request field on the monitoring order-Specials</t>
  </si>
  <si>
    <t>KP36</t>
  </si>
  <si>
    <t xml:space="preserve">Hide Order Cease request field on the monitoring order-Alcohol monitoring </t>
  </si>
  <si>
    <t>KP37</t>
  </si>
  <si>
    <t>Hide Order Cease request field on the monitoring order-Acquisitive Crime</t>
  </si>
  <si>
    <t>KP38</t>
  </si>
  <si>
    <t xml:space="preserve">Make investigation outcome field will not be mandatory </t>
  </si>
  <si>
    <t xml:space="preserve">create AL06
-Viloation Confirmed
-Breach Pack created
-Reslove case
-Investigation outcome field is not mandatory
</t>
  </si>
  <si>
    <t>Case state resolved
Investigation Outcome' field will not become mandatory </t>
  </si>
  <si>
    <t>KP39</t>
  </si>
  <si>
    <t>Immigration-AL22-Answered</t>
  </si>
  <si>
    <t xml:space="preserve"> AL22 has been created 
- API to PD displayed in activity stream
- call made to HMU
- interaction created in ServiceNow with Short description: AL22 Automated voice message to Device Wearer
- call ends
- interaction closed
</t>
  </si>
  <si>
    <t>- investigation outcome field set to Violation confirmed
- resolution field set to completed
- state set to resolved</t>
  </si>
  <si>
    <t>KP40</t>
  </si>
  <si>
    <t>Immigration-AL22-Not Answered</t>
  </si>
  <si>
    <t>AL22 Alert case
- API to PD displayed in activity stream
- call made to HMU
- unsuccessful message in actiivity stream
- needs attention flag updated</t>
  </si>
  <si>
    <t>activity stream updated
needs attention flag updated after 1 hour</t>
  </si>
  <si>
    <t>KP41</t>
  </si>
  <si>
    <t>KPI 6 - AL19-Paas</t>
  </si>
  <si>
    <t>case created
resolved before 8 hours of case being created</t>
  </si>
  <si>
    <t xml:space="preserve"> KPI Passed</t>
  </si>
  <si>
    <t>STRY0087935</t>
  </si>
  <si>
    <t>KP42</t>
  </si>
  <si>
    <t>KPI 6 - AL19-Fail</t>
  </si>
  <si>
    <t>case created
resolved after 8 hours of case being created</t>
  </si>
  <si>
    <t>KPI6 Failed</t>
  </si>
  <si>
    <t>KP43</t>
  </si>
  <si>
    <t>KPI6- AL20-Pass</t>
  </si>
  <si>
    <t>STRY0088498</t>
  </si>
  <si>
    <t>KP44</t>
  </si>
  <si>
    <t>KPI6 - AL20-Fail</t>
  </si>
  <si>
    <t>KP45</t>
  </si>
  <si>
    <t>KPI6 - AL21 - Pass</t>
  </si>
  <si>
    <t>STRY0088500</t>
  </si>
  <si>
    <t>KP46</t>
  </si>
  <si>
    <t>KPI6 - AL21 - FAIL</t>
  </si>
  <si>
    <t>KP47</t>
  </si>
  <si>
    <t>KPI6 - AL24 - PASS</t>
  </si>
  <si>
    <t>STRY0088507</t>
  </si>
  <si>
    <t>KP48</t>
  </si>
  <si>
    <t>KPI6 - AL24 -FAIL</t>
  </si>
  <si>
    <t>KP49</t>
  </si>
  <si>
    <t>KPI6 - AL27 - PASS</t>
  </si>
  <si>
    <t>STRY0088508</t>
  </si>
  <si>
    <t>KP50</t>
  </si>
  <si>
    <t>KPI6 - AL27 -FAIL</t>
  </si>
  <si>
    <t>KP51</t>
  </si>
  <si>
    <t>KPI6 - AL28 - PASS</t>
  </si>
  <si>
    <t>STRY0088509</t>
  </si>
  <si>
    <t>KP52</t>
  </si>
  <si>
    <t>KPI6 - AL28 -FAIL</t>
  </si>
  <si>
    <t>KP53</t>
  </si>
  <si>
    <t>Violation Investigation table</t>
  </si>
  <si>
    <t xml:space="preserve">Access WOT list 
- add Onsite Arrival Time data field to view
- attempt to update data field from list view
- open WOT </t>
  </si>
  <si>
    <t>- Onsite Arrival Time data field shown
- data field not editable
- data field not displayed on WOT form</t>
  </si>
  <si>
    <t>STRY0086887</t>
  </si>
  <si>
    <t>KP54</t>
  </si>
  <si>
    <t>KPI6-AL22 - answered</t>
  </si>
  <si>
    <t xml:space="preserve">AL22 has been created 
- API triggered to PD Battery Alert campaign
- PD call made to HMU
- call answered
- call ends
- on case select 'Violation confirmed' in Investigation Outcome field
- set case state to resolved
- insert text in Work notes (private)
- insert Complete in Resolution code
- insert text in Resolution notes
- select Save
</t>
  </si>
  <si>
    <t>- API to PD displayed in activity stream
- interaction created in ServiceNow with Short description: AL22 Automated voice message to Device Wearer
- chat summary updated on interaction
- interaction closed
- case set to resolved and data fields updated</t>
  </si>
  <si>
    <t>STRY0088506</t>
  </si>
  <si>
    <t>KP55</t>
  </si>
  <si>
    <t>KPI6-AL22 - not answered</t>
  </si>
  <si>
    <t>AL22 has been created 
- API triggered to PD Battery Alert campaign
- PD call made to HMU
- call not answered
- on case select 'Violation confirmed' in Investigation Outcome field
- set case state to resolved
- insert text in Work notes (private)
- insert Complete in Resolution code
- insert text in Resolution notes
- select Save</t>
  </si>
  <si>
    <t>- API to PD displayed in activity stream
- no interaction created
- unsuccessful work note added
- needs attention flag updated on case
- case set to resolved and data fields updated</t>
  </si>
  <si>
    <t>KP56</t>
  </si>
  <si>
    <t>Device Maintenance Case</t>
  </si>
  <si>
    <t>- access as an MI Analyst
- KPI section displayed on form
- access as Enforcement Agent
- KPI section not displayed on form</t>
  </si>
  <si>
    <t>- KPI visible to MI Analyst
- KPI not visible to Enforcement Agent</t>
  </si>
  <si>
    <t>STRY0088537</t>
  </si>
  <si>
    <t>KP57</t>
  </si>
  <si>
    <t>Monitoring Fault Indication Case</t>
  </si>
  <si>
    <t>STRY0088540</t>
  </si>
  <si>
    <t>KP58</t>
  </si>
  <si>
    <t>Default to Europe/London TimeZone</t>
  </si>
  <si>
    <t xml:space="preserve"> -create interaction
- create DW
- create case
- create monitoring order
- create Mon Req
- create schedule for curfew
- default to europe/london time zone 
- create Mon Con
- create WO
- create WOT</t>
  </si>
  <si>
    <t>- Time zone field defaulted to Europe/london</t>
  </si>
  <si>
    <t>STRY0090384</t>
  </si>
  <si>
    <t>ME01</t>
  </si>
  <si>
    <t>- access an Enforcement case
- select Enforcement Actions
- select existing Pending Action record
- select Device Wearer Arrested on Section 9
- select save</t>
  </si>
  <si>
    <t>- enforceable action updated to Device Wearer Arrested on Section 9</t>
  </si>
  <si>
    <t>ME02</t>
  </si>
  <si>
    <t>- access an Enforcement case
- select Enforcement Actions
- select existing Pending Action record
- select Device Wearer Detained
- select save</t>
  </si>
  <si>
    <t xml:space="preserve">- enforceable action updated to Device Wearer Detained </t>
  </si>
  <si>
    <t>ME03</t>
  </si>
  <si>
    <t>2nd WOT Tag at source - closed complete no install location populated</t>
  </si>
  <si>
    <t>- create order with TAS location only
- close complete TAS WOT</t>
  </si>
  <si>
    <t>- no 2nd WOT generated</t>
  </si>
  <si>
    <t>ME04</t>
  </si>
  <si>
    <t>2nd WOT Tag at source - closed incomplete, install location populated</t>
  </si>
  <si>
    <t>- create order with TAS location and install location
- close complete TAS WOT
- close complete 2nd WOT</t>
  </si>
  <si>
    <t>- 2nd WOT created for install location</t>
  </si>
  <si>
    <t>ME05</t>
  </si>
  <si>
    <t>2nd WOT Tag at source - closed incomplete no install location populated, DW has primary address</t>
  </si>
  <si>
    <t>- create order with TAS location only
- close incomplete TAS WOT
- close complete 2nd WOT</t>
  </si>
  <si>
    <t>- 2nd WOT created for DW primary address on DW form</t>
  </si>
  <si>
    <t>ME06</t>
  </si>
  <si>
    <t>2nd WOT Tag at source - closed incomplete no install location populated, DW has NFA</t>
  </si>
  <si>
    <t>- 2nd WOT created for blank location</t>
  </si>
  <si>
    <t>ME07</t>
  </si>
  <si>
    <t>2nd WOT Install at source pilot - closed complete no install location populated</t>
  </si>
  <si>
    <t>- create order with IAS location only
- close complete IAS WOT</t>
  </si>
  <si>
    <t>AR01</t>
  </si>
  <si>
    <t>Bail - Curfew and Exclusion - 15 minutes in 1 event</t>
  </si>
  <si>
    <t>- create out at start of curfew event
- create return home late event after 15 mins
- create breach pack</t>
  </si>
  <si>
    <t>- AL08 case generated
- AL09 added to the AL08
- AL13 case generated</t>
  </si>
  <si>
    <t>MHI/ EA</t>
  </si>
  <si>
    <t>AR02</t>
  </si>
  <si>
    <t>Bail - Curfew and Exclusion - 15 minutes over 2 events in same curfew, 2nd event no return</t>
  </si>
  <si>
    <t>- create out at start of curfew event
- create return home during curfew after 10 mins
- create left home during curfew after 5 mins 
- check AL13 generated after 15 mins
- create the breach pack
- create a return home late event</t>
  </si>
  <si>
    <t>- AL08 case generated 
- AL09 added to the AL08
- AL10 case generated 
- AL13 case generated
- AL09 is added to the AL10</t>
  </si>
  <si>
    <t>AR03</t>
  </si>
  <si>
    <t>Bail - Curfew and Exclusion 15 minutes over 2 events in different curfews</t>
  </si>
  <si>
    <t xml:space="preserve">- create left home during 1st curfew
- create returned home during curfew after 7mins
- create left home during 2nd curfew
- create returned home during curfew after 10mins
</t>
  </si>
  <si>
    <t xml:space="preserve">- AL10 case generated
- AL09 is added to the AL10
- AL10 case generated
- AL09 is added to the AL10
</t>
  </si>
  <si>
    <t>AR04</t>
  </si>
  <si>
    <t>DAPO - Curfew only - 15 minutes in 1 event</t>
  </si>
  <si>
    <t xml:space="preserve">
'-AL08 case generated
- AL13 case generated</t>
  </si>
  <si>
    <t>AR05</t>
  </si>
  <si>
    <t>DAPO - Curfew only - 
15 minutes over 2 events in same curfew, 2nd event no return</t>
  </si>
  <si>
    <t xml:space="preserve">- AL08 case generated 
- AL13 case generated </t>
  </si>
  <si>
    <t>AR06</t>
  </si>
  <si>
    <t>DAPO - Curfew only - 
15 minutes over 2 events in different curfews</t>
  </si>
  <si>
    <t xml:space="preserve">- create left home during 1st curfew
- create returned home during curfew after 7 mins
- create left home during 2nd curfew
- create returned home during curfew after 10 mins
</t>
  </si>
  <si>
    <t xml:space="preserve">- AL10 case generated
- AL09 is added to the AL10
- AL10 case generated 
- AL09 is added to the AL10
</t>
  </si>
  <si>
    <t>AR07</t>
  </si>
  <si>
    <t>Non-Bail - Curfew and Exclusion - 2 hours in 1 event for same curfew period</t>
  </si>
  <si>
    <t>- create out at start of curfew event
- create return home late event after 2 hours
- check AL13 Generated
- create breach pack</t>
  </si>
  <si>
    <t xml:space="preserve">- AL08 case generated 
- AL09 added to the AL08
- AL13 case generated
</t>
  </si>
  <si>
    <t>AR08</t>
  </si>
  <si>
    <t xml:space="preserve">Non-Bail - Curfew and Exclusion - 3 hours over 2 events for the same curfew period </t>
  </si>
  <si>
    <t xml:space="preserve">- create out at start of curfew event
- create return home late event after 2 hours
- create a left during curfew after 30 mins
- create a return home late after 30 mins 
- create breach pack
- check next day the ATV resets </t>
  </si>
  <si>
    <t>- AL08 case generated 
- AL09 added to the AL08
- AL10 case generated 
- AL13 case generated 
- AL09 is added to the AL10</t>
  </si>
  <si>
    <t>AR09</t>
  </si>
  <si>
    <t xml:space="preserve">Immigration - GPS - AL06 - Multiple events </t>
  </si>
  <si>
    <t>- enter exclsuion zone
- depart exculsion zone
- do the top two events multiple times through the day 
- AL06 case generated and all exclusion events up to 6.59am included
- AL06 case generated</t>
  </si>
  <si>
    <t xml:space="preserve">Generate breach pack after 07:00am </t>
  </si>
  <si>
    <t>LJ</t>
  </si>
  <si>
    <t>AR10</t>
  </si>
  <si>
    <t xml:space="preserve">NFD - Order creation and missed biometric </t>
  </si>
  <si>
    <t xml:space="preserve">- Install NFD
- When alert for biometric generates use a fingerprint not used on install
- Create Breach                                             </t>
  </si>
  <si>
    <t xml:space="preserve">AL18 Generated 
</t>
  </si>
  <si>
    <t>AR11</t>
  </si>
  <si>
    <t xml:space="preserve">Immigration - Strap Tamper </t>
  </si>
  <si>
    <t xml:space="preserve">1. Generate tamper
2.AL02-Generated
3. Create visit to comfirm Tamper
4. Book off as confirmed tamper 
5. Create breach </t>
  </si>
  <si>
    <t>AL104 manually Generated after visit</t>
  </si>
  <si>
    <t>AR12</t>
  </si>
  <si>
    <t>Bail - Child- Curfew and Exclusion - 15 minutes in 1 event</t>
  </si>
  <si>
    <t>- AL08 case generated
- AL13 case generated
- AL09 added to AL08</t>
  </si>
  <si>
    <t>AR13</t>
  </si>
  <si>
    <t>Bail - Child - Curfew and Exclusion - 15 minutes over 2 events in same curfew, 2nd event no return</t>
  </si>
  <si>
    <t>AR14</t>
  </si>
  <si>
    <t>Bail - Child - Curfew and Exclusion - 15 minutes over 2 events in different curfews</t>
  </si>
  <si>
    <t>- AL10 case generated
- AL09 is added to the AL10
- AL10 case generated
- AL09 is added to the AL10</t>
  </si>
  <si>
    <t>AR15</t>
  </si>
  <si>
    <t>Bail - Curfew and Exclusion - single exclusion</t>
  </si>
  <si>
    <t xml:space="preserve">- Create single exclusion breach during 7am - 6:59am
- AL06 Generated 
- create breach pack after 7am the next day 
 </t>
  </si>
  <si>
    <t xml:space="preserve">1 case generated 7am - 6.59am
- generate AL06 </t>
  </si>
  <si>
    <t>AR16</t>
  </si>
  <si>
    <t>Non-Bail - Curfew and Exclusion - Multiple Exclusions over 2 days</t>
  </si>
  <si>
    <t>- create multiple exclusions between 7.00am and 6.59am
- create multiple exclusion the next day 
- create exclusion after 6.59am</t>
  </si>
  <si>
    <t>- AL06 case generated and all exclusion events up to 6.59am included
- AL06 case generated
- next day another AL06 case generated</t>
  </si>
  <si>
    <t>AR17</t>
  </si>
  <si>
    <t>Bail - Child - Curfew and Exclusion - multiple events in a day</t>
  </si>
  <si>
    <t>AR18</t>
  </si>
  <si>
    <t>Child - Non-Bail-Post Release - Curfew only - HDC (SECTON 91) - 2 hours in 1 event for same curfew period</t>
  </si>
  <si>
    <t>- AL08 case generated 
- AL09 added to the AL08
- AL13 case generated</t>
  </si>
  <si>
    <t>AR19</t>
  </si>
  <si>
    <t xml:space="preserve">Child-Non-Bail-Post Release  - Curfew only - HDC (SECTON 91) - 3 hours over 2 events for the same curfew period </t>
  </si>
  <si>
    <t xml:space="preserve">- create out at start of curfew event
- create return home late event after 1 hour and 15 mins
- create a left during curfew after 30 mins
- create a return home late after 30 mins 
- create breach pack
- check next day the ATV resets </t>
  </si>
  <si>
    <t>AR20</t>
  </si>
  <si>
    <t>Alcohol Montioring-AL02/AL104-Confirmed Tamper</t>
  </si>
  <si>
    <t>- AAMR - Strap Tamper event received(26 - EV_PID_STRAP_TAMPER_COUNT_INCREASED)
- AL02 case created
- create WOT
- devices changed
- create Enforcement AL104 case
- create breach pack</t>
  </si>
  <si>
    <t xml:space="preserve">manually create WOT
book off as Confirmed tamper 
AL104 To be Promtoed from AL02 </t>
  </si>
  <si>
    <t>26 - EV_PID_STRAP_TAMPER_COUNT_INCREASED</t>
  </si>
  <si>
    <t>AR21</t>
  </si>
  <si>
    <t xml:space="preserve">Alcohol Monitoring-AL21-Battery Low </t>
  </si>
  <si>
    <t>- AAMR - PID Low Battery event received(38 - EV_PID_BATTERY_LOW)
- AL21 case created
- create WOT</t>
  </si>
  <si>
    <t>manually create Work order task for the AL21 Case</t>
  </si>
  <si>
    <t>38 - EV_PID_BATTERY_LOW</t>
  </si>
  <si>
    <t>AR22</t>
  </si>
  <si>
    <t xml:space="preserve">Alcohol Monitoring-AL17-Alcohol threshold breach </t>
  </si>
  <si>
    <t>- Alcohol Detected event received(430 - EV_ALCOHOL_THRESHOLD_BREACH)
- AL17 case created
- create breach pack</t>
  </si>
  <si>
    <t>AL17 Case to generate
Breach pack to be generated</t>
  </si>
  <si>
    <t>430 - EV_ALCOHOL_THRESHOLD_BREACH</t>
  </si>
  <si>
    <t>AR23</t>
  </si>
  <si>
    <t>Alcohol Monitoring-AL24-Replace Equipment</t>
  </si>
  <si>
    <t>- Replace Equipment event received(441 - EV_REPLACE_EQUIPMENT)
- AL24 case created
- create WOT</t>
  </si>
  <si>
    <t>Manually create Work order task for case AL24</t>
  </si>
  <si>
    <t>441 - EV_REPLACE_EQUIPMENT</t>
  </si>
  <si>
    <t>AR24</t>
  </si>
  <si>
    <t>Alcohol montioring-AL25-CRITICAL COMMS</t>
  </si>
  <si>
    <t>- AAMR - Base station has transmited Bracelet data after a critical_comms_period alert event received
- 462 CRITICAL COMMS PERIOD TO BE SENT BY SCRAM 
- AL25 case created
- create Breach
'- Comms established event received - no other event(463_COMMS_ESTABLISHED)
- update AL25 case</t>
  </si>
  <si>
    <t>462 Code is deployed 
-AL25 Generated 
-breach pack created 
-463 to end the case and update the AL25 Case</t>
  </si>
  <si>
    <t>462 - EV_CRITICAL_COMMS_PERIOD
463_COMMS_ESTABLISHED</t>
  </si>
  <si>
    <t>AR25</t>
  </si>
  <si>
    <t>Alcohol montioring-AL26-Potential Tamper</t>
  </si>
  <si>
    <t>- Confirmed obstruction event received
- 440 code for scram to send through
- AL26 case created
- Notification automatically sent out and case updated to resolved by system</t>
  </si>
  <si>
    <t xml:space="preserve">AL26 to sne dout the notification and then Auto reslove </t>
  </si>
  <si>
    <t>440 - EV_POTENTIAL_TAMPER</t>
  </si>
  <si>
    <t>AR26</t>
  </si>
  <si>
    <t xml:space="preserve">Alcohol montioring-AL31-Alochol threshold breach at install </t>
  </si>
  <si>
    <t xml:space="preserve">1. Task install visit - COMPLETE INSTALL 
2. Scram to generate TAC(461)
3. Check AL31 generated 
4. Check notification email sent 
</t>
  </si>
  <si>
    <t xml:space="preserve">Notification auto sent </t>
  </si>
  <si>
    <t>461 - EV_ALCOHOL_THRESHOLD_BREACH_TAC_AT_INSTALL</t>
  </si>
  <si>
    <t>AR27</t>
  </si>
  <si>
    <t>Bail - Withdrawal of Consent</t>
  </si>
  <si>
    <t>1. Create EC
2. Task Visit
3. Task install visit - book off as Withdrawal of consent
4. Create breach</t>
  </si>
  <si>
    <t>AL102 generated</t>
  </si>
  <si>
    <t>AR28</t>
  </si>
  <si>
    <t>Bail - Threatening or abusive behaviour</t>
  </si>
  <si>
    <t>1. Create EC
2. Task Visit
3. Task install visit - book off as Threating or Abusive Behaviour 
4. Create breach</t>
  </si>
  <si>
    <t>AL101</t>
  </si>
  <si>
    <t>AR29</t>
  </si>
  <si>
    <t>Non-Bail - Withdrawal of consent</t>
  </si>
  <si>
    <t>AR30</t>
  </si>
  <si>
    <t>Bail - Adult - No Show</t>
  </si>
  <si>
    <t>1. Create EC
2. Task Visit
3. Task install visit - book off as no show x2
4. Create breach</t>
  </si>
  <si>
    <t>AL100 generated</t>
  </si>
  <si>
    <t>AR31</t>
  </si>
  <si>
    <t>AM - No Show</t>
  </si>
  <si>
    <t>1. Create EC
2. Task Visit
3. Task install visit - book off as no show x3
4. Create breach</t>
  </si>
  <si>
    <t>AR32</t>
  </si>
  <si>
    <t>Bail - Child - No Show</t>
  </si>
  <si>
    <t>1. Create EC
2. Task Visit
3. Task install visit - book off as no show 
4. Create breach</t>
  </si>
  <si>
    <t>AR33</t>
  </si>
  <si>
    <t xml:space="preserve">Bail - Curfew &amp; exclusion - Strap Tamper </t>
  </si>
  <si>
    <t>1. Generate strap tamper
2. Update AL03 - confirmed tamper
3 Create visit to comfirm Tamper
4. Book off as confirmed tamper 
5. promote manually enforcement to an AL104
6. Create breach 
7. State update automatically to awaiting enforcement</t>
  </si>
  <si>
    <t>AL03 generated 
AL104 manually Generated after visit</t>
  </si>
  <si>
    <t>AR34</t>
  </si>
  <si>
    <t>Non-bail-Curfew &amp; Exclusion -Strap tamper</t>
  </si>
  <si>
    <t xml:space="preserve">1. Generate tamper
2. AL03-Generated
3. Create visit to comfirm Tamper
4. Book off as confirmed tamper 
5. Create breach </t>
  </si>
  <si>
    <t>AL03 generated
AL104 manually Generated after visit</t>
  </si>
  <si>
    <t>AR35</t>
  </si>
  <si>
    <t>Non Bail exclusion only - Strap Tamper</t>
  </si>
  <si>
    <t>1. Generate strap tamper
2. Update AL02
3. Create visit to comfirm Tamper
4. Book off as confirmed tamper 
5. promote manually enforcement to an AL104
6. Create breach 
7. State update automatically to awaiting enforcement</t>
  </si>
  <si>
    <t>AL02 generated 
AL104 manually Generated after visit</t>
  </si>
  <si>
    <t>Open</t>
  </si>
  <si>
    <t>Retest</t>
  </si>
  <si>
    <t>Ready for Prod</t>
  </si>
  <si>
    <t>Training</t>
  </si>
  <si>
    <t>Closed</t>
  </si>
  <si>
    <t>On Hold</t>
  </si>
  <si>
    <t>Development</t>
  </si>
  <si>
    <t>Blocked</t>
  </si>
  <si>
    <t>Incident / JIRA ref</t>
  </si>
  <si>
    <t>Issue</t>
  </si>
  <si>
    <t>Description</t>
  </si>
  <si>
    <t>Category</t>
  </si>
  <si>
    <t>Impact Rating
(H-M-L)</t>
  </si>
  <si>
    <t>Date Opened</t>
  </si>
  <si>
    <t>Date Resolved</t>
  </si>
  <si>
    <t>Target Release Date</t>
  </si>
  <si>
    <t>Resolution</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</si>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</sst>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55">
    <font>
      <sz val="10"/>
      <name val="Arial"/>
    </font>
    <font>
      <b/>
      <sz val="10"/>
      <name val="Arial"/>
      <family val="2"/>
    </font>
    <font>
      <sz val="8"/>
      <name val="Arial"/>
      <family val="2"/>
    </font>
    <font>
      <sz val="10"/>
      <name val="Arial"/>
      <family val="2"/>
    </font>
    <font>
      <i/>
      <sz val="10"/>
      <name val="Arial"/>
      <family val="2"/>
    </font>
    <font>
      <sz val="8"/>
      <name val="Arial"/>
      <family val="2"/>
    </font>
    <font>
      <sz val="8"/>
      <name val="Arial"/>
      <family val="2"/>
    </font>
    <font>
      <sz val="10"/>
      <color rgb="FFFF0000"/>
      <name val="Arial"/>
      <family val="2"/>
    </font>
    <font>
      <sz val="10"/>
      <color theme="6" tint="-0.499984740745262"/>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000000"/>
      <name val="Aptos"/>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sz val="11"/>
      <color rgb="FF000000"/>
      <name val="Calibri"/>
      <family val="2"/>
      <scheme val="minor"/>
    </font>
    <font>
      <b/>
      <u/>
      <sz val="10"/>
      <color rgb="FF000000"/>
      <name val="Arial"/>
      <family val="2"/>
    </font>
    <font>
      <i/>
      <sz val="11"/>
      <color rgb="FF000000"/>
      <name val="Aptos Narrow"/>
      <family val="2"/>
    </font>
    <font>
      <sz val="12"/>
      <name val="Aptos"/>
      <family val="2"/>
      <charset val="1"/>
    </font>
    <font>
      <sz val="10"/>
      <color rgb="FF000000"/>
      <name val="Arial"/>
    </font>
    <font>
      <sz val="10"/>
      <color rgb="FF000000"/>
      <name val="Arial"/>
      <charset val="1"/>
    </font>
    <font>
      <b/>
      <sz val="11"/>
      <color rgb="FF000000"/>
      <name val="Aptos Narrow"/>
      <family val="2"/>
    </font>
    <font>
      <sz val="10"/>
      <color rgb="FF242424"/>
      <name val="Arial"/>
    </font>
    <font>
      <sz val="11"/>
      <color rgb="FF242424"/>
      <name val="Arial"/>
    </font>
    <font>
      <sz val="11"/>
      <name val="Aptos"/>
      <family val="2"/>
      <charset val="1"/>
    </font>
    <font>
      <sz val="10"/>
      <color theme="1"/>
      <name val="Arial"/>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b/>
      <i/>
      <sz val="11"/>
      <color rgb="FF000000"/>
      <name val="Calibri"/>
      <family val="2"/>
      <scheme val="minor"/>
    </font>
    <font>
      <sz val="10"/>
      <color rgb="FF000000"/>
      <name val="Avenir Next LT Pro"/>
      <family val="2"/>
      <charset val="1"/>
    </font>
    <font>
      <sz val="11"/>
      <color rgb="FF16191F"/>
      <name val="Aptos Narrow"/>
      <family val="2"/>
      <scheme val="minor"/>
    </font>
    <font>
      <sz val="11"/>
      <color rgb="FF242424"/>
      <name val="Aptos Narrow"/>
      <charset val="1"/>
    </font>
    <font>
      <i/>
      <sz val="10"/>
      <name val="Arial"/>
    </font>
    <font>
      <sz val="10"/>
      <color rgb="FF16191F"/>
      <name val="Arial"/>
      <family val="2"/>
    </font>
    <font>
      <sz val="10"/>
      <color rgb="FF000000"/>
      <name val="Calibri"/>
      <scheme val="minor"/>
    </font>
    <font>
      <b/>
      <sz val="10"/>
      <color rgb="FFFF0000"/>
      <name val="Arial"/>
    </font>
    <font>
      <sz val="10"/>
      <color rgb="FFFF0000"/>
      <name val="Arial"/>
    </font>
    <font>
      <sz val="11"/>
      <color rgb="FFFF0000"/>
      <name val="Arial"/>
    </font>
    <font>
      <sz val="11"/>
      <color rgb="FF000000"/>
      <name val="Arial"/>
    </font>
    <font>
      <strike/>
      <sz val="10"/>
      <color rgb="FFFF0000"/>
      <name val="Arial"/>
    </font>
    <font>
      <sz val="10"/>
      <color theme="6" tint="-0.249977111117893"/>
      <name val="Arial"/>
    </font>
  </fonts>
  <fills count="1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215C98"/>
        <bgColor rgb="FF000000"/>
      </patternFill>
    </fill>
    <fill>
      <patternFill patternType="solid">
        <fgColor theme="3" tint="0.79998168889431442"/>
        <bgColor indexed="64"/>
      </patternFill>
    </fill>
    <fill>
      <patternFill patternType="solid">
        <fgColor rgb="FFFFFFFF"/>
        <bgColor indexed="64"/>
      </patternFill>
    </fill>
    <fill>
      <patternFill patternType="solid">
        <fgColor rgb="FFF2F3F2"/>
        <bgColor indexed="64"/>
      </patternFill>
    </fill>
  </fills>
  <borders count="40">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right/>
      <top style="thin">
        <color indexed="64"/>
      </top>
      <bottom style="thin">
        <color indexed="64"/>
      </bottom>
      <diagonal/>
    </border>
    <border>
      <left style="thin">
        <color rgb="FF000000"/>
      </left>
      <right/>
      <top/>
      <bottom style="thin">
        <color rgb="FF000000"/>
      </bottom>
      <diagonal/>
    </border>
    <border>
      <left style="thin">
        <color indexed="64"/>
      </left>
      <right/>
      <top/>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s>
  <cellStyleXfs count="4">
    <xf numFmtId="0" fontId="0" fillId="0" borderId="0"/>
    <xf numFmtId="0" fontId="3" fillId="0" borderId="0"/>
    <xf numFmtId="0" fontId="16" fillId="0" borderId="0" applyNumberFormat="0" applyFill="0" applyBorder="0" applyAlignment="0" applyProtection="0"/>
    <xf numFmtId="0" fontId="37" fillId="0" borderId="0"/>
  </cellStyleXfs>
  <cellXfs count="517">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12" xfId="0" applyFont="1" applyBorder="1"/>
    <xf numFmtId="0" fontId="1" fillId="0" borderId="12" xfId="0" applyFont="1" applyBorder="1" applyAlignment="1">
      <alignment wrapText="1"/>
    </xf>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164" fontId="3"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7" fillId="0" borderId="12" xfId="0" applyFont="1" applyBorder="1" applyAlignment="1">
      <alignment wrapText="1"/>
    </xf>
    <xf numFmtId="0" fontId="7" fillId="0" borderId="12" xfId="0" applyFont="1" applyBorder="1"/>
    <xf numFmtId="0" fontId="7"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4" fillId="0" borderId="13" xfId="0" applyFont="1" applyBorder="1"/>
    <xf numFmtId="0" fontId="4" fillId="0" borderId="12" xfId="0" applyFont="1" applyBorder="1" applyAlignment="1">
      <alignment horizontal="left" vertical="top" wrapText="1"/>
    </xf>
    <xf numFmtId="0" fontId="9" fillId="0" borderId="12" xfId="0" applyFont="1" applyBorder="1"/>
    <xf numFmtId="0" fontId="9" fillId="0" borderId="12" xfId="0" applyFont="1" applyBorder="1" applyAlignment="1">
      <alignment horizontal="left" wrapText="1"/>
    </xf>
    <xf numFmtId="0" fontId="10" fillId="0" borderId="12" xfId="0" applyFont="1" applyBorder="1" applyAlignment="1">
      <alignment horizontal="left" wrapText="1"/>
    </xf>
    <xf numFmtId="0" fontId="4" fillId="0" borderId="12" xfId="0" applyFont="1" applyBorder="1" applyAlignment="1">
      <alignment vertical="center" wrapText="1"/>
    </xf>
    <xf numFmtId="0" fontId="11" fillId="0" borderId="12" xfId="0" applyFont="1" applyBorder="1" applyAlignment="1">
      <alignment horizontal="center" vertical="center"/>
    </xf>
    <xf numFmtId="0" fontId="12" fillId="7" borderId="12" xfId="0" applyFont="1" applyFill="1" applyBorder="1" applyAlignment="1">
      <alignment horizontal="left" vertical="center" wrapText="1"/>
    </xf>
    <xf numFmtId="0" fontId="12" fillId="0" borderId="12" xfId="0" applyFont="1" applyBorder="1" applyAlignment="1">
      <alignment horizontal="left" vertical="center" wrapText="1"/>
    </xf>
    <xf numFmtId="0" fontId="13" fillId="0" borderId="12" xfId="0" applyFont="1" applyBorder="1" applyAlignment="1">
      <alignment horizontal="left" vertical="center" wrapText="1"/>
    </xf>
    <xf numFmtId="0" fontId="0" fillId="0" borderId="12" xfId="0" applyBorder="1" applyAlignment="1">
      <alignment horizontal="left" wrapText="1"/>
    </xf>
    <xf numFmtId="0" fontId="11"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7" fillId="0" borderId="14" xfId="0" applyFont="1" applyBorder="1" applyAlignment="1">
      <alignment wrapText="1"/>
    </xf>
    <xf numFmtId="0" fontId="8"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5"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7"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2" fillId="0" borderId="12" xfId="0" quotePrefix="1" applyFont="1" applyBorder="1" applyAlignment="1">
      <alignment horizontal="left" vertical="center" wrapText="1"/>
    </xf>
    <xf numFmtId="0" fontId="12" fillId="0" borderId="12" xfId="0" quotePrefix="1" applyFont="1" applyBorder="1" applyAlignment="1">
      <alignment horizontal="left" vertical="top" wrapText="1"/>
    </xf>
    <xf numFmtId="0" fontId="13" fillId="0" borderId="12" xfId="0" quotePrefix="1" applyFont="1" applyBorder="1" applyAlignment="1">
      <alignment horizontal="left" vertical="center" wrapText="1"/>
    </xf>
    <xf numFmtId="0" fontId="13" fillId="0" borderId="12" xfId="0" quotePrefix="1" applyFont="1" applyBorder="1" applyAlignment="1">
      <alignment horizontal="left" vertical="top" wrapText="1"/>
    </xf>
    <xf numFmtId="0" fontId="14"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3" fillId="0" borderId="12" xfId="0" applyFont="1" applyBorder="1" applyAlignment="1" applyProtection="1">
      <alignment horizontal="center" vertical="center"/>
      <protection locked="0"/>
    </xf>
    <xf numFmtId="0" fontId="16" fillId="0" borderId="0" xfId="2" applyFill="1"/>
    <xf numFmtId="0" fontId="0" fillId="0" borderId="12" xfId="0" quotePrefix="1" applyBorder="1" applyAlignment="1">
      <alignment vertical="center" wrapText="1"/>
    </xf>
    <xf numFmtId="0" fontId="0" fillId="0" borderId="0" xfId="0" applyAlignment="1">
      <alignment vertical="center" wrapText="1"/>
    </xf>
    <xf numFmtId="0" fontId="1" fillId="0" borderId="17" xfId="0" applyFont="1" applyBorder="1" applyAlignment="1" applyProtection="1">
      <alignment horizontal="center" wrapText="1"/>
      <protection locked="0"/>
    </xf>
    <xf numFmtId="165" fontId="1"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1" fillId="0" borderId="0" xfId="0" applyFont="1"/>
    <xf numFmtId="0" fontId="1" fillId="0" borderId="0" xfId="0" applyFont="1" applyAlignment="1">
      <alignment horizontal="center"/>
    </xf>
    <xf numFmtId="0" fontId="11" fillId="10" borderId="0" xfId="0" applyFont="1" applyFill="1" applyAlignment="1">
      <alignment wrapText="1"/>
    </xf>
    <xf numFmtId="0" fontId="11" fillId="0" borderId="0" xfId="0" applyFont="1" applyAlignment="1">
      <alignment wrapText="1"/>
    </xf>
    <xf numFmtId="0" fontId="11" fillId="8" borderId="0" xfId="0" applyFont="1" applyFill="1" applyAlignment="1">
      <alignment wrapText="1"/>
    </xf>
    <xf numFmtId="0" fontId="25" fillId="9" borderId="0" xfId="0" applyFont="1" applyFill="1" applyAlignment="1">
      <alignment wrapText="1"/>
    </xf>
    <xf numFmtId="0" fontId="11" fillId="8" borderId="0" xfId="0" applyFont="1" applyFill="1" applyAlignment="1">
      <alignment horizontal="center" wrapText="1"/>
    </xf>
    <xf numFmtId="0" fontId="25" fillId="0" borderId="0" xfId="0" applyFont="1" applyAlignment="1">
      <alignment wrapText="1"/>
    </xf>
    <xf numFmtId="0" fontId="25" fillId="8" borderId="0" xfId="0" applyFont="1" applyFill="1" applyAlignment="1">
      <alignment wrapText="1"/>
    </xf>
    <xf numFmtId="0" fontId="11"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0" fontId="3" fillId="0" borderId="14" xfId="0" applyFont="1" applyBorder="1" applyAlignment="1" applyProtection="1">
      <alignment wrapText="1"/>
      <protection locked="0"/>
    </xf>
    <xf numFmtId="165" fontId="3"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3" fillId="0" borderId="12" xfId="0" applyFont="1" applyBorder="1" applyAlignment="1" applyProtection="1">
      <alignment horizontal="left" vertical="center" wrapText="1"/>
      <protection locked="0"/>
    </xf>
    <xf numFmtId="0" fontId="3" fillId="0" borderId="12" xfId="0" quotePrefix="1" applyFont="1" applyBorder="1" applyAlignment="1" applyProtection="1">
      <alignment wrapText="1"/>
      <protection locked="0"/>
    </xf>
    <xf numFmtId="0" fontId="3"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31" fillId="0" borderId="15" xfId="0" applyFont="1" applyBorder="1"/>
    <xf numFmtId="0" fontId="30" fillId="0" borderId="0" xfId="0" applyFont="1"/>
    <xf numFmtId="0" fontId="0" fillId="0" borderId="15" xfId="0" quotePrefix="1" applyBorder="1" applyAlignment="1">
      <alignment horizontal="left" vertical="top" wrapText="1"/>
    </xf>
    <xf numFmtId="0" fontId="19" fillId="0" borderId="12" xfId="0" applyFont="1" applyBorder="1"/>
    <xf numFmtId="0" fontId="11" fillId="0" borderId="12" xfId="0" applyFont="1" applyBorder="1" applyAlignment="1" applyProtection="1">
      <alignment horizontal="left" wrapText="1"/>
      <protection locked="0"/>
    </xf>
    <xf numFmtId="0" fontId="3" fillId="0" borderId="16" xfId="0" applyFont="1" applyBorder="1" applyAlignment="1">
      <alignment horizontal="center" vertical="center"/>
    </xf>
    <xf numFmtId="0" fontId="3" fillId="0" borderId="15" xfId="0" applyFont="1" applyBorder="1" applyAlignment="1" applyProtection="1">
      <alignment wrapText="1"/>
      <protection locked="0"/>
    </xf>
    <xf numFmtId="0" fontId="3" fillId="0" borderId="15" xfId="0" applyFont="1" applyBorder="1" applyProtection="1">
      <protection locked="0"/>
    </xf>
    <xf numFmtId="0" fontId="19" fillId="0" borderId="12" xfId="0" applyFont="1" applyBorder="1" applyAlignment="1">
      <alignment wrapText="1"/>
    </xf>
    <xf numFmtId="0" fontId="3" fillId="0" borderId="15" xfId="0" applyFont="1" applyBorder="1"/>
    <xf numFmtId="0" fontId="3" fillId="0" borderId="15" xfId="0" applyFont="1" applyBorder="1" applyAlignment="1">
      <alignment horizontal="left" wrapText="1"/>
    </xf>
    <xf numFmtId="0" fontId="0" fillId="0" borderId="15" xfId="0" applyBorder="1" applyAlignment="1">
      <alignment wrapText="1"/>
    </xf>
    <xf numFmtId="0" fontId="3" fillId="0" borderId="17" xfId="0" applyFont="1" applyBorder="1" applyAlignment="1">
      <alignment horizontal="left" vertical="center" wrapText="1"/>
    </xf>
    <xf numFmtId="0" fontId="0" fillId="0" borderId="17" xfId="0" applyBorder="1" applyAlignment="1">
      <alignment horizontal="center"/>
    </xf>
    <xf numFmtId="1" fontId="3" fillId="0" borderId="17" xfId="0" applyNumberFormat="1" applyFont="1" applyBorder="1" applyAlignment="1" applyProtection="1">
      <alignment horizontal="center" vertical="center"/>
      <protection locked="0"/>
    </xf>
    <xf numFmtId="0" fontId="3" fillId="0" borderId="20" xfId="0" applyFont="1" applyBorder="1" applyAlignment="1">
      <alignment horizontal="center" vertical="center"/>
    </xf>
    <xf numFmtId="0" fontId="3" fillId="0" borderId="21" xfId="0" applyFont="1" applyBorder="1" applyAlignment="1">
      <alignment horizontal="left" wrapText="1"/>
    </xf>
    <xf numFmtId="0" fontId="3" fillId="0" borderId="21" xfId="0" applyFont="1" applyBorder="1"/>
    <xf numFmtId="0" fontId="3" fillId="0" borderId="16" xfId="0" applyFont="1" applyBorder="1" applyAlignment="1">
      <alignment horizontal="left" vertical="center" wrapText="1"/>
    </xf>
    <xf numFmtId="0" fontId="3" fillId="0" borderId="21" xfId="0" applyFont="1" applyBorder="1" applyAlignment="1">
      <alignment wrapText="1"/>
    </xf>
    <xf numFmtId="0" fontId="0" fillId="0" borderId="16" xfId="0" quotePrefix="1" applyBorder="1" applyAlignment="1">
      <alignment horizontal="left" vertical="center" wrapText="1"/>
    </xf>
    <xf numFmtId="0" fontId="3" fillId="0" borderId="21" xfId="0" applyFont="1" applyBorder="1" applyAlignment="1">
      <alignment horizontal="center"/>
    </xf>
    <xf numFmtId="1" fontId="3" fillId="0" borderId="21" xfId="0" applyNumberFormat="1" applyFont="1" applyBorder="1" applyAlignment="1">
      <alignment horizontal="center"/>
    </xf>
    <xf numFmtId="0" fontId="3" fillId="0" borderId="15" xfId="0" applyFont="1" applyBorder="1" applyAlignment="1">
      <alignment horizontal="left" vertical="center" wrapText="1"/>
    </xf>
    <xf numFmtId="0" fontId="3" fillId="0" borderId="15" xfId="0" applyFont="1" applyBorder="1" applyAlignment="1">
      <alignment wrapText="1"/>
    </xf>
    <xf numFmtId="0" fontId="3" fillId="0" borderId="15" xfId="0" applyFont="1" applyBorder="1" applyAlignment="1">
      <alignment horizontal="center"/>
    </xf>
    <xf numFmtId="1" fontId="3" fillId="0" borderId="15" xfId="0" applyNumberFormat="1" applyFont="1" applyBorder="1" applyAlignment="1">
      <alignment horizontal="center"/>
    </xf>
    <xf numFmtId="0" fontId="0" fillId="0" borderId="15" xfId="0" applyBorder="1" applyAlignment="1">
      <alignment horizontal="left" vertical="center" wrapText="1"/>
    </xf>
    <xf numFmtId="0" fontId="0" fillId="0" borderId="15" xfId="0" applyBorder="1" applyAlignment="1">
      <alignment horizontal="center"/>
    </xf>
    <xf numFmtId="1" fontId="0" fillId="0" borderId="15" xfId="0" applyNumberFormat="1" applyBorder="1" applyAlignment="1">
      <alignment horizontal="center"/>
    </xf>
    <xf numFmtId="0" fontId="21" fillId="0" borderId="15" xfId="0" applyFont="1" applyBorder="1" applyAlignment="1">
      <alignment wrapText="1"/>
    </xf>
    <xf numFmtId="0" fontId="24" fillId="0" borderId="12" xfId="0" applyFont="1" applyBorder="1" applyAlignment="1">
      <alignment horizontal="center"/>
    </xf>
    <xf numFmtId="1" fontId="0" fillId="0" borderId="16" xfId="0" applyNumberFormat="1" applyBorder="1" applyAlignment="1">
      <alignment horizontal="center"/>
    </xf>
    <xf numFmtId="0" fontId="0" fillId="0" borderId="15" xfId="0" applyBorder="1" applyAlignment="1">
      <alignment vertical="center" wrapText="1"/>
    </xf>
    <xf numFmtId="0" fontId="0" fillId="0" borderId="21" xfId="0" applyBorder="1" applyAlignment="1">
      <alignment vertical="center" wrapText="1"/>
    </xf>
    <xf numFmtId="0" fontId="0" fillId="0" borderId="21" xfId="0" applyBorder="1"/>
    <xf numFmtId="0" fontId="0" fillId="0" borderId="14" xfId="0" applyBorder="1" applyAlignment="1">
      <alignment horizontal="center" vertical="center"/>
    </xf>
    <xf numFmtId="1" fontId="0" fillId="0" borderId="12" xfId="0" applyNumberFormat="1" applyBorder="1" applyAlignment="1" applyProtection="1">
      <alignment horizontal="center" vertical="center"/>
      <protection locked="0"/>
    </xf>
    <xf numFmtId="0" fontId="24" fillId="0" borderId="15" xfId="0" applyFont="1" applyBorder="1" applyAlignment="1">
      <alignment horizontal="center" vertical="center"/>
    </xf>
    <xf numFmtId="0" fontId="24" fillId="0" borderId="27" xfId="0" applyFont="1" applyBorder="1" applyAlignment="1">
      <alignment horizontal="center" vertical="center"/>
    </xf>
    <xf numFmtId="0" fontId="28" fillId="0" borderId="15" xfId="0" applyFont="1" applyBorder="1" applyAlignment="1">
      <alignment wrapText="1"/>
    </xf>
    <xf numFmtId="0" fontId="22" fillId="0" borderId="12" xfId="0" applyFont="1" applyBorder="1" applyAlignment="1">
      <alignment horizontal="left" vertical="center" wrapText="1"/>
    </xf>
    <xf numFmtId="1" fontId="0" fillId="0" borderId="16" xfId="0" applyNumberFormat="1" applyBorder="1" applyAlignment="1">
      <alignment horizontal="center" vertical="center"/>
    </xf>
    <xf numFmtId="0" fontId="11" fillId="0" borderId="12" xfId="0" applyFont="1" applyBorder="1" applyAlignment="1">
      <alignment horizontal="left" vertical="center" wrapText="1"/>
    </xf>
    <xf numFmtId="0" fontId="0" fillId="0" borderId="23" xfId="0" applyBorder="1" applyAlignment="1">
      <alignment vertical="top"/>
    </xf>
    <xf numFmtId="0" fontId="0" fillId="0" borderId="23" xfId="0" quotePrefix="1" applyBorder="1" applyAlignment="1">
      <alignment vertical="top" wrapText="1"/>
    </xf>
    <xf numFmtId="0" fontId="3" fillId="0" borderId="17" xfId="0" quotePrefix="1" applyFont="1" applyBorder="1" applyAlignment="1">
      <alignment vertical="center" wrapText="1"/>
    </xf>
    <xf numFmtId="0" fontId="0" fillId="0" borderId="28" xfId="0" applyBorder="1" applyAlignment="1">
      <alignment vertical="top"/>
    </xf>
    <xf numFmtId="0" fontId="3" fillId="0" borderId="16" xfId="0" applyFont="1" applyBorder="1" applyAlignment="1">
      <alignment vertical="center" wrapText="1"/>
    </xf>
    <xf numFmtId="0" fontId="20" fillId="0" borderId="15" xfId="0" quotePrefix="1" applyFont="1" applyBorder="1" applyAlignment="1">
      <alignment wrapText="1"/>
    </xf>
    <xf numFmtId="0" fontId="0" fillId="0" borderId="15" xfId="0" applyBorder="1" applyAlignment="1">
      <alignment vertical="top"/>
    </xf>
    <xf numFmtId="0" fontId="0" fillId="0" borderId="13" xfId="0" quotePrefix="1" applyBorder="1" applyAlignment="1">
      <alignment vertical="center" wrapText="1"/>
    </xf>
    <xf numFmtId="0" fontId="3" fillId="0" borderId="13" xfId="0" quotePrefix="1" applyFont="1" applyBorder="1" applyAlignment="1">
      <alignment vertical="center" wrapText="1"/>
    </xf>
    <xf numFmtId="0" fontId="3" fillId="0" borderId="17" xfId="0" quotePrefix="1" applyFont="1" applyBorder="1" applyAlignment="1" applyProtection="1">
      <alignment horizontal="left" wrapText="1"/>
      <protection locked="0"/>
    </xf>
    <xf numFmtId="0" fontId="11" fillId="0" borderId="15" xfId="0" applyFont="1" applyBorder="1"/>
    <xf numFmtId="0" fontId="0" fillId="0" borderId="21" xfId="0" applyBorder="1" applyAlignment="1">
      <alignment vertical="top" wrapText="1"/>
    </xf>
    <xf numFmtId="0" fontId="3" fillId="0" borderId="15" xfId="0" applyFont="1" applyBorder="1" applyAlignment="1" applyProtection="1">
      <alignment horizontal="left" wrapText="1"/>
      <protection locked="0"/>
    </xf>
    <xf numFmtId="0" fontId="4" fillId="0" borderId="15" xfId="0" quotePrefix="1" applyFont="1" applyBorder="1" applyAlignment="1">
      <alignment vertical="top" wrapText="1"/>
    </xf>
    <xf numFmtId="0" fontId="3" fillId="0" borderId="13" xfId="0" applyFont="1" applyBorder="1" applyAlignment="1" applyProtection="1">
      <alignment horizontal="left" wrapText="1"/>
      <protection locked="0"/>
    </xf>
    <xf numFmtId="0" fontId="20" fillId="0" borderId="0" xfId="0" applyFont="1" applyAlignment="1">
      <alignment wrapText="1"/>
    </xf>
    <xf numFmtId="0" fontId="3" fillId="0" borderId="17" xfId="0" quotePrefix="1" applyFont="1" applyBorder="1" applyAlignment="1">
      <alignment horizontal="left" vertical="center" wrapText="1"/>
    </xf>
    <xf numFmtId="0" fontId="3" fillId="0" borderId="17" xfId="0" applyFont="1" applyBorder="1" applyAlignment="1">
      <alignment horizontal="center" vertical="center"/>
    </xf>
    <xf numFmtId="0" fontId="0" fillId="0" borderId="21" xfId="0" applyBorder="1" applyAlignment="1">
      <alignment horizontal="center"/>
    </xf>
    <xf numFmtId="0" fontId="20" fillId="0" borderId="21" xfId="0" applyFont="1" applyBorder="1" applyAlignment="1">
      <alignment wrapText="1"/>
    </xf>
    <xf numFmtId="0" fontId="20" fillId="0" borderId="15" xfId="0" applyFont="1" applyBorder="1" applyAlignment="1">
      <alignment wrapText="1"/>
    </xf>
    <xf numFmtId="0" fontId="3" fillId="0" borderId="15" xfId="0" quotePrefix="1" applyFont="1" applyBorder="1" applyAlignment="1">
      <alignment horizontal="left" vertical="center" wrapText="1"/>
    </xf>
    <xf numFmtId="0" fontId="3" fillId="0" borderId="15" xfId="0" applyFont="1" applyBorder="1" applyAlignment="1">
      <alignment horizontal="center" vertical="center"/>
    </xf>
    <xf numFmtId="1" fontId="3" fillId="0" borderId="15" xfId="0" applyNumberFormat="1" applyFont="1" applyBorder="1" applyAlignment="1" applyProtection="1">
      <alignment horizontal="center" vertical="center"/>
      <protection locked="0"/>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15" xfId="0" applyFont="1" applyBorder="1"/>
    <xf numFmtId="0" fontId="0" fillId="0" borderId="15" xfId="0" applyBorder="1" applyAlignment="1">
      <alignment horizontal="center" vertical="center"/>
    </xf>
    <xf numFmtId="0" fontId="0" fillId="0" borderId="15" xfId="0" applyBorder="1" applyAlignment="1" applyProtection="1">
      <alignment horizontal="left" wrapText="1"/>
      <protection locked="0"/>
    </xf>
    <xf numFmtId="0" fontId="3" fillId="0" borderId="31" xfId="0" applyFont="1" applyBorder="1" applyAlignment="1">
      <alignment horizontal="left" vertical="center" wrapText="1"/>
    </xf>
    <xf numFmtId="0" fontId="3" fillId="0" borderId="13" xfId="0" applyFont="1" applyBorder="1" applyAlignment="1">
      <alignment horizontal="left" vertical="center" wrapText="1"/>
    </xf>
    <xf numFmtId="0" fontId="4" fillId="0" borderId="29" xfId="0" quotePrefix="1" applyFont="1" applyBorder="1" applyAlignment="1">
      <alignment vertical="top" wrapText="1"/>
    </xf>
    <xf numFmtId="0" fontId="0" fillId="0" borderId="32" xfId="0" applyBorder="1" applyAlignment="1">
      <alignment vertical="top"/>
    </xf>
    <xf numFmtId="0" fontId="3" fillId="0" borderId="29" xfId="0" applyFont="1" applyBorder="1" applyAlignment="1">
      <alignment horizontal="center"/>
    </xf>
    <xf numFmtId="1" fontId="3" fillId="0" borderId="29" xfId="0" applyNumberFormat="1" applyFont="1" applyBorder="1" applyAlignment="1">
      <alignment horizontal="center"/>
    </xf>
    <xf numFmtId="0" fontId="3" fillId="0" borderId="19" xfId="0" applyFont="1" applyBorder="1" applyAlignment="1">
      <alignment horizontal="center" vertical="center"/>
    </xf>
    <xf numFmtId="0" fontId="3" fillId="0" borderId="29" xfId="0" applyFont="1" applyBorder="1" applyAlignment="1">
      <alignment horizontal="left" wrapText="1"/>
    </xf>
    <xf numFmtId="0" fontId="3" fillId="0" borderId="24" xfId="0" applyFont="1" applyBorder="1" applyAlignment="1">
      <alignment horizontal="left" vertical="center" wrapText="1"/>
    </xf>
    <xf numFmtId="0" fontId="3" fillId="0" borderId="25" xfId="0" applyFont="1" applyBorder="1" applyAlignment="1">
      <alignment horizontal="center" vertical="center"/>
    </xf>
    <xf numFmtId="0" fontId="3" fillId="0" borderId="25" xfId="0" applyFont="1" applyBorder="1" applyAlignment="1" applyProtection="1">
      <alignment wrapText="1"/>
      <protection locked="0"/>
    </xf>
    <xf numFmtId="0" fontId="3" fillId="0" borderId="25" xfId="0" applyFont="1" applyBorder="1" applyProtection="1">
      <protection locked="0"/>
    </xf>
    <xf numFmtId="0" fontId="3" fillId="0" borderId="26" xfId="0" applyFont="1" applyBorder="1" applyProtection="1">
      <protection locked="0"/>
    </xf>
    <xf numFmtId="0" fontId="4" fillId="0" borderId="15" xfId="0" applyFont="1" applyBorder="1" applyAlignment="1">
      <alignment wrapText="1"/>
    </xf>
    <xf numFmtId="0" fontId="15" fillId="0" borderId="0" xfId="0" applyFont="1"/>
    <xf numFmtId="0" fontId="3" fillId="0" borderId="17" xfId="0" applyFont="1" applyBorder="1" applyAlignment="1">
      <alignment vertical="center" wrapText="1"/>
    </xf>
    <xf numFmtId="0" fontId="3" fillId="0" borderId="21" xfId="0" applyFont="1" applyBorder="1" applyAlignment="1">
      <alignment horizontal="center" vertical="center"/>
    </xf>
    <xf numFmtId="0" fontId="3" fillId="0" borderId="15" xfId="0" applyFont="1" applyBorder="1" applyAlignment="1">
      <alignment vertical="center" wrapText="1"/>
    </xf>
    <xf numFmtId="0" fontId="3" fillId="0" borderId="15" xfId="0" quotePrefix="1" applyFont="1" applyBorder="1" applyAlignment="1">
      <alignment vertical="center" wrapText="1"/>
    </xf>
    <xf numFmtId="0" fontId="3" fillId="0" borderId="28" xfId="0" applyFont="1" applyBorder="1"/>
    <xf numFmtId="0" fontId="3" fillId="0" borderId="29" xfId="0" applyFont="1" applyBorder="1"/>
    <xf numFmtId="0" fontId="3" fillId="0" borderId="13" xfId="0" applyFont="1" applyBorder="1" applyAlignment="1">
      <alignment vertical="center" wrapText="1"/>
    </xf>
    <xf numFmtId="0" fontId="4" fillId="0" borderId="29" xfId="0" applyFont="1" applyBorder="1" applyAlignment="1">
      <alignment horizontal="left" vertical="top" wrapText="1"/>
    </xf>
    <xf numFmtId="0" fontId="4" fillId="0" borderId="29" xfId="0" applyFont="1" applyBorder="1"/>
    <xf numFmtId="0" fontId="3" fillId="0" borderId="29" xfId="0" applyFont="1" applyBorder="1" applyAlignment="1">
      <alignment horizontal="center" vertical="center"/>
    </xf>
    <xf numFmtId="0" fontId="0" fillId="0" borderId="17" xfId="0" applyBorder="1" applyAlignment="1">
      <alignment vertical="center" wrapText="1"/>
    </xf>
    <xf numFmtId="0" fontId="4" fillId="0" borderId="21" xfId="0" applyFont="1" applyBorder="1" applyAlignment="1">
      <alignment horizontal="left" vertical="top" wrapText="1"/>
    </xf>
    <xf numFmtId="0" fontId="4" fillId="0" borderId="21" xfId="0" applyFont="1" applyBorder="1"/>
    <xf numFmtId="0" fontId="3" fillId="0" borderId="22" xfId="0" applyFont="1" applyBorder="1" applyAlignment="1">
      <alignment horizontal="center"/>
    </xf>
    <xf numFmtId="0" fontId="11" fillId="0" borderId="21" xfId="0" applyFont="1" applyBorder="1" applyAlignment="1">
      <alignment horizontal="left" wrapText="1"/>
    </xf>
    <xf numFmtId="0" fontId="3" fillId="0" borderId="23" xfId="0" applyFont="1" applyBorder="1"/>
    <xf numFmtId="0" fontId="0" fillId="0" borderId="15" xfId="0" quotePrefix="1" applyBorder="1" applyAlignment="1">
      <alignment horizontal="left" vertical="center" wrapText="1"/>
    </xf>
    <xf numFmtId="0" fontId="0" fillId="0" borderId="15" xfId="0" applyBorder="1" applyAlignment="1">
      <alignment vertical="top" wrapText="1"/>
    </xf>
    <xf numFmtId="0" fontId="20" fillId="0" borderId="29" xfId="0" applyFont="1" applyBorder="1" applyAlignment="1">
      <alignment wrapText="1"/>
    </xf>
    <xf numFmtId="0" fontId="0" fillId="0" borderId="29" xfId="0" quotePrefix="1" applyBorder="1" applyAlignment="1">
      <alignment horizontal="left" vertical="center" wrapText="1"/>
    </xf>
    <xf numFmtId="0" fontId="0" fillId="0" borderId="29" xfId="0" applyBorder="1" applyAlignment="1">
      <alignment vertical="top" wrapText="1"/>
    </xf>
    <xf numFmtId="0" fontId="0" fillId="0" borderId="29" xfId="0" applyBorder="1" applyAlignment="1">
      <alignment horizontal="center"/>
    </xf>
    <xf numFmtId="0" fontId="22" fillId="0" borderId="21" xfId="0" quotePrefix="1" applyFont="1" applyBorder="1" applyAlignment="1">
      <alignment horizontal="left" vertical="center" wrapText="1"/>
    </xf>
    <xf numFmtId="0" fontId="23" fillId="0" borderId="21" xfId="0" quotePrefix="1" applyFont="1" applyBorder="1" applyAlignment="1">
      <alignment wrapText="1"/>
    </xf>
    <xf numFmtId="0" fontId="3" fillId="0" borderId="27" xfId="0" applyFont="1" applyBorder="1"/>
    <xf numFmtId="0" fontId="22" fillId="0" borderId="27" xfId="0" quotePrefix="1" applyFont="1" applyBorder="1" applyAlignment="1">
      <alignment horizontal="left" vertical="center" wrapText="1"/>
    </xf>
    <xf numFmtId="0" fontId="23" fillId="0" borderId="15" xfId="0" quotePrefix="1" applyFont="1" applyBorder="1" applyAlignment="1">
      <alignment wrapText="1"/>
    </xf>
    <xf numFmtId="0" fontId="0" fillId="0" borderId="23" xfId="0" applyBorder="1" applyAlignment="1">
      <alignment horizontal="center" vertical="center"/>
    </xf>
    <xf numFmtId="1" fontId="0" fillId="0" borderId="15" xfId="0" applyNumberFormat="1" applyBorder="1" applyAlignment="1">
      <alignment horizontal="center" vertical="center"/>
    </xf>
    <xf numFmtId="0" fontId="0" fillId="0" borderId="29" xfId="0" applyBorder="1" applyAlignment="1">
      <alignment vertical="center" wrapText="1"/>
    </xf>
    <xf numFmtId="0" fontId="22" fillId="0" borderId="29" xfId="0" quotePrefix="1" applyFont="1" applyBorder="1" applyAlignment="1">
      <alignment horizontal="left" vertical="center" wrapText="1"/>
    </xf>
    <xf numFmtId="0" fontId="23" fillId="0" borderId="29" xfId="0" quotePrefix="1" applyFont="1" applyBorder="1" applyAlignment="1">
      <alignment wrapText="1"/>
    </xf>
    <xf numFmtId="0" fontId="18" fillId="0" borderId="15" xfId="0" applyFont="1" applyBorder="1" applyAlignment="1">
      <alignment wrapText="1"/>
    </xf>
    <xf numFmtId="0" fontId="11" fillId="0" borderId="15" xfId="0" applyFont="1" applyBorder="1" applyAlignment="1">
      <alignment vertical="center" wrapText="1"/>
    </xf>
    <xf numFmtId="0" fontId="22" fillId="0" borderId="15" xfId="0" quotePrefix="1" applyFont="1" applyBorder="1" applyAlignment="1">
      <alignment horizontal="left" vertical="center" wrapText="1"/>
    </xf>
    <xf numFmtId="0" fontId="26" fillId="0" borderId="15" xfId="0" applyFont="1" applyBorder="1" applyAlignment="1">
      <alignment wrapText="1"/>
    </xf>
    <xf numFmtId="0" fontId="11" fillId="0" borderId="15" xfId="0" applyFont="1" applyBorder="1" applyAlignment="1">
      <alignment wrapText="1"/>
    </xf>
    <xf numFmtId="0" fontId="32" fillId="0" borderId="15" xfId="0" applyFont="1" applyBorder="1" applyAlignment="1">
      <alignment horizontal="center" vertical="center" wrapText="1"/>
    </xf>
    <xf numFmtId="0" fontId="0" fillId="0" borderId="21" xfId="0" applyBorder="1" applyAlignment="1">
      <alignment horizontal="center" vertical="center"/>
    </xf>
    <xf numFmtId="0" fontId="4" fillId="0" borderId="28" xfId="0" quotePrefix="1" applyFont="1" applyBorder="1" applyAlignment="1">
      <alignment vertical="top" wrapText="1"/>
    </xf>
    <xf numFmtId="0" fontId="0" fillId="0" borderId="30" xfId="0" applyBorder="1" applyAlignment="1">
      <alignment vertical="top"/>
    </xf>
    <xf numFmtId="0" fontId="0" fillId="0" borderId="28" xfId="0" applyBorder="1" applyAlignment="1">
      <alignment horizontal="center" vertical="center"/>
    </xf>
    <xf numFmtId="0" fontId="24" fillId="0" borderId="21" xfId="0" applyFont="1" applyBorder="1" applyAlignment="1">
      <alignment horizontal="center" vertical="center"/>
    </xf>
    <xf numFmtId="0" fontId="18" fillId="0" borderId="22" xfId="0" applyFont="1" applyBorder="1" applyAlignment="1">
      <alignment wrapText="1"/>
    </xf>
    <xf numFmtId="0" fontId="0" fillId="0" borderId="15" xfId="0" quotePrefix="1" applyBorder="1" applyAlignment="1">
      <alignment vertical="center" wrapText="1"/>
    </xf>
    <xf numFmtId="0" fontId="3" fillId="0" borderId="27" xfId="0" applyFont="1" applyBorder="1" applyAlignment="1">
      <alignment horizontal="left" wrapText="1"/>
    </xf>
    <xf numFmtId="0" fontId="4" fillId="0" borderId="21" xfId="0" quotePrefix="1" applyFont="1" applyBorder="1" applyAlignment="1">
      <alignment vertical="top" wrapText="1"/>
    </xf>
    <xf numFmtId="1" fontId="0" fillId="0" borderId="21" xfId="0" applyNumberFormat="1" applyBorder="1" applyAlignment="1">
      <alignment horizontal="center"/>
    </xf>
    <xf numFmtId="0" fontId="3" fillId="0" borderId="22" xfId="0" applyFont="1" applyBorder="1" applyAlignment="1">
      <alignment horizontal="left" wrapText="1"/>
    </xf>
    <xf numFmtId="0" fontId="0" fillId="0" borderId="21" xfId="0" applyBorder="1" applyAlignment="1">
      <alignment wrapText="1"/>
    </xf>
    <xf numFmtId="0" fontId="0" fillId="0" borderId="21" xfId="0" quotePrefix="1" applyBorder="1" applyAlignment="1">
      <alignment vertical="center" wrapText="1"/>
    </xf>
    <xf numFmtId="0" fontId="4" fillId="0" borderId="21" xfId="0" applyFont="1" applyBorder="1" applyAlignment="1">
      <alignment wrapText="1"/>
    </xf>
    <xf numFmtId="0" fontId="15" fillId="0" borderId="15" xfId="0" applyFont="1" applyBorder="1"/>
    <xf numFmtId="1" fontId="3" fillId="0" borderId="27" xfId="0" applyNumberFormat="1" applyFont="1" applyBorder="1" applyAlignment="1">
      <alignment horizontal="center"/>
    </xf>
    <xf numFmtId="0" fontId="1" fillId="0" borderId="15" xfId="0" applyFont="1" applyBorder="1" applyAlignment="1" applyProtection="1">
      <alignment horizontal="center" wrapText="1"/>
      <protection locked="0"/>
    </xf>
    <xf numFmtId="0" fontId="1" fillId="0" borderId="15" xfId="0" applyFont="1" applyBorder="1" applyAlignment="1" applyProtection="1">
      <alignment horizontal="left" wrapText="1"/>
      <protection locked="0"/>
    </xf>
    <xf numFmtId="0" fontId="30" fillId="0" borderId="12" xfId="0" applyFont="1" applyBorder="1" applyAlignment="1">
      <alignment horizontal="left" vertical="center" wrapText="1"/>
    </xf>
    <xf numFmtId="0" fontId="30" fillId="0" borderId="15" xfId="0" applyFont="1" applyBorder="1"/>
    <xf numFmtId="1" fontId="3" fillId="7" borderId="12" xfId="0" applyNumberFormat="1" applyFont="1" applyFill="1" applyBorder="1" applyAlignment="1" applyProtection="1">
      <alignment horizontal="center" vertical="center"/>
      <protection locked="0"/>
    </xf>
    <xf numFmtId="0" fontId="37" fillId="0" borderId="0" xfId="3"/>
    <xf numFmtId="0" fontId="39" fillId="11" borderId="12" xfId="3" applyFont="1" applyFill="1" applyBorder="1"/>
    <xf numFmtId="0" fontId="40" fillId="0" borderId="0" xfId="3" applyFont="1"/>
    <xf numFmtId="0" fontId="26" fillId="0" borderId="0" xfId="3" applyFont="1"/>
    <xf numFmtId="0" fontId="39" fillId="11" borderId="0" xfId="3" applyFont="1" applyFill="1"/>
    <xf numFmtId="0" fontId="13" fillId="0" borderId="13" xfId="3" applyFont="1" applyBorder="1" applyAlignment="1">
      <alignment horizontal="center"/>
    </xf>
    <xf numFmtId="0" fontId="13" fillId="0" borderId="18" xfId="3" applyFont="1" applyBorder="1"/>
    <xf numFmtId="166" fontId="13" fillId="0" borderId="13" xfId="3" applyNumberFormat="1" applyFont="1" applyBorder="1" applyAlignment="1">
      <alignment horizontal="center"/>
    </xf>
    <xf numFmtId="2" fontId="13" fillId="0" borderId="13" xfId="3" applyNumberFormat="1" applyFont="1" applyBorder="1" applyAlignment="1">
      <alignment horizontal="center"/>
    </xf>
    <xf numFmtId="0" fontId="16" fillId="0" borderId="18" xfId="2" applyBorder="1"/>
    <xf numFmtId="0" fontId="13" fillId="0" borderId="12" xfId="3" applyFont="1" applyBorder="1" applyAlignment="1">
      <alignment horizontal="center" vertical="center"/>
    </xf>
    <xf numFmtId="0" fontId="13" fillId="0" borderId="14" xfId="3" applyFont="1" applyBorder="1" applyAlignment="1">
      <alignment vertical="center"/>
    </xf>
    <xf numFmtId="0" fontId="13" fillId="0" borderId="13" xfId="3"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3" fillId="0" borderId="0" xfId="0" quotePrefix="1" applyFont="1" applyAlignment="1">
      <alignment horizontal="left" vertical="top" wrapText="1"/>
    </xf>
    <xf numFmtId="0" fontId="7" fillId="0" borderId="0" xfId="0" applyFont="1"/>
    <xf numFmtId="0" fontId="7" fillId="0" borderId="0" xfId="0" applyFont="1" applyAlignment="1">
      <alignment wrapText="1"/>
    </xf>
    <xf numFmtId="0" fontId="4" fillId="0" borderId="0" xfId="0" quotePrefix="1" applyFont="1" applyAlignment="1">
      <alignment horizontal="left" vertical="top" wrapText="1"/>
    </xf>
    <xf numFmtId="0" fontId="9" fillId="0" borderId="0" xfId="0" applyFont="1"/>
    <xf numFmtId="0" fontId="4" fillId="0" borderId="0" xfId="0" applyFont="1" applyAlignment="1">
      <alignment vertical="center" wrapText="1"/>
    </xf>
    <xf numFmtId="0" fontId="11" fillId="0" borderId="0" xfId="0" applyFont="1" applyAlignment="1">
      <alignment horizontal="center" vertical="center"/>
    </xf>
    <xf numFmtId="0" fontId="3" fillId="0" borderId="0" xfId="0" quotePrefix="1" applyFont="1" applyAlignment="1">
      <alignment horizontal="left" wrapText="1"/>
    </xf>
    <xf numFmtId="0" fontId="1" fillId="0" borderId="27" xfId="0" applyFont="1" applyBorder="1" applyAlignment="1" applyProtection="1">
      <alignment horizontal="center" wrapText="1"/>
      <protection locked="0"/>
    </xf>
    <xf numFmtId="0" fontId="41" fillId="12" borderId="12" xfId="3" applyFont="1" applyFill="1" applyBorder="1"/>
    <xf numFmtId="0" fontId="43" fillId="0" borderId="0" xfId="0" applyFont="1"/>
    <xf numFmtId="0" fontId="26" fillId="0" borderId="12" xfId="3" applyFont="1" applyBorder="1" applyAlignment="1">
      <alignment vertical="center"/>
    </xf>
    <xf numFmtId="0" fontId="33" fillId="0" borderId="15" xfId="0" quotePrefix="1" applyFont="1" applyBorder="1" applyAlignment="1">
      <alignment wrapText="1"/>
    </xf>
    <xf numFmtId="0" fontId="30" fillId="0" borderId="15" xfId="0" applyFont="1" applyBorder="1" applyAlignment="1">
      <alignment wrapText="1"/>
    </xf>
    <xf numFmtId="1" fontId="36" fillId="0" borderId="15" xfId="0" applyNumberFormat="1" applyFont="1" applyBorder="1" applyAlignment="1">
      <alignment horizontal="center"/>
    </xf>
    <xf numFmtId="0" fontId="7" fillId="0" borderId="21" xfId="0" applyFont="1" applyBorder="1" applyAlignment="1">
      <alignment horizontal="left" wrapText="1"/>
    </xf>
    <xf numFmtId="1" fontId="3" fillId="0" borderId="16" xfId="0" applyNumberFormat="1" applyFont="1" applyBorder="1" applyAlignment="1" applyProtection="1">
      <alignment horizontal="center" vertical="center"/>
      <protection locked="0"/>
    </xf>
    <xf numFmtId="0" fontId="11" fillId="0" borderId="15" xfId="0" applyFont="1" applyBorder="1" applyAlignment="1">
      <alignment horizontal="center" vertical="center"/>
    </xf>
    <xf numFmtId="1" fontId="3" fillId="0" borderId="12" xfId="0" applyNumberFormat="1" applyFont="1" applyBorder="1" applyAlignment="1" applyProtection="1">
      <alignment horizontal="center" vertical="top"/>
      <protection locked="0"/>
    </xf>
    <xf numFmtId="0" fontId="44" fillId="13" borderId="15" xfId="0" applyFont="1" applyFill="1" applyBorder="1" applyAlignment="1">
      <alignment wrapText="1"/>
    </xf>
    <xf numFmtId="0" fontId="44" fillId="14" borderId="15" xfId="0" applyFont="1" applyFill="1" applyBorder="1" applyAlignment="1">
      <alignment wrapText="1"/>
    </xf>
    <xf numFmtId="0" fontId="44" fillId="13" borderId="15" xfId="0" quotePrefix="1" applyFont="1" applyFill="1" applyBorder="1" applyAlignment="1">
      <alignment wrapText="1"/>
    </xf>
    <xf numFmtId="0" fontId="3" fillId="0" borderId="12" xfId="0" quotePrefix="1" applyFont="1" applyBorder="1" applyAlignment="1">
      <alignment horizontal="left" vertical="top" wrapText="1"/>
    </xf>
    <xf numFmtId="0" fontId="4" fillId="0" borderId="12" xfId="0" quotePrefix="1" applyFont="1" applyBorder="1" applyAlignment="1">
      <alignment wrapText="1"/>
    </xf>
    <xf numFmtId="0" fontId="30" fillId="0" borderId="16" xfId="0" applyFont="1" applyBorder="1" applyAlignment="1">
      <alignment horizontal="left" vertical="center" wrapText="1"/>
    </xf>
    <xf numFmtId="0" fontId="0" fillId="0" borderId="23" xfId="0" quotePrefix="1" applyBorder="1" applyAlignment="1">
      <alignment horizontal="left" vertical="center" wrapText="1"/>
    </xf>
    <xf numFmtId="0" fontId="0" fillId="0" borderId="17" xfId="0" applyBorder="1" applyAlignment="1">
      <alignment horizontal="left" vertical="center" wrapText="1"/>
    </xf>
    <xf numFmtId="0" fontId="3" fillId="0" borderId="14" xfId="0" applyFont="1" applyBorder="1" applyProtection="1">
      <protection locked="0"/>
    </xf>
    <xf numFmtId="0" fontId="1" fillId="0" borderId="21" xfId="0" applyFont="1" applyBorder="1" applyAlignment="1" applyProtection="1">
      <alignment horizontal="center" wrapText="1"/>
      <protection locked="0"/>
    </xf>
    <xf numFmtId="0" fontId="45" fillId="0" borderId="15" xfId="0" applyFont="1" applyBorder="1"/>
    <xf numFmtId="0" fontId="3" fillId="0" borderId="16" xfId="0" applyFont="1" applyBorder="1" applyProtection="1">
      <protection locked="0"/>
    </xf>
    <xf numFmtId="165" fontId="13" fillId="0" borderId="14" xfId="3" applyNumberFormat="1" applyFont="1" applyBorder="1" applyAlignment="1">
      <alignment horizontal="center" vertical="center"/>
    </xf>
    <xf numFmtId="165" fontId="13" fillId="0" borderId="18" xfId="3" applyNumberFormat="1" applyFont="1" applyBorder="1" applyAlignment="1">
      <alignment horizontal="center"/>
    </xf>
    <xf numFmtId="165" fontId="13" fillId="0" borderId="18" xfId="3" applyNumberFormat="1" applyFont="1" applyBorder="1" applyAlignment="1">
      <alignment horizontal="center" vertical="center"/>
    </xf>
    <xf numFmtId="0" fontId="13" fillId="0" borderId="18" xfId="3" applyFont="1" applyBorder="1" applyAlignment="1">
      <alignment vertical="center"/>
    </xf>
    <xf numFmtId="0" fontId="3" fillId="0" borderId="13" xfId="0" applyFont="1" applyBorder="1" applyProtection="1">
      <protection locked="0"/>
    </xf>
    <xf numFmtId="0" fontId="30" fillId="7" borderId="15" xfId="0" quotePrefix="1" applyFont="1" applyFill="1" applyBorder="1" applyAlignment="1">
      <alignment horizontal="left" vertical="top" wrapText="1"/>
    </xf>
    <xf numFmtId="0" fontId="3" fillId="0" borderId="31" xfId="0" applyFont="1" applyBorder="1" applyAlignment="1">
      <alignment horizontal="center" vertical="center"/>
    </xf>
    <xf numFmtId="0" fontId="3" fillId="0" borderId="16" xfId="0" applyFont="1" applyBorder="1" applyAlignment="1" applyProtection="1">
      <alignment horizontal="left"/>
      <protection locked="0"/>
    </xf>
    <xf numFmtId="0" fontId="0" fillId="7" borderId="15" xfId="0" applyFill="1" applyBorder="1" applyAlignment="1">
      <alignment vertical="top"/>
    </xf>
    <xf numFmtId="0" fontId="11" fillId="0" borderId="16" xfId="0" quotePrefix="1" applyFont="1" applyBorder="1" applyAlignment="1">
      <alignment horizontal="left" vertical="center" wrapText="1"/>
    </xf>
    <xf numFmtId="0" fontId="31" fillId="0" borderId="0" xfId="0" applyFont="1" applyAlignment="1">
      <alignment wrapText="1"/>
    </xf>
    <xf numFmtId="0" fontId="36" fillId="0" borderId="15" xfId="0" applyFont="1" applyBorder="1" applyAlignment="1">
      <alignment horizontal="center" vertical="center"/>
    </xf>
    <xf numFmtId="0" fontId="0" fillId="7" borderId="12" xfId="0" quotePrefix="1" applyFill="1" applyBorder="1" applyAlignment="1">
      <alignment horizontal="left" vertical="center" wrapText="1"/>
    </xf>
    <xf numFmtId="0" fontId="0" fillId="7" borderId="12" xfId="0" applyFill="1" applyBorder="1" applyAlignment="1">
      <alignment wrapText="1"/>
    </xf>
    <xf numFmtId="0" fontId="0" fillId="7" borderId="12" xfId="0" applyFill="1" applyBorder="1" applyAlignment="1">
      <alignment vertical="center" wrapText="1"/>
    </xf>
    <xf numFmtId="0" fontId="0" fillId="7" borderId="17" xfId="0" applyFill="1" applyBorder="1" applyAlignment="1">
      <alignment wrapText="1"/>
    </xf>
    <xf numFmtId="0" fontId="12" fillId="7" borderId="15" xfId="0" quotePrefix="1" applyFont="1" applyFill="1" applyBorder="1" applyAlignment="1">
      <alignment horizontal="left" vertical="top" wrapText="1"/>
    </xf>
    <xf numFmtId="0" fontId="0" fillId="7" borderId="23" xfId="0" applyFill="1" applyBorder="1" applyAlignment="1">
      <alignment vertical="top"/>
    </xf>
    <xf numFmtId="0" fontId="31" fillId="13" borderId="15" xfId="0" applyFont="1" applyFill="1" applyBorder="1" applyAlignment="1">
      <alignment wrapText="1"/>
    </xf>
    <xf numFmtId="0" fontId="12" fillId="0" borderId="16" xfId="0" applyFont="1" applyBorder="1" applyAlignment="1">
      <alignment horizontal="left" vertical="center" wrapText="1"/>
    </xf>
    <xf numFmtId="0" fontId="0" fillId="7" borderId="23" xfId="0" applyFill="1" applyBorder="1" applyAlignment="1">
      <alignment vertical="top" wrapText="1"/>
    </xf>
    <xf numFmtId="0" fontId="0" fillId="7" borderId="15" xfId="0" applyFill="1" applyBorder="1" applyAlignment="1">
      <alignment wrapText="1"/>
    </xf>
    <xf numFmtId="0" fontId="0" fillId="7" borderId="15" xfId="0" applyFill="1" applyBorder="1" applyAlignment="1">
      <alignment vertical="center" wrapText="1"/>
    </xf>
    <xf numFmtId="0" fontId="0" fillId="7" borderId="15" xfId="0" applyFill="1" applyBorder="1" applyAlignment="1">
      <alignment horizontal="center"/>
    </xf>
    <xf numFmtId="0" fontId="0" fillId="7" borderId="15" xfId="0" quotePrefix="1" applyFill="1" applyBorder="1" applyAlignment="1">
      <alignment horizontal="left" vertical="center" wrapText="1"/>
    </xf>
    <xf numFmtId="0" fontId="46" fillId="7" borderId="15" xfId="0" quotePrefix="1" applyFont="1" applyFill="1" applyBorder="1" applyAlignment="1">
      <alignment wrapText="1"/>
    </xf>
    <xf numFmtId="0" fontId="11" fillId="7" borderId="15" xfId="0" applyFont="1" applyFill="1" applyBorder="1" applyAlignment="1">
      <alignment vertical="top" wrapText="1"/>
    </xf>
    <xf numFmtId="0" fontId="47" fillId="7" borderId="15" xfId="0" applyFont="1" applyFill="1" applyBorder="1" applyAlignment="1">
      <alignment vertical="top" wrapText="1"/>
    </xf>
    <xf numFmtId="0" fontId="0" fillId="7" borderId="23" xfId="0" quotePrefix="1" applyFill="1" applyBorder="1" applyAlignment="1">
      <alignment vertical="top"/>
    </xf>
    <xf numFmtId="0" fontId="0" fillId="7" borderId="12" xfId="0" applyFill="1" applyBorder="1" applyAlignment="1">
      <alignment vertical="top" wrapText="1"/>
    </xf>
    <xf numFmtId="0" fontId="45" fillId="0" borderId="0" xfId="0" applyFont="1"/>
    <xf numFmtId="0" fontId="22" fillId="7" borderId="15" xfId="0" applyFont="1" applyFill="1" applyBorder="1" applyAlignment="1">
      <alignment vertical="top"/>
    </xf>
    <xf numFmtId="0" fontId="48" fillId="7" borderId="15" xfId="0" applyFont="1" applyFill="1" applyBorder="1" applyAlignment="1">
      <alignment vertical="top"/>
    </xf>
    <xf numFmtId="0" fontId="12" fillId="7" borderId="16" xfId="0" applyFont="1" applyFill="1" applyBorder="1" applyAlignment="1">
      <alignment horizontal="left" vertical="center" wrapText="1"/>
    </xf>
    <xf numFmtId="0" fontId="0" fillId="7" borderId="14" xfId="0" quotePrefix="1" applyFill="1" applyBorder="1" applyAlignment="1">
      <alignment horizontal="left" vertical="center" wrapText="1"/>
    </xf>
    <xf numFmtId="0" fontId="0" fillId="7" borderId="23" xfId="0" quotePrefix="1" applyFill="1" applyBorder="1" applyAlignment="1">
      <alignment vertical="top" wrapText="1"/>
    </xf>
    <xf numFmtId="0" fontId="0" fillId="7" borderId="17" xfId="0" applyFill="1" applyBorder="1" applyAlignment="1">
      <alignment horizontal="left" vertical="center" wrapText="1"/>
    </xf>
    <xf numFmtId="0" fontId="0" fillId="7" borderId="13" xfId="0" applyFill="1" applyBorder="1" applyAlignment="1">
      <alignment vertical="center" wrapText="1"/>
    </xf>
    <xf numFmtId="0" fontId="34" fillId="7" borderId="15" xfId="0" quotePrefix="1" applyFont="1" applyFill="1" applyBorder="1" applyAlignment="1">
      <alignment wrapText="1"/>
    </xf>
    <xf numFmtId="0" fontId="0" fillId="7" borderId="21" xfId="0" quotePrefix="1" applyFill="1" applyBorder="1" applyAlignment="1">
      <alignment wrapText="1"/>
    </xf>
    <xf numFmtId="0" fontId="33" fillId="7" borderId="15" xfId="0" quotePrefix="1" applyFont="1" applyFill="1" applyBorder="1" applyAlignment="1">
      <alignment wrapText="1"/>
    </xf>
    <xf numFmtId="0" fontId="11" fillId="0" borderId="12" xfId="0" quotePrefix="1" applyFont="1" applyBorder="1" applyAlignment="1">
      <alignment horizontal="left" vertical="center" wrapText="1"/>
    </xf>
    <xf numFmtId="0" fontId="18" fillId="0" borderId="15" xfId="0" applyFont="1" applyBorder="1"/>
    <xf numFmtId="0" fontId="23" fillId="0" borderId="12" xfId="0" applyFont="1" applyBorder="1" applyAlignment="1">
      <alignment wrapText="1"/>
    </xf>
    <xf numFmtId="0" fontId="30" fillId="0" borderId="12" xfId="0" applyFont="1" applyBorder="1" applyAlignment="1" applyProtection="1">
      <alignment horizontal="left" wrapText="1"/>
      <protection locked="0"/>
    </xf>
    <xf numFmtId="0" fontId="11" fillId="0" borderId="12" xfId="0" quotePrefix="1" applyFont="1" applyBorder="1" applyAlignment="1">
      <alignment horizontal="left" vertical="top" wrapText="1"/>
    </xf>
    <xf numFmtId="0" fontId="49" fillId="0" borderId="12" xfId="0" applyFont="1" applyBorder="1" applyAlignment="1">
      <alignment vertical="center" wrapText="1"/>
    </xf>
    <xf numFmtId="0" fontId="3" fillId="0" borderId="21" xfId="0" applyFont="1" applyBorder="1" applyProtection="1">
      <protection locked="0"/>
    </xf>
    <xf numFmtId="0" fontId="31" fillId="0" borderId="15" xfId="0" applyFont="1" applyBorder="1" applyAlignment="1">
      <alignment wrapText="1"/>
    </xf>
    <xf numFmtId="0" fontId="3" fillId="0" borderId="12" xfId="0" applyFont="1" applyBorder="1" applyAlignment="1">
      <alignment horizontal="center" vertical="center" wrapText="1"/>
    </xf>
    <xf numFmtId="0" fontId="30" fillId="7" borderId="15" xfId="0" quotePrefix="1" applyFont="1" applyFill="1" applyBorder="1" applyAlignment="1">
      <alignment horizontal="left" vertical="center" wrapText="1"/>
    </xf>
    <xf numFmtId="0" fontId="50" fillId="0" borderId="15" xfId="0" quotePrefix="1" applyFont="1" applyBorder="1" applyAlignment="1" applyProtection="1">
      <alignment horizontal="left" wrapText="1"/>
      <protection locked="0"/>
    </xf>
    <xf numFmtId="0" fontId="0" fillId="7" borderId="15" xfId="0" quotePrefix="1" applyFill="1" applyBorder="1" applyAlignment="1">
      <alignment vertical="top" wrapText="1"/>
    </xf>
    <xf numFmtId="0" fontId="0" fillId="7" borderId="15" xfId="0" applyFill="1" applyBorder="1" applyAlignment="1">
      <alignment horizontal="center" vertical="center"/>
    </xf>
    <xf numFmtId="0" fontId="34" fillId="0" borderId="15" xfId="0" applyFont="1" applyBorder="1"/>
    <xf numFmtId="0" fontId="0" fillId="7" borderId="15" xfId="0" applyFill="1" applyBorder="1" applyAlignment="1">
      <alignment horizontal="left" vertical="top" wrapText="1"/>
    </xf>
    <xf numFmtId="0" fontId="0" fillId="7" borderId="15" xfId="0" quotePrefix="1" applyFill="1" applyBorder="1" applyAlignment="1">
      <alignment horizontal="left" vertical="top" wrapText="1"/>
    </xf>
    <xf numFmtId="0" fontId="0" fillId="7" borderId="15" xfId="0" applyFill="1" applyBorder="1" applyAlignment="1">
      <alignment vertical="top" wrapText="1"/>
    </xf>
    <xf numFmtId="0" fontId="52" fillId="7" borderId="15" xfId="0" applyFont="1" applyFill="1" applyBorder="1" applyAlignment="1">
      <alignment horizontal="center" vertical="center"/>
    </xf>
    <xf numFmtId="0" fontId="30" fillId="0" borderId="15" xfId="0" quotePrefix="1" applyFont="1" applyBorder="1" applyAlignment="1" applyProtection="1">
      <alignment horizontal="left" wrapText="1"/>
      <protection locked="0"/>
    </xf>
    <xf numFmtId="0" fontId="30" fillId="0" borderId="15" xfId="0" applyFont="1" applyBorder="1" applyAlignment="1" applyProtection="1">
      <alignment wrapText="1"/>
      <protection locked="0"/>
    </xf>
    <xf numFmtId="0" fontId="50" fillId="0" borderId="15" xfId="0" applyFont="1" applyBorder="1"/>
    <xf numFmtId="0" fontId="50" fillId="0" borderId="15" xfId="0" applyFont="1" applyBorder="1" applyAlignment="1">
      <alignment wrapText="1"/>
    </xf>
    <xf numFmtId="0" fontId="53" fillId="0" borderId="15" xfId="0" applyFont="1" applyBorder="1" applyAlignment="1">
      <alignment horizontal="left" wrapText="1"/>
    </xf>
    <xf numFmtId="0" fontId="0" fillId="7" borderId="15" xfId="0" applyFill="1" applyBorder="1" applyAlignment="1">
      <alignment horizontal="center" vertical="top"/>
    </xf>
    <xf numFmtId="0" fontId="0" fillId="0" borderId="21" xfId="0" quotePrefix="1" applyBorder="1" applyAlignment="1">
      <alignment horizontal="left" vertical="top" wrapText="1"/>
    </xf>
    <xf numFmtId="0" fontId="3" fillId="0" borderId="15" xfId="0" quotePrefix="1" applyFont="1" applyBorder="1" applyAlignment="1" applyProtection="1">
      <alignment horizontal="left" wrapText="1"/>
      <protection locked="0"/>
    </xf>
    <xf numFmtId="0" fontId="7" fillId="0" borderId="15" xfId="0" quotePrefix="1" applyFont="1" applyBorder="1" applyAlignment="1" applyProtection="1">
      <alignment horizontal="left" wrapText="1"/>
      <protection locked="0"/>
    </xf>
    <xf numFmtId="0" fontId="3" fillId="0" borderId="0" xfId="0" applyFont="1" applyAlignment="1">
      <alignment horizontal="left" vertical="top" wrapText="1"/>
    </xf>
    <xf numFmtId="0" fontId="7" fillId="0" borderId="15" xfId="0" applyFont="1" applyBorder="1"/>
    <xf numFmtId="0" fontId="51" fillId="0" borderId="15" xfId="0" applyFont="1" applyBorder="1" applyAlignment="1">
      <alignment wrapText="1"/>
    </xf>
    <xf numFmtId="0" fontId="0" fillId="0" borderId="15" xfId="0" applyBorder="1" applyAlignment="1">
      <alignment horizontal="left" vertical="top" wrapText="1"/>
    </xf>
    <xf numFmtId="0" fontId="53" fillId="0" borderId="15" xfId="0" applyFont="1" applyBorder="1"/>
    <xf numFmtId="0" fontId="54" fillId="0" borderId="15" xfId="0" applyFont="1" applyBorder="1" applyAlignment="1">
      <alignment horizontal="left" wrapText="1"/>
    </xf>
    <xf numFmtId="0" fontId="1" fillId="0" borderId="21" xfId="0" applyFont="1" applyBorder="1" applyAlignment="1" applyProtection="1">
      <alignment horizontal="center"/>
      <protection locked="0"/>
    </xf>
    <xf numFmtId="1" fontId="1" fillId="0" borderId="21" xfId="0" applyNumberFormat="1" applyFont="1" applyBorder="1" applyAlignment="1" applyProtection="1">
      <alignment horizontal="center" wrapText="1"/>
      <protection locked="0"/>
    </xf>
    <xf numFmtId="0" fontId="1" fillId="0" borderId="21" xfId="0" applyFont="1" applyBorder="1" applyAlignment="1" applyProtection="1">
      <alignment horizontal="left" wrapText="1"/>
      <protection locked="0"/>
    </xf>
    <xf numFmtId="0" fontId="1" fillId="0" borderId="22" xfId="0" applyFont="1" applyBorder="1" applyAlignment="1" applyProtection="1">
      <alignment horizontal="center" wrapText="1"/>
      <protection locked="0"/>
    </xf>
    <xf numFmtId="0" fontId="31" fillId="0" borderId="34" xfId="0" applyFont="1" applyBorder="1" applyAlignment="1">
      <alignment wrapText="1"/>
    </xf>
    <xf numFmtId="0" fontId="0" fillId="0" borderId="16" xfId="0" applyBorder="1" applyAlignment="1">
      <alignment vertical="center" wrapText="1"/>
    </xf>
    <xf numFmtId="0" fontId="3" fillId="0" borderId="35" xfId="0" applyFont="1" applyBorder="1" applyAlignment="1">
      <alignment horizontal="center" vertical="center"/>
    </xf>
    <xf numFmtId="0" fontId="28" fillId="0" borderId="21" xfId="0" applyFont="1" applyBorder="1" applyAlignment="1">
      <alignment wrapText="1"/>
    </xf>
    <xf numFmtId="0" fontId="3" fillId="0" borderId="21" xfId="0" applyFont="1" applyBorder="1" applyAlignment="1">
      <alignment horizontal="left" vertical="center" wrapText="1"/>
    </xf>
    <xf numFmtId="1" fontId="3" fillId="0" borderId="13" xfId="0" applyNumberFormat="1" applyFont="1" applyBorder="1" applyAlignment="1" applyProtection="1">
      <alignment horizontal="center" vertical="center"/>
      <protection locked="0"/>
    </xf>
    <xf numFmtId="0" fontId="3" fillId="0" borderId="15" xfId="0" quotePrefix="1" applyFont="1" applyBorder="1" applyAlignment="1">
      <alignment wrapText="1"/>
    </xf>
    <xf numFmtId="0" fontId="0" fillId="0" borderId="31" xfId="0" applyBorder="1" applyAlignment="1">
      <alignment horizontal="center" vertical="center"/>
    </xf>
    <xf numFmtId="0" fontId="3" fillId="0" borderId="16" xfId="0" applyFont="1" applyBorder="1" applyAlignment="1" applyProtection="1">
      <alignment wrapText="1"/>
      <protection locked="0"/>
    </xf>
    <xf numFmtId="0" fontId="31" fillId="0" borderId="21" xfId="0" applyFont="1" applyBorder="1"/>
    <xf numFmtId="0" fontId="31" fillId="0" borderId="37" xfId="0" applyFont="1" applyBorder="1"/>
    <xf numFmtId="0" fontId="3" fillId="0" borderId="38" xfId="0" applyFont="1" applyBorder="1" applyProtection="1">
      <protection locked="0"/>
    </xf>
    <xf numFmtId="0" fontId="3" fillId="0" borderId="39" xfId="0" applyFont="1" applyBorder="1" applyProtection="1">
      <protection locked="0"/>
    </xf>
    <xf numFmtId="0" fontId="0" fillId="0" borderId="23" xfId="0" applyBorder="1"/>
    <xf numFmtId="0" fontId="3" fillId="0" borderId="17" xfId="0" applyFont="1" applyBorder="1" applyProtection="1">
      <protection locked="0"/>
    </xf>
    <xf numFmtId="0" fontId="31" fillId="0" borderId="29" xfId="0" applyFont="1" applyBorder="1"/>
    <xf numFmtId="0" fontId="13" fillId="0" borderId="12" xfId="3" applyFont="1" applyBorder="1" applyAlignment="1">
      <alignment vertical="center"/>
    </xf>
    <xf numFmtId="0" fontId="13" fillId="0" borderId="16" xfId="3" applyFont="1" applyBorder="1" applyAlignment="1">
      <alignment vertical="center"/>
    </xf>
    <xf numFmtId="0" fontId="13" fillId="0" borderId="14"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21" fillId="0" borderId="21" xfId="0" applyFont="1" applyBorder="1" applyAlignment="1">
      <alignment wrapText="1"/>
    </xf>
    <xf numFmtId="0" fontId="21" fillId="0" borderId="17" xfId="0" applyFont="1" applyBorder="1" applyAlignment="1">
      <alignment wrapText="1"/>
    </xf>
    <xf numFmtId="0" fontId="21" fillId="0" borderId="12" xfId="0" applyFont="1" applyBorder="1" applyAlignment="1">
      <alignment wrapText="1"/>
    </xf>
    <xf numFmtId="0" fontId="3" fillId="0" borderId="31" xfId="0" quotePrefix="1" applyFont="1" applyBorder="1" applyAlignment="1">
      <alignment horizontal="left" vertical="center" wrapText="1"/>
    </xf>
    <xf numFmtId="0" fontId="0" fillId="0" borderId="16" xfId="0" applyBorder="1" applyAlignment="1">
      <alignment horizontal="left" vertical="top" wrapText="1"/>
    </xf>
    <xf numFmtId="0" fontId="3" fillId="0" borderId="21" xfId="0" quotePrefix="1" applyFont="1" applyBorder="1" applyAlignment="1">
      <alignment horizontal="left" vertical="center" wrapText="1"/>
    </xf>
    <xf numFmtId="0" fontId="0" fillId="0" borderId="16" xfId="0" applyBorder="1" applyAlignment="1">
      <alignment horizontal="left" vertical="center" wrapText="1"/>
    </xf>
    <xf numFmtId="0" fontId="3" fillId="0" borderId="27" xfId="0" quotePrefix="1" applyFont="1" applyBorder="1" applyAlignment="1">
      <alignment horizontal="left" vertical="center" wrapText="1"/>
    </xf>
    <xf numFmtId="0" fontId="0" fillId="0" borderId="31" xfId="0" quotePrefix="1" applyBorder="1" applyAlignment="1">
      <alignment horizontal="left" vertical="top" wrapText="1"/>
    </xf>
    <xf numFmtId="0" fontId="4" fillId="0" borderId="15" xfId="0" quotePrefix="1" applyFont="1" applyBorder="1" applyAlignment="1">
      <alignment wrapText="1"/>
    </xf>
    <xf numFmtId="0" fontId="0" fillId="0" borderId="16" xfId="0" quotePrefix="1" applyBorder="1" applyAlignment="1">
      <alignment horizontal="left" vertical="top" wrapText="1"/>
    </xf>
    <xf numFmtId="0" fontId="24" fillId="0" borderId="14" xfId="0" applyFont="1" applyBorder="1" applyAlignment="1">
      <alignment horizontal="center"/>
    </xf>
    <xf numFmtId="0" fontId="3" fillId="0" borderId="12" xfId="0" applyFont="1" applyBorder="1" applyAlignment="1">
      <alignment horizontal="center"/>
    </xf>
    <xf numFmtId="0" fontId="24" fillId="0" borderId="15" xfId="0" applyFont="1" applyBorder="1" applyAlignment="1">
      <alignment horizontal="center"/>
    </xf>
    <xf numFmtId="0" fontId="3" fillId="0" borderId="14" xfId="0" applyFont="1" applyBorder="1" applyAlignment="1">
      <alignment horizontal="center"/>
    </xf>
    <xf numFmtId="0" fontId="24" fillId="0" borderId="21" xfId="0" applyFont="1" applyBorder="1" applyAlignment="1">
      <alignment horizontal="center"/>
    </xf>
    <xf numFmtId="0" fontId="0" fillId="7" borderId="12" xfId="0" applyFill="1" applyBorder="1" applyAlignment="1">
      <alignment horizontal="center"/>
    </xf>
    <xf numFmtId="0" fontId="0" fillId="0" borderId="36" xfId="0" applyBorder="1" applyAlignment="1">
      <alignment horizontal="center"/>
    </xf>
    <xf numFmtId="0" fontId="0" fillId="0" borderId="23" xfId="0" applyBorder="1" applyAlignment="1">
      <alignment horizontal="center"/>
    </xf>
    <xf numFmtId="1" fontId="3" fillId="0" borderId="20" xfId="0" applyNumberFormat="1" applyFont="1" applyBorder="1" applyAlignment="1" applyProtection="1">
      <alignment horizontal="center" vertical="center"/>
      <protection locked="0"/>
    </xf>
    <xf numFmtId="0" fontId="24" fillId="0" borderId="16" xfId="0" applyFont="1" applyBorder="1" applyAlignment="1">
      <alignment horizontal="center"/>
    </xf>
    <xf numFmtId="1" fontId="3" fillId="0" borderId="12" xfId="0" applyNumberFormat="1" applyFont="1" applyBorder="1" applyAlignment="1">
      <alignment horizontal="center"/>
    </xf>
    <xf numFmtId="1" fontId="0" fillId="0" borderId="16" xfId="0" applyNumberFormat="1" applyBorder="1" applyAlignment="1" applyProtection="1">
      <alignment horizontal="center" vertical="center"/>
      <protection locked="0"/>
    </xf>
    <xf numFmtId="1" fontId="0" fillId="0" borderId="17" xfId="0" applyNumberFormat="1" applyBorder="1" applyAlignment="1">
      <alignment horizontal="center"/>
    </xf>
    <xf numFmtId="1" fontId="3" fillId="0" borderId="21" xfId="0" applyNumberFormat="1" applyFont="1" applyBorder="1" applyAlignment="1" applyProtection="1">
      <alignment horizontal="center" vertical="center"/>
      <protection locked="0"/>
    </xf>
    <xf numFmtId="0" fontId="0" fillId="0" borderId="27" xfId="0" applyBorder="1" applyAlignment="1" applyProtection="1">
      <alignment horizontal="left" wrapText="1"/>
      <protection locked="0"/>
    </xf>
    <xf numFmtId="0" fontId="19" fillId="0" borderId="15" xfId="0" applyFont="1" applyBorder="1" applyAlignment="1">
      <alignment wrapText="1"/>
    </xf>
    <xf numFmtId="0" fontId="28" fillId="0" borderId="12" xfId="0" applyFont="1" applyBorder="1" applyAlignment="1">
      <alignment wrapText="1"/>
    </xf>
    <xf numFmtId="0" fontId="29" fillId="0" borderId="15" xfId="0" applyFont="1" applyBorder="1"/>
    <xf numFmtId="0" fontId="0" fillId="0" borderId="0" xfId="0" applyBorder="1" applyAlignment="1">
      <alignment horizontal="left" wrapText="1"/>
    </xf>
    <xf numFmtId="0" fontId="3" fillId="0" borderId="12" xfId="0" applyFont="1" applyBorder="1"/>
    <xf numFmtId="0" fontId="7" fillId="0" borderId="12" xfId="0" applyFont="1" applyBorder="1" applyAlignment="1">
      <alignment horizontal="left" wrapText="1"/>
    </xf>
    <xf numFmtId="0" fontId="28" fillId="0" borderId="27" xfId="0" applyFont="1" applyBorder="1" applyAlignment="1">
      <alignment wrapText="1"/>
    </xf>
    <xf numFmtId="0" fontId="0" fillId="0" borderId="21" xfId="0" applyBorder="1" applyAlignment="1" applyProtection="1">
      <alignment horizontal="left" wrapText="1"/>
      <protection locked="0"/>
    </xf>
    <xf numFmtId="0" fontId="11" fillId="0" borderId="12" xfId="0" applyFont="1" applyBorder="1" applyAlignment="1">
      <alignment horizontal="left" wrapText="1"/>
    </xf>
    <xf numFmtId="0" fontId="19" fillId="0" borderId="29" xfId="0" applyFont="1" applyBorder="1" applyAlignment="1">
      <alignment wrapText="1"/>
    </xf>
    <xf numFmtId="0" fontId="3" fillId="0" borderId="18" xfId="0" applyFont="1" applyBorder="1"/>
    <xf numFmtId="0" fontId="3" fillId="0" borderId="21" xfId="0" applyFont="1" applyBorder="1" applyAlignment="1" applyProtection="1">
      <alignment wrapText="1"/>
      <protection locked="0"/>
    </xf>
    <xf numFmtId="0" fontId="0" fillId="0" borderId="14" xfId="0" applyBorder="1"/>
    <xf numFmtId="0" fontId="31" fillId="0" borderId="14" xfId="0" applyFont="1" applyBorder="1"/>
    <xf numFmtId="0" fontId="3" fillId="0" borderId="23" xfId="0" applyFont="1" applyBorder="1" applyAlignment="1" applyProtection="1">
      <alignment wrapText="1"/>
      <protection locked="0"/>
    </xf>
    <xf numFmtId="0" fontId="3" fillId="0" borderId="0" xfId="0" applyFont="1" applyBorder="1" applyAlignment="1" applyProtection="1">
      <alignment wrapText="1"/>
      <protection locked="0"/>
    </xf>
    <xf numFmtId="0" fontId="35" fillId="0" borderId="14" xfId="0" applyFont="1" applyBorder="1" applyAlignment="1">
      <alignment wrapText="1"/>
    </xf>
    <xf numFmtId="0" fontId="3" fillId="0" borderId="13" xfId="0" applyFont="1" applyBorder="1"/>
    <xf numFmtId="0" fontId="0" fillId="0" borderId="27" xfId="0" applyBorder="1"/>
    <xf numFmtId="0" fontId="3" fillId="0" borderId="12" xfId="0" applyFont="1" applyBorder="1" applyAlignment="1" applyProtection="1">
      <alignment horizontal="left"/>
      <protection locked="0"/>
    </xf>
    <xf numFmtId="0" fontId="0" fillId="0" borderId="16" xfId="0" applyBorder="1"/>
    <xf numFmtId="0" fontId="0" fillId="0" borderId="29" xfId="0" applyBorder="1"/>
    <xf numFmtId="0" fontId="0" fillId="0" borderId="17" xfId="0" applyBorder="1"/>
    <xf numFmtId="0" fontId="3" fillId="0" borderId="23" xfId="0" applyFont="1" applyBorder="1" applyAlignment="1">
      <alignment horizontal="left" vertical="center" wrapText="1"/>
    </xf>
    <xf numFmtId="0" fontId="45" fillId="0" borderId="12" xfId="0" applyFont="1" applyBorder="1"/>
    <xf numFmtId="0" fontId="31" fillId="0" borderId="13" xfId="0" applyFont="1" applyBorder="1" applyAlignment="1">
      <alignment wrapText="1"/>
    </xf>
    <xf numFmtId="0" fontId="38" fillId="11" borderId="12" xfId="3" applyFont="1" applyFill="1" applyBorder="1" applyAlignment="1"/>
    <xf numFmtId="0" fontId="38" fillId="11" borderId="16" xfId="3" applyFont="1" applyFill="1" applyBorder="1" applyAlignment="1"/>
    <xf numFmtId="0" fontId="38" fillId="11" borderId="33" xfId="3" applyFont="1" applyFill="1" applyBorder="1" applyAlignment="1"/>
    <xf numFmtId="0" fontId="42" fillId="0" borderId="16" xfId="3" applyFont="1" applyBorder="1" applyAlignment="1"/>
    <xf numFmtId="0" fontId="42" fillId="0" borderId="33" xfId="3" applyFont="1" applyBorder="1" applyAlignment="1"/>
    <xf numFmtId="0" fontId="41" fillId="12" borderId="16" xfId="3" applyFont="1" applyFill="1" applyBorder="1" applyAlignment="1"/>
    <xf numFmtId="0" fontId="41" fillId="12" borderId="33" xfId="3" applyFont="1" applyFill="1" applyBorder="1" applyAlignment="1"/>
    <xf numFmtId="0" fontId="0" fillId="0" borderId="2" xfId="0" applyBorder="1" applyAlignment="1"/>
  </cellXfs>
  <cellStyles count="4">
    <cellStyle name="Hyperlink" xfId="2" builtinId="8"/>
    <cellStyle name="Normal" xfId="0" builtinId="0"/>
    <cellStyle name="Normal 2" xfId="1" xr:uid="{1DD03006-975C-4B5F-BAD6-860EEC402895}"/>
    <cellStyle name="Normal 3" xfId="3" xr:uid="{0A712ADE-6038-4828-9CB2-0CAE6A00CA47}"/>
  </cellStyles>
  <dxfs count="309">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Y113:SY114" insertRow="1" totalsRowShown="0" headerRowDxfId="216" dataDxfId="215">
  <autoFilter ref="SY113:SY114" xr:uid="{E0FDEC2D-A720-41F7-A850-C7F7D7AB468F}"/>
  <tableColumns count="1">
    <tableColumn id="1" xr3:uid="{0FAC254D-96A4-48EC-BB85-BE0E2B8F605D}" name="Column1" dataDxfId="21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AL23%20AL08%20%26%20AL10?csf=1&amp;web=1&amp;e=w4b9z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10B1-E8B2-4E3B-9023-D8DBEB808A73}">
  <dimension ref="C4:H57"/>
  <sheetViews>
    <sheetView topLeftCell="A52" workbookViewId="0">
      <selection activeCell="E15" sqref="E15"/>
    </sheetView>
  </sheetViews>
  <sheetFormatPr defaultColWidth="8.85546875" defaultRowHeight="14.45"/>
  <cols>
    <col min="1" max="2" width="8.85546875" style="310"/>
    <col min="3" max="3" width="16.28515625" style="310" customWidth="1"/>
    <col min="4" max="4" width="24.42578125" style="310" customWidth="1"/>
    <col min="5" max="5" width="67.28515625" style="310" customWidth="1"/>
    <col min="6" max="12" width="27.140625" style="310" customWidth="1"/>
    <col min="13" max="16384" width="8.85546875" style="310"/>
  </cols>
  <sheetData>
    <row r="4" spans="3:7" ht="15.6">
      <c r="C4" s="509" t="s">
        <v>0</v>
      </c>
      <c r="D4" s="509"/>
      <c r="E4" s="509"/>
    </row>
    <row r="5" spans="3:7" ht="15">
      <c r="C5" s="311" t="s">
        <v>1</v>
      </c>
      <c r="D5" s="450" t="s">
        <v>2</v>
      </c>
      <c r="E5" s="450"/>
      <c r="G5"/>
    </row>
    <row r="6" spans="3:7" ht="14.45" customHeight="1">
      <c r="C6" s="311" t="s">
        <v>1</v>
      </c>
      <c r="D6" s="451" t="s">
        <v>3</v>
      </c>
      <c r="E6" s="452"/>
      <c r="G6"/>
    </row>
    <row r="7" spans="3:7" ht="15">
      <c r="C7" s="311" t="s">
        <v>4</v>
      </c>
      <c r="D7" s="450" t="s">
        <v>5</v>
      </c>
      <c r="E7" s="450"/>
      <c r="G7"/>
    </row>
    <row r="8" spans="3:7" ht="15">
      <c r="C8" s="311" t="s">
        <v>6</v>
      </c>
      <c r="D8" s="450" t="s">
        <v>7</v>
      </c>
      <c r="E8" s="450"/>
      <c r="G8"/>
    </row>
    <row r="9" spans="3:7">
      <c r="C9" s="312"/>
      <c r="D9" s="313"/>
      <c r="E9" s="313"/>
    </row>
    <row r="10" spans="3:7" ht="15.6">
      <c r="C10" s="510" t="s">
        <v>8</v>
      </c>
      <c r="D10" s="511"/>
      <c r="E10" s="511"/>
    </row>
    <row r="11" spans="3:7">
      <c r="C11" s="314" t="s">
        <v>9</v>
      </c>
      <c r="D11" s="314" t="s">
        <v>10</v>
      </c>
      <c r="E11" s="314" t="s">
        <v>11</v>
      </c>
    </row>
    <row r="12" spans="3:7" ht="15">
      <c r="C12" s="320">
        <v>0.1</v>
      </c>
      <c r="D12" s="356">
        <v>46056</v>
      </c>
      <c r="E12" s="321" t="s">
        <v>12</v>
      </c>
    </row>
    <row r="13" spans="3:7">
      <c r="C13" s="322">
        <v>0.2</v>
      </c>
      <c r="D13" s="358">
        <v>46058</v>
      </c>
      <c r="E13" s="359" t="s">
        <v>13</v>
      </c>
    </row>
    <row r="14" spans="3:7">
      <c r="C14" s="317"/>
      <c r="D14" s="357"/>
      <c r="E14" s="316"/>
    </row>
    <row r="15" spans="3:7">
      <c r="C15" s="318"/>
      <c r="D15" s="357"/>
      <c r="E15" s="316"/>
    </row>
    <row r="16" spans="3:7">
      <c r="C16" s="315"/>
      <c r="D16" s="357"/>
      <c r="E16" s="316"/>
    </row>
    <row r="17" spans="3:8">
      <c r="C17" s="313"/>
      <c r="D17" s="313"/>
      <c r="E17" s="313"/>
    </row>
    <row r="18" spans="3:8" ht="15.75">
      <c r="C18" s="510" t="s">
        <v>14</v>
      </c>
      <c r="D18" s="511"/>
      <c r="E18" s="511"/>
    </row>
    <row r="19" spans="3:8" ht="15">
      <c r="C19" s="512" t="s">
        <v>15</v>
      </c>
      <c r="D19" s="513"/>
      <c r="E19" s="319" t="s">
        <v>16</v>
      </c>
    </row>
    <row r="20" spans="3:8" ht="15">
      <c r="C20" s="313"/>
      <c r="D20" s="313"/>
      <c r="E20" s="313"/>
    </row>
    <row r="21" spans="3:8" ht="15.6">
      <c r="C21" s="510" t="s">
        <v>17</v>
      </c>
      <c r="D21" s="511"/>
      <c r="E21" s="511"/>
    </row>
    <row r="22" spans="3:8" ht="15">
      <c r="C22" s="514" t="s">
        <v>18</v>
      </c>
      <c r="D22" s="515"/>
      <c r="E22" s="515"/>
    </row>
    <row r="23" spans="3:8">
      <c r="C23" s="334" t="s">
        <v>19</v>
      </c>
      <c r="D23" s="334" t="s">
        <v>20</v>
      </c>
      <c r="E23" s="334" t="s">
        <v>21</v>
      </c>
    </row>
    <row r="24" spans="3:8" ht="15">
      <c r="C24" s="102" t="s">
        <v>22</v>
      </c>
      <c r="D24" s="336" t="s">
        <v>23</v>
      </c>
      <c r="E24" s="345" t="s">
        <v>24</v>
      </c>
    </row>
    <row r="25" spans="3:8" ht="15">
      <c r="C25" s="102" t="s">
        <v>25</v>
      </c>
      <c r="D25" s="336" t="s">
        <v>23</v>
      </c>
      <c r="E25" s="345" t="s">
        <v>26</v>
      </c>
    </row>
    <row r="26" spans="3:8" ht="15">
      <c r="C26" s="154" t="s">
        <v>27</v>
      </c>
      <c r="D26" s="336" t="s">
        <v>23</v>
      </c>
      <c r="E26" s="344" t="s">
        <v>28</v>
      </c>
      <c r="G26" s="335"/>
      <c r="H26" s="335"/>
    </row>
    <row r="27" spans="3:8" ht="29.25">
      <c r="C27" s="154" t="s">
        <v>29</v>
      </c>
      <c r="D27" s="336" t="s">
        <v>23</v>
      </c>
      <c r="E27" s="345" t="s">
        <v>30</v>
      </c>
      <c r="G27" s="335"/>
      <c r="H27" s="335"/>
    </row>
    <row r="28" spans="3:8" ht="15">
      <c r="C28" s="154" t="s">
        <v>31</v>
      </c>
      <c r="D28" s="336" t="s">
        <v>23</v>
      </c>
      <c r="E28" s="344" t="s">
        <v>32</v>
      </c>
      <c r="G28" s="335"/>
      <c r="H28" s="335"/>
    </row>
    <row r="29" spans="3:8" ht="15">
      <c r="C29" s="154" t="s">
        <v>33</v>
      </c>
      <c r="D29" s="336" t="s">
        <v>23</v>
      </c>
      <c r="E29" s="345" t="s">
        <v>34</v>
      </c>
      <c r="G29" s="335"/>
      <c r="H29" s="335"/>
    </row>
    <row r="30" spans="3:8" ht="29.25">
      <c r="C30" s="154" t="s">
        <v>35</v>
      </c>
      <c r="D30" s="336" t="s">
        <v>23</v>
      </c>
      <c r="E30" s="344" t="s">
        <v>36</v>
      </c>
      <c r="G30" s="335"/>
      <c r="H30" s="335"/>
    </row>
    <row r="31" spans="3:8" ht="15">
      <c r="C31" s="154" t="s">
        <v>37</v>
      </c>
      <c r="D31" s="336" t="s">
        <v>23</v>
      </c>
      <c r="E31" s="345" t="s">
        <v>38</v>
      </c>
    </row>
    <row r="32" spans="3:8" ht="15">
      <c r="C32" s="154" t="s">
        <v>39</v>
      </c>
      <c r="D32" s="336" t="s">
        <v>23</v>
      </c>
      <c r="E32" s="344" t="s">
        <v>40</v>
      </c>
      <c r="G32" s="335"/>
      <c r="H32" s="335"/>
    </row>
    <row r="33" spans="3:8" ht="15">
      <c r="C33" s="154" t="s">
        <v>41</v>
      </c>
      <c r="D33" s="336" t="s">
        <v>23</v>
      </c>
      <c r="E33" s="345" t="s">
        <v>42</v>
      </c>
      <c r="G33" s="335"/>
      <c r="H33" s="335"/>
    </row>
    <row r="34" spans="3:8" ht="15">
      <c r="C34" s="154" t="s">
        <v>43</v>
      </c>
      <c r="D34" s="336" t="s">
        <v>23</v>
      </c>
      <c r="E34" s="344" t="s">
        <v>44</v>
      </c>
    </row>
    <row r="35" spans="3:8" ht="15">
      <c r="C35" s="154" t="s">
        <v>45</v>
      </c>
      <c r="D35" s="336" t="s">
        <v>23</v>
      </c>
      <c r="E35" s="345" t="s">
        <v>46</v>
      </c>
    </row>
    <row r="36" spans="3:8" ht="15">
      <c r="C36" s="154" t="s">
        <v>47</v>
      </c>
      <c r="D36" s="336" t="s">
        <v>23</v>
      </c>
      <c r="E36" s="346" t="s">
        <v>48</v>
      </c>
    </row>
    <row r="37" spans="3:8" ht="15">
      <c r="C37" s="154" t="s">
        <v>49</v>
      </c>
      <c r="D37" s="336" t="s">
        <v>23</v>
      </c>
      <c r="E37" s="345" t="s">
        <v>50</v>
      </c>
    </row>
    <row r="38" spans="3:8" ht="15">
      <c r="C38" s="154" t="s">
        <v>51</v>
      </c>
      <c r="D38" s="336" t="s">
        <v>23</v>
      </c>
      <c r="E38" s="344" t="s">
        <v>52</v>
      </c>
    </row>
    <row r="39" spans="3:8" ht="15">
      <c r="C39" s="154" t="s">
        <v>53</v>
      </c>
      <c r="D39" s="336" t="s">
        <v>23</v>
      </c>
      <c r="E39" s="345" t="s">
        <v>54</v>
      </c>
    </row>
    <row r="40" spans="3:8" ht="15">
      <c r="C40" s="154" t="s">
        <v>55</v>
      </c>
      <c r="D40" s="336" t="s">
        <v>23</v>
      </c>
      <c r="E40" s="344" t="s">
        <v>56</v>
      </c>
    </row>
    <row r="41" spans="3:8" ht="15">
      <c r="C41" s="154" t="s">
        <v>57</v>
      </c>
      <c r="D41" s="336" t="s">
        <v>23</v>
      </c>
      <c r="E41" s="345" t="s">
        <v>58</v>
      </c>
    </row>
    <row r="42" spans="3:8" ht="15">
      <c r="C42" s="154" t="s">
        <v>59</v>
      </c>
      <c r="D42" s="336" t="s">
        <v>23</v>
      </c>
      <c r="E42" s="344" t="s">
        <v>60</v>
      </c>
      <c r="F42"/>
    </row>
    <row r="43" spans="3:8" ht="15">
      <c r="C43" s="154" t="s">
        <v>61</v>
      </c>
      <c r="D43" s="336" t="s">
        <v>23</v>
      </c>
      <c r="E43" s="345" t="s">
        <v>62</v>
      </c>
      <c r="F43"/>
    </row>
    <row r="44" spans="3:8" ht="15">
      <c r="C44" s="154" t="s">
        <v>63</v>
      </c>
      <c r="D44" s="336" t="s">
        <v>23</v>
      </c>
      <c r="E44" s="344" t="s">
        <v>64</v>
      </c>
      <c r="F44"/>
    </row>
    <row r="45" spans="3:8" ht="15">
      <c r="C45" s="154" t="s">
        <v>65</v>
      </c>
      <c r="D45" s="336" t="s">
        <v>23</v>
      </c>
      <c r="E45" s="345" t="s">
        <v>66</v>
      </c>
      <c r="F45"/>
    </row>
    <row r="46" spans="3:8" ht="15">
      <c r="C46" s="154" t="s">
        <v>67</v>
      </c>
      <c r="D46" s="336" t="s">
        <v>23</v>
      </c>
      <c r="E46" s="344" t="s">
        <v>68</v>
      </c>
      <c r="F46"/>
    </row>
    <row r="47" spans="3:8" ht="15">
      <c r="C47" s="154" t="s">
        <v>69</v>
      </c>
      <c r="D47" s="336" t="s">
        <v>23</v>
      </c>
      <c r="E47" s="345" t="s">
        <v>70</v>
      </c>
      <c r="F47"/>
    </row>
    <row r="48" spans="3:8" ht="15">
      <c r="C48" s="154" t="s">
        <v>71</v>
      </c>
      <c r="D48" s="336" t="s">
        <v>23</v>
      </c>
      <c r="E48" s="344" t="s">
        <v>72</v>
      </c>
      <c r="F48"/>
    </row>
    <row r="49" spans="3:6" ht="15">
      <c r="C49" s="154" t="s">
        <v>73</v>
      </c>
      <c r="D49" s="336" t="s">
        <v>23</v>
      </c>
      <c r="E49" s="345" t="s">
        <v>74</v>
      </c>
      <c r="F49"/>
    </row>
    <row r="50" spans="3:6" ht="29.25">
      <c r="C50" s="154" t="s">
        <v>75</v>
      </c>
      <c r="D50" s="336" t="s">
        <v>23</v>
      </c>
      <c r="E50" s="344" t="s">
        <v>76</v>
      </c>
      <c r="F50"/>
    </row>
    <row r="51" spans="3:6" ht="29.25">
      <c r="C51" s="154" t="s">
        <v>77</v>
      </c>
      <c r="D51" s="336" t="s">
        <v>23</v>
      </c>
      <c r="E51" s="345" t="s">
        <v>78</v>
      </c>
      <c r="F51"/>
    </row>
    <row r="52" spans="3:6" ht="15">
      <c r="C52" s="154" t="s">
        <v>79</v>
      </c>
      <c r="D52" s="336" t="s">
        <v>23</v>
      </c>
      <c r="E52" s="344" t="s">
        <v>80</v>
      </c>
    </row>
    <row r="53" spans="3:6" ht="15">
      <c r="C53" s="154" t="s">
        <v>81</v>
      </c>
      <c r="D53" s="336" t="s">
        <v>23</v>
      </c>
      <c r="E53" s="345" t="s">
        <v>82</v>
      </c>
    </row>
    <row r="54" spans="3:6" ht="15">
      <c r="C54" s="154" t="s">
        <v>83</v>
      </c>
      <c r="D54" s="336" t="s">
        <v>23</v>
      </c>
      <c r="E54" s="344" t="s">
        <v>84</v>
      </c>
    </row>
    <row r="55" spans="3:6" ht="15">
      <c r="C55" s="154" t="s">
        <v>85</v>
      </c>
      <c r="D55" s="336" t="s">
        <v>23</v>
      </c>
      <c r="E55" s="345" t="s">
        <v>86</v>
      </c>
    </row>
    <row r="56" spans="3:6" ht="15">
      <c r="C56" s="102" t="s">
        <v>22</v>
      </c>
      <c r="D56" s="336" t="s">
        <v>23</v>
      </c>
      <c r="E56" s="345" t="s">
        <v>24</v>
      </c>
    </row>
    <row r="57" spans="3:6" ht="15">
      <c r="C57" s="102" t="s">
        <v>25</v>
      </c>
      <c r="D57" s="336" t="s">
        <v>23</v>
      </c>
      <c r="E57" s="345" t="s">
        <v>26</v>
      </c>
    </row>
  </sheetData>
  <mergeCells count="10">
    <mergeCell ref="C21:E21"/>
    <mergeCell ref="C22:E22"/>
    <mergeCell ref="C18:E18"/>
    <mergeCell ref="C19:D19"/>
    <mergeCell ref="C4:E4"/>
    <mergeCell ref="D5:E5"/>
    <mergeCell ref="D6:E6"/>
    <mergeCell ref="D7:E7"/>
    <mergeCell ref="D8:E8"/>
    <mergeCell ref="C10:E10"/>
  </mergeCells>
  <hyperlinks>
    <hyperlink ref="E19" r:id="rId1" xr:uid="{5F507637-866C-4746-852E-E04E287A5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zoomScale="70" zoomScaleNormal="70" workbookViewId="0">
      <selection activeCell="AD34" sqref="AD34"/>
    </sheetView>
  </sheetViews>
  <sheetFormatPr defaultRowHeight="13.15"/>
  <cols>
    <col min="1" max="1" width="1.85546875" customWidth="1"/>
    <col min="2" max="2" width="18.140625" customWidth="1"/>
    <col min="3" max="3" width="9.85546875" customWidth="1"/>
    <col min="12" max="12" width="7.28515625" customWidth="1"/>
    <col min="13" max="13" width="2.5703125" customWidth="1"/>
    <col min="14" max="14" width="1.85546875" customWidth="1"/>
    <col min="15" max="15" width="15.42578125" customWidth="1"/>
    <col min="16" max="16" width="10" customWidth="1"/>
    <col min="25" max="25" width="7.7109375" customWidth="1"/>
    <col min="29" max="29" width="13.85546875" customWidth="1"/>
  </cols>
  <sheetData>
    <row r="1" spans="1:39" ht="13.9" thickBot="1">
      <c r="A1" s="4"/>
      <c r="B1" s="4"/>
      <c r="C1" s="4"/>
      <c r="D1" s="4"/>
      <c r="E1" s="4"/>
      <c r="F1" s="4"/>
      <c r="G1" s="4"/>
      <c r="H1" s="4"/>
      <c r="I1" s="4"/>
      <c r="J1" s="4"/>
      <c r="K1" s="4"/>
      <c r="L1" s="4"/>
    </row>
    <row r="2" spans="1:39">
      <c r="A2" s="5"/>
      <c r="B2" s="5"/>
      <c r="C2" s="5"/>
      <c r="D2" s="5"/>
      <c r="E2" s="453" t="s">
        <v>87</v>
      </c>
      <c r="F2" s="453"/>
      <c r="G2" s="453"/>
      <c r="H2" s="453"/>
      <c r="I2" s="5"/>
      <c r="J2" s="5"/>
      <c r="K2" s="5"/>
      <c r="L2" s="5"/>
      <c r="M2" s="1"/>
      <c r="N2" s="42"/>
      <c r="O2" s="43"/>
      <c r="P2" s="43"/>
      <c r="Q2" s="43"/>
      <c r="R2" s="455" t="s">
        <v>88</v>
      </c>
      <c r="S2" s="455"/>
      <c r="T2" s="455"/>
      <c r="U2" s="455"/>
      <c r="V2" s="43"/>
      <c r="W2" s="43"/>
      <c r="X2" s="43"/>
      <c r="Y2" s="44"/>
      <c r="AB2" s="42"/>
      <c r="AC2" s="43"/>
      <c r="AD2" s="43"/>
      <c r="AE2" s="43"/>
      <c r="AF2" s="455" t="s">
        <v>89</v>
      </c>
      <c r="AG2" s="455"/>
      <c r="AH2" s="455"/>
      <c r="AI2" s="455"/>
      <c r="AJ2" s="43"/>
      <c r="AK2" s="43"/>
      <c r="AL2" s="43"/>
      <c r="AM2" s="44"/>
    </row>
    <row r="3" spans="1:39" ht="13.9" thickBot="1">
      <c r="A3" s="5"/>
      <c r="B3" s="6"/>
      <c r="C3" s="6"/>
      <c r="D3" s="5"/>
      <c r="E3" s="5"/>
      <c r="F3" s="5"/>
      <c r="G3" s="5"/>
      <c r="H3" s="5"/>
      <c r="I3" s="5"/>
      <c r="J3" s="5"/>
      <c r="K3" s="5"/>
      <c r="L3" s="5"/>
      <c r="M3" s="1"/>
      <c r="N3" s="40"/>
      <c r="O3" s="39"/>
      <c r="P3" s="39"/>
      <c r="Q3" s="38"/>
      <c r="R3" s="38"/>
      <c r="S3" s="38"/>
      <c r="T3" s="38"/>
      <c r="U3" s="38"/>
      <c r="V3" s="38"/>
      <c r="W3" s="38"/>
      <c r="X3" s="38"/>
      <c r="Y3" s="45"/>
      <c r="AB3" s="40"/>
      <c r="AC3" s="39"/>
      <c r="AD3" s="39"/>
      <c r="AE3" s="38"/>
      <c r="AF3" s="38"/>
      <c r="AG3" s="38"/>
      <c r="AH3" s="38"/>
      <c r="AI3" s="38"/>
      <c r="AJ3" s="38"/>
      <c r="AK3" s="38"/>
      <c r="AL3" s="38"/>
      <c r="AM3" s="45"/>
    </row>
    <row r="4" spans="1:39" ht="18" customHeight="1">
      <c r="A4" s="7"/>
      <c r="B4" s="9" t="s">
        <v>90</v>
      </c>
      <c r="C4" s="10"/>
      <c r="D4" s="5"/>
      <c r="E4" s="5"/>
      <c r="F4" s="5"/>
      <c r="G4" s="5"/>
      <c r="H4" s="5"/>
      <c r="I4" s="5"/>
      <c r="J4" s="5"/>
      <c r="K4" s="5"/>
      <c r="L4" s="5"/>
      <c r="M4" s="1"/>
      <c r="N4" s="40"/>
      <c r="O4" s="14" t="s">
        <v>90</v>
      </c>
      <c r="P4" s="16"/>
      <c r="Q4" s="38"/>
      <c r="R4" s="38"/>
      <c r="S4" s="38"/>
      <c r="T4" s="38"/>
      <c r="U4" s="38"/>
      <c r="V4" s="38"/>
      <c r="W4" s="38"/>
      <c r="X4" s="38"/>
      <c r="Y4" s="45"/>
      <c r="AB4" s="40"/>
      <c r="AC4" s="14" t="s">
        <v>90</v>
      </c>
      <c r="AD4" s="16"/>
      <c r="AE4" s="38"/>
      <c r="AF4" s="38"/>
      <c r="AG4" s="38"/>
      <c r="AH4" s="38"/>
      <c r="AI4" s="38"/>
      <c r="AJ4" s="38"/>
      <c r="AK4" s="38"/>
      <c r="AL4" s="38"/>
      <c r="AM4" s="45"/>
    </row>
    <row r="5" spans="1:39" ht="18" customHeight="1">
      <c r="A5" s="7"/>
      <c r="B5" s="11" t="s">
        <v>91</v>
      </c>
      <c r="C5" s="56">
        <f>SUM('Install Success Opt1-4'!F2:F69)</f>
        <v>0</v>
      </c>
      <c r="D5" s="5"/>
      <c r="E5" s="5"/>
      <c r="F5" s="5"/>
      <c r="G5" s="5"/>
      <c r="H5" s="5"/>
      <c r="I5" s="5"/>
      <c r="J5" s="5"/>
      <c r="K5" s="5"/>
      <c r="L5" s="5"/>
      <c r="M5" s="1"/>
      <c r="N5" s="40"/>
      <c r="O5" s="11" t="s">
        <v>91</v>
      </c>
      <c r="P5" s="56">
        <f>SUM('Alert Regression'!F2:F38)</f>
        <v>0</v>
      </c>
      <c r="Q5" s="38"/>
      <c r="R5" s="38"/>
      <c r="S5" s="38"/>
      <c r="T5" s="38"/>
      <c r="U5" s="38"/>
      <c r="V5" s="38"/>
      <c r="W5" s="38"/>
      <c r="X5" s="38"/>
      <c r="Y5" s="45"/>
      <c r="AB5" s="40"/>
      <c r="AC5" s="11" t="s">
        <v>91</v>
      </c>
      <c r="AD5" s="56">
        <f>SUM(OVERALL!F2:F82)</f>
        <v>0</v>
      </c>
      <c r="AE5" s="38"/>
      <c r="AF5" s="38"/>
      <c r="AG5" s="38"/>
      <c r="AH5" s="38"/>
      <c r="AI5" s="38"/>
      <c r="AJ5" s="38"/>
      <c r="AK5" s="38"/>
      <c r="AL5" s="38"/>
      <c r="AM5" s="45"/>
    </row>
    <row r="6" spans="1:39" ht="18" customHeight="1">
      <c r="A6" s="7"/>
      <c r="B6" s="11" t="s">
        <v>92</v>
      </c>
      <c r="C6" s="10">
        <f>C7-C5</f>
        <v>489</v>
      </c>
      <c r="D6" s="5"/>
      <c r="E6" s="5"/>
      <c r="F6" s="5"/>
      <c r="G6" s="5"/>
      <c r="H6" s="5"/>
      <c r="I6" s="5"/>
      <c r="J6" s="5"/>
      <c r="K6" s="5"/>
      <c r="L6" s="5"/>
      <c r="M6" s="1"/>
      <c r="N6" s="40"/>
      <c r="O6" s="11" t="s">
        <v>92</v>
      </c>
      <c r="P6" s="10">
        <f>SUM(P7-P5)</f>
        <v>156</v>
      </c>
      <c r="Q6" s="38"/>
      <c r="R6" s="38"/>
      <c r="S6" s="38"/>
      <c r="T6" s="38"/>
      <c r="U6" s="38"/>
      <c r="V6" s="38"/>
      <c r="W6" s="38"/>
      <c r="X6" s="38"/>
      <c r="Y6" s="45"/>
      <c r="AB6" s="40"/>
      <c r="AC6" s="11" t="s">
        <v>92</v>
      </c>
      <c r="AD6" s="10">
        <f>SUM(AD7-AD5)</f>
        <v>0</v>
      </c>
      <c r="AE6" s="38"/>
      <c r="AF6" s="38"/>
      <c r="AG6" s="38"/>
      <c r="AH6" s="38"/>
      <c r="AI6" s="38"/>
      <c r="AJ6" s="38"/>
      <c r="AK6" s="38"/>
      <c r="AL6" s="38"/>
      <c r="AM6" s="45"/>
    </row>
    <row r="7" spans="1:39" ht="18" customHeight="1">
      <c r="A7" s="7"/>
      <c r="B7" s="11" t="s">
        <v>93</v>
      </c>
      <c r="C7" s="10">
        <f>SUM('Install Success Opt1-4'!E2:E69)</f>
        <v>489</v>
      </c>
      <c r="D7" s="5"/>
      <c r="E7" s="5"/>
      <c r="F7" s="5"/>
      <c r="G7" s="5"/>
      <c r="H7" s="5"/>
      <c r="I7" s="5"/>
      <c r="J7" s="5"/>
      <c r="K7" s="5"/>
      <c r="L7" s="5"/>
      <c r="M7" s="1"/>
      <c r="N7" s="40"/>
      <c r="O7" s="11" t="s">
        <v>93</v>
      </c>
      <c r="P7" s="10">
        <f>SUM('Alert Regression'!E2:E38)</f>
        <v>156</v>
      </c>
      <c r="Q7" s="38"/>
      <c r="R7" s="38"/>
      <c r="S7" s="38"/>
      <c r="T7" s="38"/>
      <c r="U7" s="38"/>
      <c r="V7" s="38"/>
      <c r="W7" s="38"/>
      <c r="X7" s="38"/>
      <c r="Y7" s="45"/>
      <c r="AB7" s="40"/>
      <c r="AC7" s="11" t="s">
        <v>93</v>
      </c>
      <c r="AD7" s="10">
        <f>SUM(OVERALL!E2:E82)</f>
        <v>0</v>
      </c>
      <c r="AE7" s="38"/>
      <c r="AF7" s="38"/>
      <c r="AG7" s="38"/>
      <c r="AH7" s="38"/>
      <c r="AI7" s="38"/>
      <c r="AJ7" s="38"/>
      <c r="AK7" s="38"/>
      <c r="AL7" s="38"/>
      <c r="AM7" s="45"/>
    </row>
    <row r="8" spans="1:39" ht="18" customHeight="1">
      <c r="A8" s="7"/>
      <c r="B8" s="11"/>
      <c r="C8" s="10"/>
      <c r="D8" s="5"/>
      <c r="E8" s="5"/>
      <c r="F8" s="5"/>
      <c r="G8" s="5"/>
      <c r="H8" s="5"/>
      <c r="I8" s="5"/>
      <c r="J8" s="5"/>
      <c r="K8" s="5"/>
      <c r="L8" s="5"/>
      <c r="M8" s="1"/>
      <c r="N8" s="40"/>
      <c r="O8" s="11"/>
      <c r="P8" s="10"/>
      <c r="Q8" s="38"/>
      <c r="R8" s="38"/>
      <c r="S8" s="38"/>
      <c r="T8" s="38"/>
      <c r="U8" s="38"/>
      <c r="V8" s="38"/>
      <c r="W8" s="38"/>
      <c r="X8" s="38"/>
      <c r="Y8" s="45"/>
      <c r="AB8" s="40"/>
      <c r="AC8" s="11"/>
      <c r="AD8" s="10"/>
      <c r="AE8" s="38"/>
      <c r="AF8" s="38"/>
      <c r="AG8" s="38"/>
      <c r="AH8" s="38"/>
      <c r="AI8" s="38"/>
      <c r="AJ8" s="38"/>
      <c r="AK8" s="38"/>
      <c r="AL8" s="38"/>
      <c r="AM8" s="45"/>
    </row>
    <row r="9" spans="1:39" ht="18" customHeight="1" thickBot="1">
      <c r="A9" s="7"/>
      <c r="B9" s="12" t="s">
        <v>94</v>
      </c>
      <c r="C9" s="13">
        <f>C5/C7</f>
        <v>0</v>
      </c>
      <c r="D9" s="5"/>
      <c r="E9" s="5"/>
      <c r="F9" s="5"/>
      <c r="G9" s="5"/>
      <c r="H9" s="5"/>
      <c r="I9" s="5"/>
      <c r="J9" s="5"/>
      <c r="K9" s="5"/>
      <c r="L9" s="5"/>
      <c r="M9" s="1"/>
      <c r="N9" s="40"/>
      <c r="O9" s="12" t="s">
        <v>94</v>
      </c>
      <c r="P9" s="13">
        <f>P5/P7</f>
        <v>0</v>
      </c>
      <c r="Q9" s="38"/>
      <c r="R9" s="38"/>
      <c r="S9" s="38"/>
      <c r="T9" s="38"/>
      <c r="U9" s="38"/>
      <c r="V9" s="38"/>
      <c r="W9" s="38"/>
      <c r="X9" s="38"/>
      <c r="Y9" s="45"/>
      <c r="AB9" s="40"/>
      <c r="AC9" s="12" t="s">
        <v>94</v>
      </c>
      <c r="AD9" s="13" t="e">
        <f>AD5/AD7</f>
        <v>#DIV/0!</v>
      </c>
      <c r="AE9" s="38"/>
      <c r="AF9" s="38"/>
      <c r="AG9" s="38"/>
      <c r="AH9" s="38"/>
      <c r="AI9" s="38"/>
      <c r="AJ9" s="38"/>
      <c r="AK9" s="38"/>
      <c r="AL9" s="38"/>
      <c r="AM9" s="45"/>
    </row>
    <row r="10" spans="1:39" ht="18" customHeight="1" thickBot="1">
      <c r="A10" s="7"/>
      <c r="B10" s="5"/>
      <c r="C10" s="5"/>
      <c r="D10" s="5"/>
      <c r="E10" s="5"/>
      <c r="F10" s="5"/>
      <c r="G10" s="5"/>
      <c r="H10" s="5"/>
      <c r="I10" s="5"/>
      <c r="J10" s="5"/>
      <c r="K10" s="5"/>
      <c r="L10" s="5"/>
      <c r="M10" s="1"/>
      <c r="N10" s="40"/>
      <c r="O10" s="38"/>
      <c r="P10" s="38"/>
      <c r="Q10" s="38"/>
      <c r="R10" s="38"/>
      <c r="S10" s="38"/>
      <c r="T10" s="38"/>
      <c r="U10" s="38"/>
      <c r="V10" s="38"/>
      <c r="W10" s="38"/>
      <c r="X10" s="38"/>
      <c r="Y10" s="45"/>
      <c r="AB10" s="40"/>
      <c r="AC10" s="38"/>
      <c r="AD10" s="38"/>
      <c r="AE10" s="38"/>
      <c r="AF10" s="38"/>
      <c r="AG10" s="38"/>
      <c r="AH10" s="38"/>
      <c r="AI10" s="38"/>
      <c r="AJ10" s="38"/>
      <c r="AK10" s="38"/>
      <c r="AL10" s="38"/>
      <c r="AM10" s="45"/>
    </row>
    <row r="11" spans="1:39" ht="18" customHeight="1">
      <c r="A11" s="7"/>
      <c r="B11" s="14" t="s">
        <v>95</v>
      </c>
      <c r="C11" s="15"/>
      <c r="D11" s="16"/>
      <c r="E11" s="5"/>
      <c r="F11" s="5"/>
      <c r="G11" s="5"/>
      <c r="H11" s="5"/>
      <c r="I11" s="5"/>
      <c r="J11" s="5"/>
      <c r="K11" s="5"/>
      <c r="L11" s="5"/>
      <c r="M11" s="1"/>
      <c r="N11" s="40"/>
      <c r="O11" s="14" t="s">
        <v>95</v>
      </c>
      <c r="P11" s="15"/>
      <c r="Q11" s="16"/>
      <c r="R11" s="38"/>
      <c r="S11" s="38"/>
      <c r="T11" s="38"/>
      <c r="U11" s="38"/>
      <c r="V11" s="38"/>
      <c r="W11" s="38"/>
      <c r="X11" s="38"/>
      <c r="Y11" s="45"/>
      <c r="AB11" s="40"/>
      <c r="AC11" s="14" t="s">
        <v>95</v>
      </c>
      <c r="AD11" s="15"/>
      <c r="AE11" s="16"/>
      <c r="AF11" s="38"/>
      <c r="AG11" s="38"/>
      <c r="AH11" s="38"/>
      <c r="AI11" s="38"/>
      <c r="AJ11" s="38"/>
      <c r="AK11" s="38"/>
      <c r="AL11" s="38"/>
      <c r="AM11" s="45"/>
    </row>
    <row r="12" spans="1:39" ht="18" customHeight="1">
      <c r="A12" s="7"/>
      <c r="B12" s="11" t="s">
        <v>96</v>
      </c>
      <c r="C12" s="17">
        <f>COUNTIF('Install Success Opt1-4'!$G$2:$G$178,Summary!B12)</f>
        <v>0</v>
      </c>
      <c r="D12" s="18">
        <f>C12/$C$19</f>
        <v>0</v>
      </c>
      <c r="E12" s="5"/>
      <c r="F12" s="5"/>
      <c r="G12" s="5"/>
      <c r="H12" s="5"/>
      <c r="I12" s="5"/>
      <c r="J12" s="5"/>
      <c r="K12" s="5"/>
      <c r="L12" s="5"/>
      <c r="M12" s="1"/>
      <c r="N12" s="40"/>
      <c r="O12" s="11" t="s">
        <v>96</v>
      </c>
      <c r="P12" s="17">
        <f>COUNTIF('Alert Regression'!$G$2:$G$145,Summary!O12)</f>
        <v>0</v>
      </c>
      <c r="Q12" s="18">
        <f t="shared" ref="Q12:Q18" si="0">P12/$P$19</f>
        <v>0</v>
      </c>
      <c r="R12" s="38"/>
      <c r="S12" s="38"/>
      <c r="T12" s="38"/>
      <c r="U12" s="38"/>
      <c r="V12" s="38"/>
      <c r="W12" s="38"/>
      <c r="X12" s="38"/>
      <c r="Y12" s="45"/>
      <c r="AB12" s="40"/>
      <c r="AC12" s="11" t="s">
        <v>96</v>
      </c>
      <c r="AD12" s="17">
        <f>COUNTIF(OVERALL!$G$2:$G$150,Summary!AC12)</f>
        <v>0</v>
      </c>
      <c r="AE12" s="18" t="e">
        <f t="shared" ref="AE12:AE18" si="1">AD12/$AD$19</f>
        <v>#DIV/0!</v>
      </c>
      <c r="AF12" s="38"/>
      <c r="AG12" s="38"/>
      <c r="AH12" s="38"/>
      <c r="AI12" s="38"/>
      <c r="AJ12" s="38"/>
      <c r="AK12" s="38"/>
      <c r="AL12" s="38"/>
      <c r="AM12" s="45"/>
    </row>
    <row r="13" spans="1:39" ht="18" customHeight="1">
      <c r="A13" s="7"/>
      <c r="B13" s="54" t="s">
        <v>97</v>
      </c>
      <c r="C13" s="17">
        <f>COUNTIF('Install Success Opt1-4'!$G$2:$G$178,Summary!B13)</f>
        <v>0</v>
      </c>
      <c r="D13" s="18">
        <f t="shared" ref="D13:D18" si="2">C13/$C$19</f>
        <v>0</v>
      </c>
      <c r="E13" s="5"/>
      <c r="F13" s="5"/>
      <c r="G13" s="5"/>
      <c r="H13" s="5"/>
      <c r="I13" s="5"/>
      <c r="J13" s="5"/>
      <c r="K13" s="5"/>
      <c r="L13" s="5"/>
      <c r="M13" s="1"/>
      <c r="N13" s="40"/>
      <c r="O13" s="11" t="s">
        <v>97</v>
      </c>
      <c r="P13" s="17">
        <f>COUNTIF('Alert Regression'!$G$2:$G$145,Summary!O13)</f>
        <v>0</v>
      </c>
      <c r="Q13" s="18">
        <f t="shared" si="0"/>
        <v>0</v>
      </c>
      <c r="R13" s="38"/>
      <c r="S13" s="38"/>
      <c r="T13" s="38"/>
      <c r="U13" s="38"/>
      <c r="V13" s="38"/>
      <c r="W13" s="38"/>
      <c r="X13" s="38"/>
      <c r="Y13" s="45"/>
      <c r="AB13" s="40"/>
      <c r="AC13" s="11" t="s">
        <v>97</v>
      </c>
      <c r="AD13" s="17">
        <f>COUNTIF(OVERALL!$G$2:$G$150,Summary!AC13)</f>
        <v>0</v>
      </c>
      <c r="AE13" s="18" t="e">
        <f t="shared" si="1"/>
        <v>#DIV/0!</v>
      </c>
      <c r="AF13" s="38"/>
      <c r="AG13" s="38"/>
      <c r="AH13" s="38"/>
      <c r="AI13" s="38"/>
      <c r="AJ13" s="38"/>
      <c r="AK13" s="38"/>
      <c r="AL13" s="38"/>
      <c r="AM13" s="45"/>
    </row>
    <row r="14" spans="1:39" ht="18" customHeight="1">
      <c r="A14" s="7"/>
      <c r="B14" s="11" t="s">
        <v>98</v>
      </c>
      <c r="C14" s="17">
        <f>COUNTIF('Install Success Opt1-4'!$G$2:$G$178,Summary!B14)</f>
        <v>0</v>
      </c>
      <c r="D14" s="18">
        <f t="shared" si="2"/>
        <v>0</v>
      </c>
      <c r="E14" s="5"/>
      <c r="F14" s="5"/>
      <c r="G14" s="5"/>
      <c r="H14" s="5"/>
      <c r="I14" s="5"/>
      <c r="J14" s="5"/>
      <c r="K14" s="5"/>
      <c r="L14" s="5"/>
      <c r="M14" s="1"/>
      <c r="N14" s="40"/>
      <c r="O14" s="11" t="s">
        <v>98</v>
      </c>
      <c r="P14" s="17">
        <f>COUNTIF('Alert Regression'!$G$2:$G$145,Summary!O14)</f>
        <v>0</v>
      </c>
      <c r="Q14" s="18">
        <f t="shared" si="0"/>
        <v>0</v>
      </c>
      <c r="R14" s="38"/>
      <c r="S14" s="38"/>
      <c r="T14" s="38"/>
      <c r="U14" s="38"/>
      <c r="V14" s="38"/>
      <c r="W14" s="38"/>
      <c r="X14" s="38"/>
      <c r="Y14" s="45"/>
      <c r="AB14" s="40"/>
      <c r="AC14" s="11" t="s">
        <v>98</v>
      </c>
      <c r="AD14" s="17">
        <f>COUNTIF(OVERALL!$G$2:$G$150,Summary!AC14)</f>
        <v>0</v>
      </c>
      <c r="AE14" s="18" t="e">
        <f t="shared" si="1"/>
        <v>#DIV/0!</v>
      </c>
      <c r="AF14" s="38"/>
      <c r="AG14" s="38"/>
      <c r="AH14" s="38"/>
      <c r="AI14" s="38"/>
      <c r="AJ14" s="38"/>
      <c r="AK14" s="38"/>
      <c r="AL14" s="38"/>
      <c r="AM14" s="45"/>
    </row>
    <row r="15" spans="1:39" ht="18" customHeight="1">
      <c r="A15" s="7"/>
      <c r="B15" s="11" t="s">
        <v>99</v>
      </c>
      <c r="C15" s="17">
        <f>COUNTIF('Install Success Opt1-4'!$G$2:$G$178,Summary!B15)</f>
        <v>0</v>
      </c>
      <c r="D15" s="18">
        <f t="shared" si="2"/>
        <v>0</v>
      </c>
      <c r="E15" s="5"/>
      <c r="F15" s="5"/>
      <c r="G15" s="5"/>
      <c r="H15" s="5"/>
      <c r="I15" s="5"/>
      <c r="J15" s="5"/>
      <c r="K15" s="5"/>
      <c r="L15" s="5"/>
      <c r="M15" s="1"/>
      <c r="N15" s="40"/>
      <c r="O15" s="11" t="s">
        <v>99</v>
      </c>
      <c r="P15" s="17">
        <f>COUNTIF('Alert Regression'!$G$2:$G$145,Summary!O15)</f>
        <v>0</v>
      </c>
      <c r="Q15" s="18">
        <f t="shared" si="0"/>
        <v>0</v>
      </c>
      <c r="R15" s="38"/>
      <c r="S15" s="38"/>
      <c r="T15" s="38"/>
      <c r="U15" s="38"/>
      <c r="V15" s="38"/>
      <c r="W15" s="38"/>
      <c r="X15" s="38"/>
      <c r="Y15" s="45"/>
      <c r="AB15" s="40"/>
      <c r="AC15" s="11" t="s">
        <v>99</v>
      </c>
      <c r="AD15" s="17">
        <f>COUNTIF(OVERALL!$G$2:$G$150,Summary!AC15)</f>
        <v>0</v>
      </c>
      <c r="AE15" s="18" t="e">
        <f t="shared" si="1"/>
        <v>#DIV/0!</v>
      </c>
      <c r="AF15" s="38"/>
      <c r="AG15" s="38"/>
      <c r="AH15" s="38"/>
      <c r="AI15" s="38"/>
      <c r="AJ15" s="38"/>
      <c r="AK15" s="38"/>
      <c r="AL15" s="38"/>
      <c r="AM15" s="45"/>
    </row>
    <row r="16" spans="1:39" ht="18" customHeight="1">
      <c r="A16" s="7"/>
      <c r="B16" s="11" t="s">
        <v>100</v>
      </c>
      <c r="C16" s="17">
        <f>COUNTIF('Install Success Opt1-4'!$G$2:$G$178,Summary!B16)</f>
        <v>0</v>
      </c>
      <c r="D16" s="18">
        <f t="shared" si="2"/>
        <v>0</v>
      </c>
      <c r="E16" s="5"/>
      <c r="F16" s="5"/>
      <c r="G16" s="5"/>
      <c r="H16" s="5"/>
      <c r="I16" s="5"/>
      <c r="J16" s="5"/>
      <c r="K16" s="5"/>
      <c r="L16" s="5"/>
      <c r="M16" s="1"/>
      <c r="N16" s="40"/>
      <c r="O16" s="11" t="s">
        <v>100</v>
      </c>
      <c r="P16" s="17">
        <f>COUNTIF('Alert Regression'!$G$2:$G$145,Summary!O16)</f>
        <v>0</v>
      </c>
      <c r="Q16" s="18">
        <f t="shared" si="0"/>
        <v>0</v>
      </c>
      <c r="R16" s="38"/>
      <c r="S16" s="38"/>
      <c r="T16" s="38"/>
      <c r="U16" s="38"/>
      <c r="V16" s="38"/>
      <c r="W16" s="38"/>
      <c r="X16" s="38"/>
      <c r="Y16" s="45"/>
      <c r="AB16" s="40"/>
      <c r="AC16" s="11" t="s">
        <v>100</v>
      </c>
      <c r="AD16" s="17">
        <f>COUNTIF(OVERALL!$G$2:$G$150,Summary!AC16)</f>
        <v>0</v>
      </c>
      <c r="AE16" s="18" t="e">
        <f t="shared" si="1"/>
        <v>#DIV/0!</v>
      </c>
      <c r="AF16" s="38"/>
      <c r="AG16" s="38"/>
      <c r="AH16" s="38"/>
      <c r="AI16" s="38"/>
      <c r="AJ16" s="38"/>
      <c r="AK16" s="38"/>
      <c r="AL16" s="38"/>
      <c r="AM16" s="45"/>
    </row>
    <row r="17" spans="1:39" ht="18" customHeight="1">
      <c r="A17" s="7"/>
      <c r="B17" s="11" t="s">
        <v>101</v>
      </c>
      <c r="C17" s="17">
        <f>COUNTIF('Install Success Opt1-4'!$G$2:$G$178,Summary!B17)</f>
        <v>0</v>
      </c>
      <c r="D17" s="18">
        <f t="shared" si="2"/>
        <v>0</v>
      </c>
      <c r="E17" s="5"/>
      <c r="F17" s="5"/>
      <c r="G17" s="5"/>
      <c r="H17" s="5"/>
      <c r="I17" s="5"/>
      <c r="J17" s="5"/>
      <c r="K17" s="5"/>
      <c r="L17" s="5"/>
      <c r="M17" s="1"/>
      <c r="N17" s="40"/>
      <c r="O17" s="11" t="s">
        <v>101</v>
      </c>
      <c r="P17" s="17">
        <f>COUNTIF('Alert Regression'!$G$2:$G$145,Summary!O17)</f>
        <v>0</v>
      </c>
      <c r="Q17" s="18">
        <f t="shared" si="0"/>
        <v>0</v>
      </c>
      <c r="R17" s="38"/>
      <c r="S17" s="38"/>
      <c r="T17" s="38"/>
      <c r="U17" s="38"/>
      <c r="V17" s="38"/>
      <c r="W17" s="38"/>
      <c r="X17" s="38"/>
      <c r="Y17" s="45"/>
      <c r="AB17" s="40"/>
      <c r="AC17" s="11" t="s">
        <v>101</v>
      </c>
      <c r="AD17" s="17">
        <f>COUNTIF(OVERALL!$G$2:$G$150,Summary!AC17)</f>
        <v>0</v>
      </c>
      <c r="AE17" s="18" t="e">
        <f t="shared" si="1"/>
        <v>#DIV/0!</v>
      </c>
      <c r="AF17" s="38"/>
      <c r="AG17" s="38"/>
      <c r="AH17" s="38"/>
      <c r="AI17" s="38"/>
      <c r="AJ17" s="38"/>
      <c r="AK17" s="38"/>
      <c r="AL17" s="38"/>
      <c r="AM17" s="45"/>
    </row>
    <row r="18" spans="1:39" ht="18" customHeight="1" thickBot="1">
      <c r="A18" s="7"/>
      <c r="B18" s="12" t="s">
        <v>102</v>
      </c>
      <c r="C18" s="17">
        <f>COUNTIF('Install Success Opt1-4'!$G$2:$G$178,Summary!B18)</f>
        <v>163</v>
      </c>
      <c r="D18" s="13">
        <f t="shared" si="2"/>
        <v>1</v>
      </c>
      <c r="E18" s="5"/>
      <c r="F18" s="5"/>
      <c r="G18" s="5"/>
      <c r="H18" s="5"/>
      <c r="I18" s="5"/>
      <c r="J18" s="5"/>
      <c r="K18" s="5"/>
      <c r="L18" s="5"/>
      <c r="M18" s="1"/>
      <c r="N18" s="40"/>
      <c r="O18" s="12" t="s">
        <v>102</v>
      </c>
      <c r="P18" s="17">
        <f>COUNTIF('Alert Regression'!$G$2:$G$145,Summary!O18)</f>
        <v>35</v>
      </c>
      <c r="Q18" s="13">
        <f t="shared" si="0"/>
        <v>1</v>
      </c>
      <c r="R18" s="38"/>
      <c r="S18" s="38"/>
      <c r="T18" s="38"/>
      <c r="U18" s="38"/>
      <c r="V18" s="38"/>
      <c r="W18" s="38"/>
      <c r="X18" s="38"/>
      <c r="Y18" s="45"/>
      <c r="AB18" s="40"/>
      <c r="AC18" s="12" t="s">
        <v>102</v>
      </c>
      <c r="AD18" s="17">
        <f>COUNTIF(OVERALL!$G$2:$G$150,Summary!AC18)</f>
        <v>0</v>
      </c>
      <c r="AE18" s="18" t="e">
        <f t="shared" si="1"/>
        <v>#DIV/0!</v>
      </c>
      <c r="AF18" s="38"/>
      <c r="AG18" s="38"/>
      <c r="AH18" s="38"/>
      <c r="AI18" s="38"/>
      <c r="AJ18" s="38"/>
      <c r="AK18" s="38"/>
      <c r="AL18" s="38"/>
      <c r="AM18" s="45"/>
    </row>
    <row r="19" spans="1:39" ht="13.9" thickBot="1">
      <c r="A19" s="7"/>
      <c r="B19" s="19" t="s">
        <v>103</v>
      </c>
      <c r="C19" s="20">
        <f>SUM(C12:C18)</f>
        <v>163</v>
      </c>
      <c r="D19" s="21"/>
      <c r="E19" s="5"/>
      <c r="F19" s="5"/>
      <c r="G19" s="5"/>
      <c r="H19" s="5"/>
      <c r="I19" s="5"/>
      <c r="J19" s="5"/>
      <c r="K19" s="5"/>
      <c r="L19" s="5"/>
      <c r="M19" s="1"/>
      <c r="N19" s="40"/>
      <c r="O19" s="19" t="s">
        <v>103</v>
      </c>
      <c r="P19" s="20">
        <f>SUM(P12:P18)</f>
        <v>35</v>
      </c>
      <c r="Q19" s="21"/>
      <c r="R19" s="38"/>
      <c r="S19" s="38"/>
      <c r="T19" s="38"/>
      <c r="U19" s="38"/>
      <c r="V19" s="38"/>
      <c r="W19" s="38"/>
      <c r="X19" s="38"/>
      <c r="Y19" s="45"/>
      <c r="AB19" s="40"/>
      <c r="AC19" s="19" t="s">
        <v>103</v>
      </c>
      <c r="AD19" s="20">
        <f>SUM(AD12:AD18)</f>
        <v>0</v>
      </c>
      <c r="AE19" s="21"/>
      <c r="AF19" s="38"/>
      <c r="AG19" s="38"/>
      <c r="AH19" s="38"/>
      <c r="AI19" s="38"/>
      <c r="AJ19" s="38"/>
      <c r="AK19" s="38"/>
      <c r="AL19" s="38"/>
      <c r="AM19" s="45"/>
    </row>
    <row r="20" spans="1:39" ht="13.9" thickBot="1">
      <c r="A20" s="8"/>
      <c r="B20" s="6"/>
      <c r="C20" s="6"/>
      <c r="D20" s="6"/>
      <c r="E20" s="6"/>
      <c r="F20" s="6"/>
      <c r="G20" s="6"/>
      <c r="H20" s="6"/>
      <c r="I20" s="6"/>
      <c r="J20" s="6"/>
      <c r="K20" s="6"/>
      <c r="L20" s="6"/>
      <c r="M20" s="1"/>
      <c r="N20" s="41"/>
      <c r="O20" s="39"/>
      <c r="P20" s="39"/>
      <c r="Q20" s="39"/>
      <c r="R20" s="39"/>
      <c r="S20" s="39"/>
      <c r="T20" s="39"/>
      <c r="U20" s="39"/>
      <c r="V20" s="39"/>
      <c r="W20" s="39"/>
      <c r="X20" s="39"/>
      <c r="Y20" s="46"/>
      <c r="AB20" s="41"/>
      <c r="AC20" s="39"/>
      <c r="AD20" s="39"/>
      <c r="AE20" s="39"/>
      <c r="AF20" s="39"/>
      <c r="AG20" s="39"/>
      <c r="AH20" s="39"/>
      <c r="AI20" s="39"/>
      <c r="AJ20" s="39"/>
      <c r="AK20" s="39"/>
      <c r="AL20" s="39"/>
      <c r="AM20" s="46"/>
    </row>
    <row r="21" spans="1:39">
      <c r="A21" s="3"/>
      <c r="B21" s="3"/>
      <c r="C21" s="3"/>
      <c r="D21" s="3"/>
      <c r="E21" s="3"/>
      <c r="F21" s="3"/>
      <c r="G21" s="3"/>
      <c r="H21" s="3"/>
      <c r="I21" s="3"/>
      <c r="J21" s="3"/>
      <c r="K21" s="3"/>
      <c r="L21" s="3"/>
    </row>
    <row r="22" spans="1:39" ht="13.9" thickBot="1">
      <c r="A22" s="4"/>
      <c r="B22" s="4"/>
      <c r="C22" s="4"/>
      <c r="D22" s="4"/>
      <c r="E22" s="4"/>
      <c r="F22" s="4"/>
      <c r="G22" s="4"/>
      <c r="H22" s="4"/>
      <c r="I22" s="4"/>
      <c r="J22" s="4"/>
      <c r="K22" s="4"/>
      <c r="L22" s="4"/>
    </row>
    <row r="23" spans="1:39">
      <c r="A23" s="22"/>
      <c r="B23" s="22"/>
      <c r="C23" s="22"/>
      <c r="D23" s="22"/>
      <c r="E23" s="454" t="s">
        <v>104</v>
      </c>
      <c r="F23" s="454"/>
      <c r="G23" s="454"/>
      <c r="H23" s="454"/>
      <c r="I23" s="22"/>
      <c r="J23" s="22"/>
      <c r="K23" s="22"/>
      <c r="L23" s="22"/>
      <c r="M23" s="1"/>
      <c r="N23" s="26"/>
      <c r="O23" s="27"/>
      <c r="P23" s="27"/>
      <c r="Q23" s="456" t="s">
        <v>105</v>
      </c>
      <c r="R23" s="516"/>
      <c r="S23" s="516"/>
      <c r="T23" s="516"/>
      <c r="U23" s="516"/>
      <c r="V23" s="516"/>
      <c r="W23" s="27"/>
      <c r="X23" s="27"/>
      <c r="Y23" s="28"/>
    </row>
    <row r="24" spans="1:39" ht="13.9" thickBot="1">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c r="A25" s="24"/>
      <c r="B25" s="9" t="s">
        <v>90</v>
      </c>
      <c r="C25" s="10"/>
      <c r="D25" s="22"/>
      <c r="E25" s="22"/>
      <c r="F25" s="22"/>
      <c r="G25" s="22"/>
      <c r="H25" s="22"/>
      <c r="I25" s="22"/>
      <c r="J25" s="22"/>
      <c r="K25" s="22"/>
      <c r="L25" s="22"/>
      <c r="M25" s="1"/>
      <c r="N25" s="29"/>
      <c r="O25" s="14" t="s">
        <v>90</v>
      </c>
      <c r="P25" s="16"/>
      <c r="Q25" s="31"/>
      <c r="R25" s="31"/>
      <c r="S25" s="31"/>
      <c r="T25" s="31"/>
      <c r="U25" s="31"/>
      <c r="V25" s="31"/>
      <c r="W25" s="31"/>
      <c r="X25" s="31"/>
      <c r="Y25" s="32"/>
    </row>
    <row r="26" spans="1:39">
      <c r="A26" s="24"/>
      <c r="B26" s="11" t="s">
        <v>91</v>
      </c>
      <c r="C26" s="56">
        <f>SUM('March Enhancements'!F2:F59)</f>
        <v>0</v>
      </c>
      <c r="D26" s="22"/>
      <c r="E26" s="22"/>
      <c r="F26" s="22"/>
      <c r="G26" s="22"/>
      <c r="H26" s="22"/>
      <c r="I26" s="22"/>
      <c r="J26" s="22"/>
      <c r="K26" s="22"/>
      <c r="L26" s="22"/>
      <c r="M26" s="1"/>
      <c r="N26" s="29"/>
      <c r="O26" s="11" t="s">
        <v>91</v>
      </c>
      <c r="P26" s="56">
        <f>SUM('KPI Enhancements'!F2:F21)</f>
        <v>0</v>
      </c>
      <c r="Q26" s="31"/>
      <c r="R26" s="31"/>
      <c r="S26" s="31"/>
      <c r="T26" s="31"/>
      <c r="U26" s="31"/>
      <c r="V26" s="31"/>
      <c r="W26" s="31"/>
      <c r="X26" s="31"/>
      <c r="Y26" s="32"/>
    </row>
    <row r="27" spans="1:39">
      <c r="A27" s="24"/>
      <c r="B27" s="11" t="s">
        <v>92</v>
      </c>
      <c r="C27" s="10">
        <f>SUM(C28-C26)</f>
        <v>23</v>
      </c>
      <c r="D27" s="22"/>
      <c r="E27" s="22"/>
      <c r="F27" s="22"/>
      <c r="G27" s="22"/>
      <c r="H27" s="22"/>
      <c r="I27" s="22"/>
      <c r="J27" s="22"/>
      <c r="K27" s="22"/>
      <c r="L27" s="22"/>
      <c r="M27" s="1"/>
      <c r="N27" s="29"/>
      <c r="O27" s="11" t="s">
        <v>92</v>
      </c>
      <c r="P27" s="10">
        <f>P28-P26</f>
        <v>109</v>
      </c>
      <c r="Q27" s="31"/>
      <c r="R27" s="31"/>
      <c r="S27" s="31"/>
      <c r="T27" s="31"/>
      <c r="U27" s="31"/>
      <c r="V27" s="31"/>
      <c r="W27" s="31"/>
      <c r="X27" s="31"/>
      <c r="Y27" s="32"/>
    </row>
    <row r="28" spans="1:39">
      <c r="A28" s="24"/>
      <c r="B28" s="11" t="s">
        <v>93</v>
      </c>
      <c r="C28" s="10">
        <f>SUM('March Enhancements'!E2:E59)</f>
        <v>23</v>
      </c>
      <c r="D28" s="22"/>
      <c r="E28" s="22"/>
      <c r="F28" s="22"/>
      <c r="G28" s="22"/>
      <c r="H28" s="22"/>
      <c r="I28" s="22"/>
      <c r="J28" s="22"/>
      <c r="K28" s="22"/>
      <c r="L28" s="22"/>
      <c r="M28" s="1"/>
      <c r="N28" s="29"/>
      <c r="O28" s="11" t="s">
        <v>93</v>
      </c>
      <c r="P28" s="10">
        <f>SUM('KPI Enhancements'!E2:E21)</f>
        <v>109</v>
      </c>
      <c r="Q28" s="31"/>
      <c r="R28" s="31"/>
      <c r="S28" s="31"/>
      <c r="T28" s="31"/>
      <c r="U28" s="31"/>
      <c r="V28" s="31"/>
      <c r="W28" s="31"/>
      <c r="X28" s="31"/>
      <c r="Y28" s="32"/>
    </row>
    <row r="29" spans="1:39">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3.9" thickBot="1">
      <c r="A30" s="24"/>
      <c r="B30" s="12" t="s">
        <v>94</v>
      </c>
      <c r="C30" s="13">
        <f>C26/C28</f>
        <v>0</v>
      </c>
      <c r="D30" s="22"/>
      <c r="E30" s="22"/>
      <c r="F30" s="22"/>
      <c r="G30" s="22"/>
      <c r="H30" s="22"/>
      <c r="I30" s="22"/>
      <c r="J30" s="22"/>
      <c r="K30" s="22"/>
      <c r="L30" s="22"/>
      <c r="M30" s="1"/>
      <c r="N30" s="29"/>
      <c r="O30" s="12" t="s">
        <v>94</v>
      </c>
      <c r="P30" s="13">
        <f>P26/P28</f>
        <v>0</v>
      </c>
      <c r="Q30" s="31"/>
      <c r="R30" s="31"/>
      <c r="S30" s="31"/>
      <c r="T30" s="31"/>
      <c r="U30" s="31"/>
      <c r="V30" s="31"/>
      <c r="W30" s="31"/>
      <c r="X30" s="31"/>
      <c r="Y30" s="32"/>
    </row>
    <row r="31" spans="1:39" ht="13.9" thickBot="1">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c r="A32" s="24"/>
      <c r="B32" s="14" t="s">
        <v>95</v>
      </c>
      <c r="C32" s="15"/>
      <c r="D32" s="16"/>
      <c r="E32" s="22"/>
      <c r="F32" s="22"/>
      <c r="G32" s="22"/>
      <c r="H32" s="22"/>
      <c r="I32" s="22"/>
      <c r="J32" s="22"/>
      <c r="K32" s="22"/>
      <c r="L32" s="22"/>
      <c r="M32" s="1"/>
      <c r="N32" s="29"/>
      <c r="O32" s="14" t="s">
        <v>95</v>
      </c>
      <c r="P32" s="15"/>
      <c r="Q32" s="16"/>
      <c r="R32" s="31"/>
      <c r="S32" s="31"/>
      <c r="T32" s="31"/>
      <c r="U32" s="31"/>
      <c r="V32" s="31"/>
      <c r="W32" s="31"/>
      <c r="X32" s="31"/>
      <c r="Y32" s="32"/>
    </row>
    <row r="33" spans="1:25">
      <c r="A33" s="24"/>
      <c r="B33" s="11" t="s">
        <v>96</v>
      </c>
      <c r="C33" s="17">
        <f>COUNTIF('March Enhancements'!$G$2:$G$149,Summary!B33)</f>
        <v>0</v>
      </c>
      <c r="D33" s="18">
        <f t="shared" ref="D33:D39" si="3">C33/$C$40</f>
        <v>0</v>
      </c>
      <c r="E33" s="22"/>
      <c r="F33" s="22"/>
      <c r="G33" s="22"/>
      <c r="H33" s="22"/>
      <c r="I33" s="22"/>
      <c r="J33" s="22"/>
      <c r="K33" s="22"/>
      <c r="L33" s="22"/>
      <c r="M33" s="1"/>
      <c r="N33" s="29"/>
      <c r="O33" s="11" t="s">
        <v>96</v>
      </c>
      <c r="P33" s="17">
        <f>COUNTIF('KPI Enhancements'!$G$2:$G$109,Summary!O33)</f>
        <v>0</v>
      </c>
      <c r="Q33" s="18">
        <f t="shared" ref="Q33:Q39" si="4">P33/$P$40</f>
        <v>0</v>
      </c>
      <c r="R33" s="31"/>
      <c r="S33" s="31"/>
      <c r="T33" s="31"/>
      <c r="U33" s="31"/>
      <c r="V33" s="31"/>
      <c r="W33" s="31"/>
      <c r="X33" s="31"/>
      <c r="Y33" s="32"/>
    </row>
    <row r="34" spans="1:25">
      <c r="A34" s="24"/>
      <c r="B34" s="11" t="s">
        <v>97</v>
      </c>
      <c r="C34" s="17">
        <f>COUNTIF('March Enhancements'!$G$2:$G$149,Summary!B34)</f>
        <v>0</v>
      </c>
      <c r="D34" s="18">
        <f t="shared" si="3"/>
        <v>0</v>
      </c>
      <c r="E34" s="22"/>
      <c r="F34" s="22"/>
      <c r="G34" s="22"/>
      <c r="H34" s="22"/>
      <c r="I34" s="22"/>
      <c r="J34" s="22"/>
      <c r="K34" s="22"/>
      <c r="L34" s="22"/>
      <c r="M34" s="1"/>
      <c r="N34" s="29"/>
      <c r="O34" s="11" t="s">
        <v>97</v>
      </c>
      <c r="P34" s="17">
        <f>COUNTIF('KPI Enhancements'!$G$2:$G$109,Summary!O34)</f>
        <v>0</v>
      </c>
      <c r="Q34" s="18">
        <f t="shared" si="4"/>
        <v>0</v>
      </c>
      <c r="R34" s="31"/>
      <c r="S34" s="31"/>
      <c r="T34" s="31"/>
      <c r="U34" s="31"/>
      <c r="V34" s="31"/>
      <c r="W34" s="31"/>
      <c r="X34" s="31"/>
      <c r="Y34" s="32"/>
    </row>
    <row r="35" spans="1:25">
      <c r="A35" s="24"/>
      <c r="B35" s="11" t="s">
        <v>98</v>
      </c>
      <c r="C35" s="17">
        <f>COUNTIF('March Enhancements'!$G$2:$G$149,Summary!B35)</f>
        <v>0</v>
      </c>
      <c r="D35" s="18">
        <f t="shared" si="3"/>
        <v>0</v>
      </c>
      <c r="E35" s="22"/>
      <c r="F35" s="22"/>
      <c r="G35" s="22"/>
      <c r="H35" s="22"/>
      <c r="I35" s="22"/>
      <c r="J35" s="22"/>
      <c r="K35" s="22"/>
      <c r="L35" s="22"/>
      <c r="M35" s="1"/>
      <c r="N35" s="29"/>
      <c r="O35" s="11" t="s">
        <v>98</v>
      </c>
      <c r="P35" s="17">
        <f>COUNTIF('KPI Enhancements'!$G$2:$G$109,Summary!O35)</f>
        <v>0</v>
      </c>
      <c r="Q35" s="18">
        <f t="shared" si="4"/>
        <v>0</v>
      </c>
      <c r="R35" s="31"/>
      <c r="S35" s="31"/>
      <c r="T35" s="31"/>
      <c r="U35" s="31"/>
      <c r="V35" s="31"/>
      <c r="W35" s="31"/>
      <c r="X35" s="31"/>
      <c r="Y35" s="32"/>
    </row>
    <row r="36" spans="1:25">
      <c r="A36" s="24"/>
      <c r="B36" s="11" t="s">
        <v>99</v>
      </c>
      <c r="C36" s="17">
        <f>COUNTIF('March Enhancements'!$G$2:$G$149,Summary!B36)</f>
        <v>0</v>
      </c>
      <c r="D36" s="18">
        <f t="shared" si="3"/>
        <v>0</v>
      </c>
      <c r="E36" s="22"/>
      <c r="F36" s="22"/>
      <c r="G36" s="22"/>
      <c r="H36" s="22"/>
      <c r="I36" s="22"/>
      <c r="J36" s="22"/>
      <c r="K36" s="22"/>
      <c r="L36" s="22"/>
      <c r="M36" s="1"/>
      <c r="N36" s="29"/>
      <c r="O36" s="11" t="s">
        <v>99</v>
      </c>
      <c r="P36" s="17">
        <f>COUNTIF('KPI Enhancements'!$G$2:$G$109,Summary!O36)</f>
        <v>0</v>
      </c>
      <c r="Q36" s="18">
        <f t="shared" si="4"/>
        <v>0</v>
      </c>
      <c r="R36" s="31"/>
      <c r="S36" s="31"/>
      <c r="T36" s="31"/>
      <c r="U36" s="31"/>
      <c r="V36" s="31"/>
      <c r="W36" s="31"/>
      <c r="X36" s="31"/>
      <c r="Y36" s="32"/>
    </row>
    <row r="37" spans="1:25">
      <c r="A37" s="24"/>
      <c r="B37" s="11" t="s">
        <v>100</v>
      </c>
      <c r="C37" s="17">
        <f>COUNTIF('March Enhancements'!$G$2:$G$149,Summary!B37)</f>
        <v>0</v>
      </c>
      <c r="D37" s="18">
        <f t="shared" si="3"/>
        <v>0</v>
      </c>
      <c r="E37" s="22"/>
      <c r="F37" s="22"/>
      <c r="G37" s="22"/>
      <c r="H37" s="22"/>
      <c r="I37" s="22"/>
      <c r="J37" s="22"/>
      <c r="K37" s="22"/>
      <c r="L37" s="22"/>
      <c r="M37" s="1"/>
      <c r="N37" s="29"/>
      <c r="O37" s="11" t="s">
        <v>100</v>
      </c>
      <c r="P37" s="17">
        <f>COUNTIF('KPI Enhancements'!$G$2:$G$109,Summary!O37)</f>
        <v>0</v>
      </c>
      <c r="Q37" s="18">
        <f t="shared" si="4"/>
        <v>0</v>
      </c>
      <c r="R37" s="31"/>
      <c r="S37" s="31"/>
      <c r="T37" s="31"/>
      <c r="U37" s="31"/>
      <c r="V37" s="31"/>
      <c r="W37" s="31"/>
      <c r="X37" s="31"/>
      <c r="Y37" s="32"/>
    </row>
    <row r="38" spans="1:25">
      <c r="A38" s="24"/>
      <c r="B38" s="11" t="s">
        <v>101</v>
      </c>
      <c r="C38" s="17">
        <f>COUNTIF('March Enhancements'!$G$2:$G$149,Summary!B38)</f>
        <v>0</v>
      </c>
      <c r="D38" s="18">
        <f t="shared" si="3"/>
        <v>0</v>
      </c>
      <c r="E38" s="22"/>
      <c r="F38" s="22"/>
      <c r="G38" s="22"/>
      <c r="H38" s="22"/>
      <c r="I38" s="22"/>
      <c r="J38" s="22"/>
      <c r="K38" s="22"/>
      <c r="L38" s="22"/>
      <c r="M38" s="1"/>
      <c r="N38" s="29"/>
      <c r="O38" s="11" t="s">
        <v>101</v>
      </c>
      <c r="P38" s="17">
        <f>COUNTIF('KPI Enhancements'!$G$2:$G$109,Summary!O38)</f>
        <v>0</v>
      </c>
      <c r="Q38" s="18">
        <f t="shared" si="4"/>
        <v>0</v>
      </c>
      <c r="R38" s="31"/>
      <c r="S38" s="31"/>
      <c r="T38" s="31"/>
      <c r="U38" s="31"/>
      <c r="V38" s="31"/>
      <c r="W38" s="31"/>
      <c r="X38" s="31"/>
      <c r="Y38" s="32"/>
    </row>
    <row r="39" spans="1:25" ht="13.9" thickBot="1">
      <c r="A39" s="24"/>
      <c r="B39" s="12" t="s">
        <v>102</v>
      </c>
      <c r="C39" s="17">
        <f>COUNTIF('March Enhancements'!$G$2:$G$149,Summary!B39)</f>
        <v>7</v>
      </c>
      <c r="D39" s="18">
        <f t="shared" si="3"/>
        <v>1</v>
      </c>
      <c r="E39" s="22"/>
      <c r="F39" s="22"/>
      <c r="G39" s="22"/>
      <c r="H39" s="22"/>
      <c r="I39" s="22"/>
      <c r="J39" s="22"/>
      <c r="K39" s="22"/>
      <c r="L39" s="22"/>
      <c r="M39" s="1"/>
      <c r="N39" s="29"/>
      <c r="O39" s="12" t="s">
        <v>102</v>
      </c>
      <c r="P39" s="17">
        <f>COUNTIF('KPI Enhancements'!$G$2:$G$109,Summary!O39)</f>
        <v>58</v>
      </c>
      <c r="Q39" s="13">
        <f t="shared" si="4"/>
        <v>1</v>
      </c>
      <c r="R39" s="31"/>
      <c r="S39" s="31"/>
      <c r="T39" s="31"/>
      <c r="U39" s="31"/>
      <c r="V39" s="31"/>
      <c r="W39" s="31"/>
      <c r="X39" s="31"/>
      <c r="Y39" s="32"/>
    </row>
    <row r="40" spans="1:25" ht="13.9" thickBot="1">
      <c r="A40" s="24"/>
      <c r="B40" s="19" t="s">
        <v>103</v>
      </c>
      <c r="C40" s="20">
        <f>SUM(C33:C39)</f>
        <v>7</v>
      </c>
      <c r="D40" s="21"/>
      <c r="E40" s="22"/>
      <c r="F40" s="22"/>
      <c r="G40" s="22"/>
      <c r="H40" s="22"/>
      <c r="I40" s="22"/>
      <c r="J40" s="22"/>
      <c r="K40" s="22"/>
      <c r="L40" s="22"/>
      <c r="M40" s="1"/>
      <c r="N40" s="29"/>
      <c r="O40" s="19" t="s">
        <v>103</v>
      </c>
      <c r="P40" s="20">
        <f>SUM(P33:P39)</f>
        <v>58</v>
      </c>
      <c r="Q40" s="21"/>
      <c r="R40" s="31"/>
      <c r="S40" s="31"/>
      <c r="T40" s="31"/>
      <c r="U40" s="31"/>
      <c r="V40" s="31"/>
      <c r="W40" s="31"/>
      <c r="X40" s="31"/>
      <c r="Y40" s="32"/>
    </row>
    <row r="41" spans="1:25" ht="13.9" thickBot="1">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filterMode="1">
    <tabColor indexed="44"/>
    <pageSetUpPr fitToPage="1"/>
  </sheetPr>
  <dimension ref="A1:SY704"/>
  <sheetViews>
    <sheetView zoomScale="70" zoomScaleNormal="70" workbookViewId="0">
      <pane ySplit="1" topLeftCell="A54" activePane="bottomLeft" state="frozen"/>
      <selection pane="bottomLeft" activeCell="D177" sqref="D177"/>
    </sheetView>
  </sheetViews>
  <sheetFormatPr defaultColWidth="8.7109375" defaultRowHeight="12.75" customHeight="1"/>
  <cols>
    <col min="1" max="1" width="9.5703125" style="57" bestFit="1" customWidth="1"/>
    <col min="2" max="2" width="55.28515625" style="71" customWidth="1"/>
    <col min="3" max="3" width="38.5703125" style="49" customWidth="1"/>
    <col min="4" max="4" width="42.85546875" style="48" customWidth="1"/>
    <col min="5" max="5" width="12.28515625" style="72" bestFit="1" customWidth="1"/>
    <col min="6" max="6" width="14.140625" style="73" bestFit="1" customWidth="1"/>
    <col min="7" max="7" width="12.28515625" style="72" customWidth="1"/>
    <col min="8" max="8" width="36.7109375" style="55" bestFit="1" customWidth="1"/>
    <col min="9" max="9" width="34" style="57" customWidth="1"/>
    <col min="10" max="10" width="18.7109375" style="57" customWidth="1"/>
    <col min="11" max="11" width="23.5703125" style="57" bestFit="1" customWidth="1"/>
    <col min="12" max="518" width="8.7109375" style="57"/>
    <col min="519" max="519" width="11" style="57" customWidth="1"/>
    <col min="520" max="16384" width="8.7109375" style="57"/>
  </cols>
  <sheetData>
    <row r="1" spans="1:14" customFormat="1" ht="24">
      <c r="A1" s="67" t="s">
        <v>106</v>
      </c>
      <c r="B1" s="68" t="s">
        <v>107</v>
      </c>
      <c r="C1" s="68" t="s">
        <v>108</v>
      </c>
      <c r="D1" s="133" t="s">
        <v>109</v>
      </c>
      <c r="E1" s="67" t="s">
        <v>110</v>
      </c>
      <c r="F1" s="69" t="s">
        <v>111</v>
      </c>
      <c r="G1" s="68" t="s">
        <v>112</v>
      </c>
      <c r="H1" s="306" t="s">
        <v>113</v>
      </c>
      <c r="I1" s="353" t="s">
        <v>114</v>
      </c>
      <c r="J1" s="333" t="s">
        <v>115</v>
      </c>
      <c r="K1" s="305" t="s">
        <v>116</v>
      </c>
    </row>
    <row r="2" spans="1:14" ht="121.5" hidden="1" customHeight="1">
      <c r="A2" s="154" t="s">
        <v>117</v>
      </c>
      <c r="B2" s="237" t="s">
        <v>118</v>
      </c>
      <c r="C2" s="47" t="s">
        <v>119</v>
      </c>
      <c r="D2" s="47" t="s">
        <v>120</v>
      </c>
      <c r="E2" s="191">
        <v>6</v>
      </c>
      <c r="F2" s="66"/>
      <c r="G2" s="168" t="s">
        <v>102</v>
      </c>
      <c r="H2" s="482"/>
      <c r="I2" s="169"/>
      <c r="J2" s="352"/>
      <c r="K2" s="102" t="s">
        <v>121</v>
      </c>
    </row>
    <row r="3" spans="1:14" ht="111" hidden="1" customHeight="1">
      <c r="A3" s="154" t="s">
        <v>122</v>
      </c>
      <c r="B3" s="47" t="s">
        <v>123</v>
      </c>
      <c r="C3" s="47" t="s">
        <v>124</v>
      </c>
      <c r="D3" s="47" t="s">
        <v>125</v>
      </c>
      <c r="E3" s="234">
        <v>3</v>
      </c>
      <c r="F3" s="279"/>
      <c r="G3" s="168" t="s">
        <v>102</v>
      </c>
      <c r="H3" s="489" t="s">
        <v>126</v>
      </c>
      <c r="I3" s="154"/>
      <c r="J3" s="495"/>
      <c r="K3" s="102" t="s">
        <v>121</v>
      </c>
    </row>
    <row r="4" spans="1:14" ht="96" hidden="1">
      <c r="A4" s="154" t="s">
        <v>127</v>
      </c>
      <c r="B4" s="47" t="s">
        <v>128</v>
      </c>
      <c r="C4" s="47" t="s">
        <v>129</v>
      </c>
      <c r="D4" s="47" t="s">
        <v>130</v>
      </c>
      <c r="E4" s="234">
        <v>6</v>
      </c>
      <c r="F4" s="108"/>
      <c r="G4" s="168" t="s">
        <v>102</v>
      </c>
      <c r="H4" s="489" t="s">
        <v>131</v>
      </c>
      <c r="I4" s="109"/>
      <c r="J4" s="102"/>
      <c r="K4" s="102" t="s">
        <v>121</v>
      </c>
    </row>
    <row r="5" spans="1:14" ht="165" hidden="1" customHeight="1">
      <c r="A5" s="154" t="s">
        <v>132</v>
      </c>
      <c r="B5" s="47" t="s">
        <v>133</v>
      </c>
      <c r="C5" s="47" t="s">
        <v>134</v>
      </c>
      <c r="D5" s="47" t="s">
        <v>125</v>
      </c>
      <c r="E5" s="234">
        <v>4</v>
      </c>
      <c r="F5" s="279"/>
      <c r="G5" s="168" t="s">
        <v>102</v>
      </c>
      <c r="H5" s="489"/>
      <c r="I5" s="102"/>
      <c r="J5" s="102"/>
      <c r="K5" s="505" t="s">
        <v>121</v>
      </c>
    </row>
    <row r="6" spans="1:14" ht="106.5" hidden="1" customHeight="1">
      <c r="A6" s="154" t="s">
        <v>135</v>
      </c>
      <c r="B6" s="47" t="s">
        <v>128</v>
      </c>
      <c r="C6" s="47" t="s">
        <v>136</v>
      </c>
      <c r="D6" s="47" t="s">
        <v>130</v>
      </c>
      <c r="E6" s="234">
        <v>6</v>
      </c>
      <c r="F6" s="108"/>
      <c r="G6" s="168" t="s">
        <v>102</v>
      </c>
      <c r="H6" s="437" t="s">
        <v>137</v>
      </c>
      <c r="I6" s="102"/>
      <c r="J6" s="503"/>
      <c r="K6" s="198" t="s">
        <v>121</v>
      </c>
    </row>
    <row r="7" spans="1:14" ht="72" hidden="1">
      <c r="A7" s="154" t="s">
        <v>138</v>
      </c>
      <c r="B7" s="47" t="s">
        <v>139</v>
      </c>
      <c r="C7" s="47" t="s">
        <v>140</v>
      </c>
      <c r="D7" s="47" t="s">
        <v>125</v>
      </c>
      <c r="E7" s="234">
        <v>3</v>
      </c>
      <c r="F7" s="205"/>
      <c r="G7" s="168" t="s">
        <v>102</v>
      </c>
      <c r="H7" s="437"/>
      <c r="I7" s="495"/>
      <c r="J7" s="503"/>
      <c r="K7" s="198" t="s">
        <v>121</v>
      </c>
    </row>
    <row r="8" spans="1:14" ht="126.75" hidden="1" customHeight="1">
      <c r="A8" s="154" t="s">
        <v>141</v>
      </c>
      <c r="B8" s="47" t="s">
        <v>128</v>
      </c>
      <c r="C8" s="47" t="s">
        <v>142</v>
      </c>
      <c r="D8" s="47" t="s">
        <v>130</v>
      </c>
      <c r="E8" s="234">
        <v>6</v>
      </c>
      <c r="F8" s="205"/>
      <c r="G8" s="178" t="s">
        <v>102</v>
      </c>
      <c r="H8" s="437" t="s">
        <v>143</v>
      </c>
      <c r="I8" s="495"/>
      <c r="J8" s="503"/>
      <c r="K8" s="154" t="s">
        <v>121</v>
      </c>
    </row>
    <row r="9" spans="1:14" ht="150" hidden="1" customHeight="1">
      <c r="A9" s="154" t="s">
        <v>144</v>
      </c>
      <c r="B9" s="80" t="s">
        <v>28</v>
      </c>
      <c r="C9" s="347" t="s">
        <v>145</v>
      </c>
      <c r="D9" s="348" t="s">
        <v>146</v>
      </c>
      <c r="E9" s="234">
        <v>7</v>
      </c>
      <c r="F9" s="341"/>
      <c r="G9" s="229" t="s">
        <v>102</v>
      </c>
      <c r="H9" s="340"/>
      <c r="I9" s="499"/>
      <c r="J9" s="355"/>
      <c r="K9" s="169" t="s">
        <v>27</v>
      </c>
    </row>
    <row r="10" spans="1:14" ht="138.75" hidden="1" customHeight="1">
      <c r="A10" s="154" t="s">
        <v>147</v>
      </c>
      <c r="B10" s="80" t="s">
        <v>148</v>
      </c>
      <c r="C10" s="347" t="s">
        <v>149</v>
      </c>
      <c r="D10" s="348" t="s">
        <v>150</v>
      </c>
      <c r="E10" s="234">
        <v>6</v>
      </c>
      <c r="F10" s="124"/>
      <c r="G10" s="229" t="s">
        <v>102</v>
      </c>
      <c r="H10" s="340"/>
      <c r="I10" s="496"/>
      <c r="J10" s="355"/>
      <c r="K10" s="169" t="s">
        <v>29</v>
      </c>
      <c r="L10" s="153"/>
      <c r="M10" s="153"/>
      <c r="N10" s="153"/>
    </row>
    <row r="11" spans="1:14" ht="123.75" hidden="1" customHeight="1">
      <c r="A11" s="154" t="s">
        <v>151</v>
      </c>
      <c r="B11" s="76" t="s">
        <v>32</v>
      </c>
      <c r="C11" s="347" t="s">
        <v>152</v>
      </c>
      <c r="D11" s="348" t="s">
        <v>153</v>
      </c>
      <c r="E11" s="234">
        <v>10</v>
      </c>
      <c r="F11" s="66"/>
      <c r="G11" s="362" t="s">
        <v>102</v>
      </c>
      <c r="H11" s="340"/>
      <c r="I11" s="60"/>
      <c r="J11" s="355"/>
      <c r="K11" s="169" t="s">
        <v>31</v>
      </c>
      <c r="L11" s="153"/>
      <c r="M11" s="153"/>
      <c r="N11" s="153"/>
    </row>
    <row r="12" spans="1:14" ht="154.5" hidden="1">
      <c r="A12" s="154" t="s">
        <v>154</v>
      </c>
      <c r="B12" s="76" t="s">
        <v>34</v>
      </c>
      <c r="C12" s="347" t="s">
        <v>155</v>
      </c>
      <c r="D12" s="348" t="s">
        <v>156</v>
      </c>
      <c r="E12" s="234">
        <v>10</v>
      </c>
      <c r="F12" s="75"/>
      <c r="G12" s="168" t="s">
        <v>102</v>
      </c>
      <c r="H12" s="488"/>
      <c r="I12" s="60"/>
      <c r="J12" s="355"/>
      <c r="K12" s="169" t="s">
        <v>33</v>
      </c>
    </row>
    <row r="13" spans="1:14" ht="66.75" hidden="1" customHeight="1">
      <c r="A13" s="154" t="s">
        <v>157</v>
      </c>
      <c r="B13" s="76" t="s">
        <v>158</v>
      </c>
      <c r="C13" s="104" t="s">
        <v>159</v>
      </c>
      <c r="D13" s="348" t="s">
        <v>160</v>
      </c>
      <c r="E13" s="234">
        <v>6</v>
      </c>
      <c r="F13" s="66"/>
      <c r="G13" s="362" t="s">
        <v>102</v>
      </c>
      <c r="H13" s="488"/>
      <c r="I13" s="60"/>
      <c r="J13" s="355"/>
      <c r="K13" s="170" t="s">
        <v>35</v>
      </c>
    </row>
    <row r="14" spans="1:14" ht="155.25" hidden="1" customHeight="1">
      <c r="A14" s="154" t="s">
        <v>161</v>
      </c>
      <c r="B14" s="174" t="s">
        <v>162</v>
      </c>
      <c r="C14" s="104" t="s">
        <v>163</v>
      </c>
      <c r="D14" s="348" t="s">
        <v>160</v>
      </c>
      <c r="E14" s="234">
        <v>6</v>
      </c>
      <c r="F14" s="66"/>
      <c r="G14" s="362" t="s">
        <v>102</v>
      </c>
      <c r="H14" s="488"/>
      <c r="I14" s="60"/>
      <c r="J14" s="355"/>
      <c r="K14" s="170" t="s">
        <v>35</v>
      </c>
    </row>
    <row r="15" spans="1:14" ht="166.5" hidden="1" customHeight="1">
      <c r="A15" s="154" t="s">
        <v>164</v>
      </c>
      <c r="B15" s="174" t="s">
        <v>165</v>
      </c>
      <c r="C15" s="104" t="s">
        <v>166</v>
      </c>
      <c r="D15" s="348" t="s">
        <v>167</v>
      </c>
      <c r="E15" s="234">
        <v>9</v>
      </c>
      <c r="F15" s="66"/>
      <c r="G15" s="362" t="s">
        <v>102</v>
      </c>
      <c r="H15" s="491" t="s">
        <v>168</v>
      </c>
      <c r="I15" s="60"/>
      <c r="J15" s="355"/>
      <c r="K15" s="404" t="s">
        <v>169</v>
      </c>
    </row>
    <row r="16" spans="1:14" ht="135" hidden="1" customHeight="1">
      <c r="A16" s="154" t="s">
        <v>170</v>
      </c>
      <c r="B16" s="174" t="s">
        <v>171</v>
      </c>
      <c r="C16" s="104" t="s">
        <v>172</v>
      </c>
      <c r="D16" s="348" t="s">
        <v>173</v>
      </c>
      <c r="E16" s="342">
        <v>9</v>
      </c>
      <c r="F16" s="66"/>
      <c r="G16" s="362" t="s">
        <v>102</v>
      </c>
      <c r="H16" s="491" t="s">
        <v>174</v>
      </c>
      <c r="I16" s="498"/>
      <c r="J16" s="355"/>
      <c r="K16" s="404" t="s">
        <v>169</v>
      </c>
    </row>
    <row r="17" spans="1:11" ht="158.25" hidden="1" customHeight="1">
      <c r="A17" s="154" t="s">
        <v>175</v>
      </c>
      <c r="B17" s="174" t="s">
        <v>176</v>
      </c>
      <c r="C17" s="104" t="s">
        <v>177</v>
      </c>
      <c r="D17" s="348" t="s">
        <v>178</v>
      </c>
      <c r="E17" s="342">
        <v>9</v>
      </c>
      <c r="F17" s="66"/>
      <c r="G17" s="362" t="s">
        <v>102</v>
      </c>
      <c r="H17" s="491" t="s">
        <v>179</v>
      </c>
      <c r="I17" s="60"/>
      <c r="J17" s="355"/>
      <c r="K17" s="404" t="s">
        <v>169</v>
      </c>
    </row>
    <row r="18" spans="1:11" ht="131.25" hidden="1" customHeight="1">
      <c r="A18" s="154" t="s">
        <v>180</v>
      </c>
      <c r="B18" s="174" t="s">
        <v>181</v>
      </c>
      <c r="C18" s="104" t="s">
        <v>182</v>
      </c>
      <c r="D18" s="348" t="s">
        <v>183</v>
      </c>
      <c r="E18" s="199">
        <v>9</v>
      </c>
      <c r="F18" s="343"/>
      <c r="G18" s="362" t="s">
        <v>102</v>
      </c>
      <c r="H18" s="491" t="s">
        <v>184</v>
      </c>
      <c r="I18" s="60"/>
      <c r="J18" s="363"/>
      <c r="K18" s="404" t="s">
        <v>169</v>
      </c>
    </row>
    <row r="19" spans="1:11" ht="131.25" hidden="1" customHeight="1">
      <c r="A19" s="154" t="s">
        <v>185</v>
      </c>
      <c r="B19" s="174" t="s">
        <v>186</v>
      </c>
      <c r="C19" s="104" t="s">
        <v>187</v>
      </c>
      <c r="D19" s="348" t="s">
        <v>188</v>
      </c>
      <c r="E19" s="199">
        <v>9</v>
      </c>
      <c r="F19" s="66"/>
      <c r="G19" s="362" t="s">
        <v>102</v>
      </c>
      <c r="H19" s="65" t="s">
        <v>189</v>
      </c>
      <c r="I19" s="60"/>
      <c r="J19" s="363"/>
      <c r="K19" s="404" t="s">
        <v>169</v>
      </c>
    </row>
    <row r="20" spans="1:11" ht="60" hidden="1">
      <c r="A20" s="154" t="s">
        <v>190</v>
      </c>
      <c r="B20" s="76" t="s">
        <v>191</v>
      </c>
      <c r="C20" s="461" t="s">
        <v>192</v>
      </c>
      <c r="D20" s="466" t="s">
        <v>193</v>
      </c>
      <c r="E20" s="199">
        <v>4</v>
      </c>
      <c r="F20" s="66"/>
      <c r="G20" s="362" t="s">
        <v>102</v>
      </c>
      <c r="H20" s="400" t="s">
        <v>194</v>
      </c>
      <c r="I20" s="60"/>
      <c r="J20" s="502"/>
      <c r="K20" s="508" t="s">
        <v>169</v>
      </c>
    </row>
    <row r="21" spans="1:11" ht="53.25" hidden="1" customHeight="1">
      <c r="A21" s="154" t="s">
        <v>195</v>
      </c>
      <c r="B21" s="47" t="s">
        <v>196</v>
      </c>
      <c r="C21" s="114" t="s">
        <v>197</v>
      </c>
      <c r="D21" s="165" t="s">
        <v>198</v>
      </c>
      <c r="E21" s="116">
        <v>11</v>
      </c>
      <c r="F21" s="66"/>
      <c r="G21" s="362" t="s">
        <v>102</v>
      </c>
      <c r="H21" s="65"/>
      <c r="I21" s="60"/>
      <c r="J21" s="61"/>
      <c r="K21" s="360" t="s">
        <v>39</v>
      </c>
    </row>
    <row r="22" spans="1:11" ht="52.5" hidden="1" customHeight="1">
      <c r="A22" s="154" t="s">
        <v>199</v>
      </c>
      <c r="B22" s="47" t="s">
        <v>200</v>
      </c>
      <c r="C22" s="114" t="s">
        <v>197</v>
      </c>
      <c r="D22" s="165" t="s">
        <v>198</v>
      </c>
      <c r="E22" s="116">
        <v>11</v>
      </c>
      <c r="F22" s="66"/>
      <c r="G22" s="362" t="s">
        <v>102</v>
      </c>
      <c r="H22" s="65"/>
      <c r="I22" s="60"/>
      <c r="J22" s="61"/>
      <c r="K22" s="360" t="s">
        <v>39</v>
      </c>
    </row>
    <row r="23" spans="1:11" ht="54.75" hidden="1" customHeight="1">
      <c r="A23" s="154" t="s">
        <v>201</v>
      </c>
      <c r="B23" s="47" t="s">
        <v>202</v>
      </c>
      <c r="C23" s="114" t="s">
        <v>197</v>
      </c>
      <c r="D23" s="165" t="s">
        <v>198</v>
      </c>
      <c r="E23" s="116">
        <v>11</v>
      </c>
      <c r="F23" s="66"/>
      <c r="G23" s="362" t="s">
        <v>102</v>
      </c>
      <c r="H23" s="65"/>
      <c r="I23" s="60"/>
      <c r="J23" s="61"/>
      <c r="K23" s="360" t="s">
        <v>39</v>
      </c>
    </row>
    <row r="24" spans="1:11" ht="214.5" hidden="1">
      <c r="A24" s="154" t="s">
        <v>203</v>
      </c>
      <c r="B24" s="47" t="s">
        <v>204</v>
      </c>
      <c r="C24" s="114" t="s">
        <v>197</v>
      </c>
      <c r="D24" s="165" t="s">
        <v>198</v>
      </c>
      <c r="E24" s="116">
        <v>11</v>
      </c>
      <c r="F24" s="66"/>
      <c r="G24" s="362" t="s">
        <v>102</v>
      </c>
      <c r="H24" s="65"/>
      <c r="I24" s="60"/>
      <c r="J24" s="61"/>
      <c r="K24" s="360" t="s">
        <v>39</v>
      </c>
    </row>
    <row r="25" spans="1:11" ht="106.5" hidden="1" customHeight="1">
      <c r="A25" s="154" t="s">
        <v>205</v>
      </c>
      <c r="B25" s="186" t="s">
        <v>206</v>
      </c>
      <c r="C25" s="114" t="s">
        <v>197</v>
      </c>
      <c r="D25" s="165" t="s">
        <v>198</v>
      </c>
      <c r="E25" s="116">
        <v>11</v>
      </c>
      <c r="F25" s="66"/>
      <c r="G25" s="362" t="s">
        <v>102</v>
      </c>
      <c r="H25" s="65"/>
      <c r="I25" s="60"/>
      <c r="J25" s="61"/>
      <c r="K25" s="61" t="s">
        <v>39</v>
      </c>
    </row>
    <row r="26" spans="1:11" ht="126.75" hidden="1" customHeight="1">
      <c r="A26" s="154" t="s">
        <v>207</v>
      </c>
      <c r="B26" s="47" t="s">
        <v>208</v>
      </c>
      <c r="C26" s="114" t="s">
        <v>197</v>
      </c>
      <c r="D26" s="165" t="s">
        <v>198</v>
      </c>
      <c r="E26" s="116">
        <v>11</v>
      </c>
      <c r="F26" s="66"/>
      <c r="G26" s="362" t="s">
        <v>102</v>
      </c>
      <c r="H26" s="65"/>
      <c r="I26" s="60"/>
      <c r="J26" s="61"/>
      <c r="K26" s="61" t="s">
        <v>39</v>
      </c>
    </row>
    <row r="27" spans="1:11" ht="116.25" hidden="1" customHeight="1">
      <c r="A27" s="154" t="s">
        <v>209</v>
      </c>
      <c r="B27" s="47" t="s">
        <v>210</v>
      </c>
      <c r="C27" s="114" t="s">
        <v>197</v>
      </c>
      <c r="D27" s="165" t="s">
        <v>198</v>
      </c>
      <c r="E27" s="116">
        <v>11</v>
      </c>
      <c r="F27" s="66"/>
      <c r="G27" s="362" t="s">
        <v>102</v>
      </c>
      <c r="H27" s="65"/>
      <c r="I27" s="60"/>
      <c r="J27" s="61"/>
      <c r="K27" s="61" t="s">
        <v>39</v>
      </c>
    </row>
    <row r="28" spans="1:11" ht="117" hidden="1" customHeight="1">
      <c r="A28" s="154" t="s">
        <v>211</v>
      </c>
      <c r="B28" s="47" t="s">
        <v>212</v>
      </c>
      <c r="C28" s="114" t="s">
        <v>197</v>
      </c>
      <c r="D28" s="165" t="s">
        <v>198</v>
      </c>
      <c r="E28" s="116">
        <v>11</v>
      </c>
      <c r="F28" s="66"/>
      <c r="G28" s="362" t="s">
        <v>102</v>
      </c>
      <c r="H28" s="65"/>
      <c r="I28" s="60"/>
      <c r="J28" s="61"/>
      <c r="K28" s="61" t="s">
        <v>39</v>
      </c>
    </row>
    <row r="29" spans="1:11" ht="112.5" hidden="1" customHeight="1">
      <c r="A29" s="154" t="s">
        <v>213</v>
      </c>
      <c r="B29" s="47" t="s">
        <v>214</v>
      </c>
      <c r="C29" s="114" t="s">
        <v>197</v>
      </c>
      <c r="D29" s="165" t="s">
        <v>198</v>
      </c>
      <c r="E29" s="74">
        <v>11</v>
      </c>
      <c r="F29" s="66"/>
      <c r="G29" s="362" t="s">
        <v>102</v>
      </c>
      <c r="H29" s="65"/>
      <c r="I29" s="60"/>
      <c r="J29" s="61"/>
      <c r="K29" s="61" t="s">
        <v>39</v>
      </c>
    </row>
    <row r="30" spans="1:11" ht="114" hidden="1" customHeight="1">
      <c r="A30" s="154" t="s">
        <v>215</v>
      </c>
      <c r="B30" s="47" t="s">
        <v>216</v>
      </c>
      <c r="C30" s="114" t="s">
        <v>197</v>
      </c>
      <c r="D30" s="165" t="s">
        <v>198</v>
      </c>
      <c r="E30" s="74">
        <v>11</v>
      </c>
      <c r="F30" s="66"/>
      <c r="G30" s="362" t="s">
        <v>102</v>
      </c>
      <c r="H30" s="65"/>
      <c r="I30" s="60"/>
      <c r="J30" s="61"/>
      <c r="K30" s="61" t="s">
        <v>39</v>
      </c>
    </row>
    <row r="31" spans="1:11" ht="187.5" hidden="1" customHeight="1">
      <c r="A31" s="154" t="s">
        <v>217</v>
      </c>
      <c r="B31" s="47" t="s">
        <v>218</v>
      </c>
      <c r="C31" s="114" t="s">
        <v>197</v>
      </c>
      <c r="D31" s="165" t="s">
        <v>198</v>
      </c>
      <c r="E31" s="74">
        <v>11</v>
      </c>
      <c r="F31" s="66"/>
      <c r="G31" s="362" t="s">
        <v>102</v>
      </c>
      <c r="H31" s="65"/>
      <c r="I31" s="60"/>
      <c r="J31" s="61"/>
      <c r="K31" s="62" t="s">
        <v>39</v>
      </c>
    </row>
    <row r="32" spans="1:11" ht="243.75" hidden="1" customHeight="1">
      <c r="A32" s="154" t="s">
        <v>219</v>
      </c>
      <c r="B32" s="47" t="s">
        <v>220</v>
      </c>
      <c r="C32" s="114" t="s">
        <v>221</v>
      </c>
      <c r="D32" s="165" t="s">
        <v>222</v>
      </c>
      <c r="E32" s="74">
        <v>5</v>
      </c>
      <c r="F32" s="66"/>
      <c r="G32" s="362" t="s">
        <v>102</v>
      </c>
      <c r="H32" s="65" t="s">
        <v>223</v>
      </c>
      <c r="I32" s="60"/>
      <c r="J32" s="61"/>
      <c r="K32" s="102" t="s">
        <v>41</v>
      </c>
    </row>
    <row r="33" spans="1:11" ht="243.75" hidden="1" customHeight="1">
      <c r="A33" s="154" t="s">
        <v>224</v>
      </c>
      <c r="B33" s="47" t="s">
        <v>225</v>
      </c>
      <c r="C33" s="114" t="s">
        <v>221</v>
      </c>
      <c r="D33" s="165" t="s">
        <v>222</v>
      </c>
      <c r="E33" s="74">
        <v>5</v>
      </c>
      <c r="F33" s="66"/>
      <c r="G33" s="362" t="s">
        <v>102</v>
      </c>
      <c r="H33" s="65" t="s">
        <v>226</v>
      </c>
      <c r="I33" s="60"/>
      <c r="J33" s="61"/>
      <c r="K33" s="102" t="s">
        <v>41</v>
      </c>
    </row>
    <row r="34" spans="1:11" ht="243.75" hidden="1" customHeight="1">
      <c r="A34" s="154" t="s">
        <v>227</v>
      </c>
      <c r="B34" s="47" t="s">
        <v>228</v>
      </c>
      <c r="C34" s="114" t="s">
        <v>221</v>
      </c>
      <c r="D34" s="165" t="s">
        <v>222</v>
      </c>
      <c r="E34" s="74">
        <v>5</v>
      </c>
      <c r="F34" s="66"/>
      <c r="G34" s="362" t="s">
        <v>102</v>
      </c>
      <c r="H34" s="65" t="s">
        <v>229</v>
      </c>
      <c r="I34" s="60"/>
      <c r="J34" s="61"/>
      <c r="K34" s="102" t="s">
        <v>41</v>
      </c>
    </row>
    <row r="35" spans="1:11" ht="243.75" hidden="1" customHeight="1">
      <c r="A35" s="154" t="s">
        <v>230</v>
      </c>
      <c r="B35" s="47" t="s">
        <v>231</v>
      </c>
      <c r="C35" s="114" t="s">
        <v>221</v>
      </c>
      <c r="D35" s="165" t="s">
        <v>222</v>
      </c>
      <c r="E35" s="74">
        <v>5</v>
      </c>
      <c r="F35" s="66"/>
      <c r="G35" s="362" t="s">
        <v>102</v>
      </c>
      <c r="H35" s="65" t="s">
        <v>232</v>
      </c>
      <c r="I35" s="60"/>
      <c r="J35" s="61"/>
      <c r="K35" s="102" t="s">
        <v>41</v>
      </c>
    </row>
    <row r="36" spans="1:11" ht="243.75" hidden="1" customHeight="1">
      <c r="A36" s="154" t="s">
        <v>233</v>
      </c>
      <c r="B36" s="47" t="s">
        <v>234</v>
      </c>
      <c r="C36" s="114" t="s">
        <v>221</v>
      </c>
      <c r="D36" s="165"/>
      <c r="E36" s="74">
        <v>5</v>
      </c>
      <c r="F36" s="66"/>
      <c r="G36" s="362" t="s">
        <v>102</v>
      </c>
      <c r="H36" s="65" t="s">
        <v>235</v>
      </c>
      <c r="I36" s="60"/>
      <c r="J36" s="61"/>
      <c r="K36" s="102" t="s">
        <v>41</v>
      </c>
    </row>
    <row r="37" spans="1:11" ht="243.75" hidden="1" customHeight="1">
      <c r="A37" s="154" t="s">
        <v>236</v>
      </c>
      <c r="B37" s="47" t="s">
        <v>237</v>
      </c>
      <c r="C37" s="114" t="s">
        <v>221</v>
      </c>
      <c r="D37" s="165" t="s">
        <v>222</v>
      </c>
      <c r="E37" s="74">
        <v>5</v>
      </c>
      <c r="F37" s="66"/>
      <c r="G37" s="362" t="s">
        <v>102</v>
      </c>
      <c r="H37" s="65" t="s">
        <v>238</v>
      </c>
      <c r="I37" s="60"/>
      <c r="J37" s="61"/>
      <c r="K37" s="102" t="s">
        <v>41</v>
      </c>
    </row>
    <row r="38" spans="1:11" ht="243.75" hidden="1" customHeight="1">
      <c r="A38" s="154" t="s">
        <v>239</v>
      </c>
      <c r="B38" s="47" t="s">
        <v>240</v>
      </c>
      <c r="C38" s="114" t="s">
        <v>221</v>
      </c>
      <c r="D38" s="165" t="s">
        <v>222</v>
      </c>
      <c r="E38" s="74">
        <v>5</v>
      </c>
      <c r="F38" s="66"/>
      <c r="G38" s="362" t="s">
        <v>102</v>
      </c>
      <c r="H38" s="65" t="s">
        <v>241</v>
      </c>
      <c r="I38" s="60"/>
      <c r="J38" s="61"/>
      <c r="K38" s="102" t="s">
        <v>41</v>
      </c>
    </row>
    <row r="39" spans="1:11" ht="96" hidden="1">
      <c r="A39" s="154" t="s">
        <v>242</v>
      </c>
      <c r="B39" s="47" t="s">
        <v>243</v>
      </c>
      <c r="C39" s="114" t="s">
        <v>221</v>
      </c>
      <c r="D39" s="165" t="s">
        <v>222</v>
      </c>
      <c r="E39" s="74">
        <v>5</v>
      </c>
      <c r="F39" s="66"/>
      <c r="G39" s="362" t="s">
        <v>102</v>
      </c>
      <c r="H39" s="97" t="s">
        <v>244</v>
      </c>
      <c r="I39" s="60"/>
      <c r="J39" s="61"/>
      <c r="K39" s="102" t="s">
        <v>41</v>
      </c>
    </row>
    <row r="40" spans="1:11" ht="214.5" hidden="1">
      <c r="A40" s="154" t="s">
        <v>245</v>
      </c>
      <c r="B40" s="47" t="s">
        <v>214</v>
      </c>
      <c r="C40" s="114" t="s">
        <v>197</v>
      </c>
      <c r="D40" s="165" t="s">
        <v>198</v>
      </c>
      <c r="E40" s="74">
        <v>11</v>
      </c>
      <c r="F40" s="66"/>
      <c r="G40" s="362" t="s">
        <v>102</v>
      </c>
      <c r="H40" s="97" t="s">
        <v>246</v>
      </c>
      <c r="I40" s="60"/>
      <c r="J40" s="61"/>
      <c r="K40" s="102" t="s">
        <v>41</v>
      </c>
    </row>
    <row r="41" spans="1:11" ht="214.5" hidden="1">
      <c r="A41" s="154" t="s">
        <v>247</v>
      </c>
      <c r="B41" s="47" t="s">
        <v>216</v>
      </c>
      <c r="C41" s="114" t="s">
        <v>197</v>
      </c>
      <c r="D41" s="165" t="s">
        <v>198</v>
      </c>
      <c r="E41" s="74">
        <v>11</v>
      </c>
      <c r="F41" s="66"/>
      <c r="G41" s="362" t="s">
        <v>102</v>
      </c>
      <c r="H41" s="97" t="s">
        <v>248</v>
      </c>
      <c r="I41" s="60"/>
      <c r="J41" s="61"/>
      <c r="K41" s="102" t="s">
        <v>41</v>
      </c>
    </row>
    <row r="42" spans="1:11" ht="96" hidden="1">
      <c r="A42" s="154" t="s">
        <v>249</v>
      </c>
      <c r="B42" s="47" t="s">
        <v>250</v>
      </c>
      <c r="C42" s="114" t="s">
        <v>221</v>
      </c>
      <c r="D42" s="165" t="s">
        <v>222</v>
      </c>
      <c r="E42" s="74">
        <v>5</v>
      </c>
      <c r="F42" s="66"/>
      <c r="G42" s="362" t="s">
        <v>102</v>
      </c>
      <c r="H42" s="97" t="s">
        <v>251</v>
      </c>
      <c r="I42" s="60"/>
      <c r="J42" s="61"/>
      <c r="K42" s="102" t="s">
        <v>41</v>
      </c>
    </row>
    <row r="43" spans="1:11" ht="261" hidden="1" customHeight="1">
      <c r="A43" s="154" t="s">
        <v>252</v>
      </c>
      <c r="B43" s="101" t="s">
        <v>253</v>
      </c>
      <c r="C43" s="114" t="s">
        <v>254</v>
      </c>
      <c r="D43" s="165" t="s">
        <v>255</v>
      </c>
      <c r="E43" s="74">
        <v>7</v>
      </c>
      <c r="F43" s="66"/>
      <c r="G43" s="362" t="s">
        <v>102</v>
      </c>
      <c r="H43" s="166"/>
      <c r="I43" s="60"/>
      <c r="J43" s="61"/>
      <c r="K43" s="154" t="s">
        <v>47</v>
      </c>
    </row>
    <row r="44" spans="1:11" ht="261" hidden="1" customHeight="1">
      <c r="A44" s="154" t="s">
        <v>256</v>
      </c>
      <c r="B44" s="47" t="s">
        <v>257</v>
      </c>
      <c r="C44" s="114" t="s">
        <v>254</v>
      </c>
      <c r="D44" s="165" t="s">
        <v>255</v>
      </c>
      <c r="E44" s="74">
        <v>7</v>
      </c>
      <c r="F44" s="66"/>
      <c r="G44" s="362" t="s">
        <v>102</v>
      </c>
      <c r="H44" s="97"/>
      <c r="I44" s="60"/>
      <c r="J44" s="61"/>
      <c r="K44" s="154" t="s">
        <v>47</v>
      </c>
    </row>
    <row r="45" spans="1:11" ht="261" hidden="1" customHeight="1">
      <c r="A45" s="154" t="s">
        <v>258</v>
      </c>
      <c r="B45" s="47" t="s">
        <v>259</v>
      </c>
      <c r="C45" s="114" t="s">
        <v>260</v>
      </c>
      <c r="D45" s="165" t="s">
        <v>261</v>
      </c>
      <c r="E45" s="74">
        <v>7</v>
      </c>
      <c r="F45" s="66"/>
      <c r="G45" s="362" t="s">
        <v>102</v>
      </c>
      <c r="H45" s="97"/>
      <c r="I45" s="60"/>
      <c r="J45" s="61"/>
      <c r="K45" s="154" t="s">
        <v>47</v>
      </c>
    </row>
    <row r="46" spans="1:11" ht="261" hidden="1" customHeight="1">
      <c r="A46" s="154" t="s">
        <v>262</v>
      </c>
      <c r="B46" s="47" t="s">
        <v>263</v>
      </c>
      <c r="C46" s="114" t="s">
        <v>264</v>
      </c>
      <c r="D46" s="165" t="s">
        <v>255</v>
      </c>
      <c r="E46" s="74">
        <v>7</v>
      </c>
      <c r="F46" s="66"/>
      <c r="G46" s="362" t="s">
        <v>102</v>
      </c>
      <c r="H46" s="97"/>
      <c r="I46" s="60"/>
      <c r="J46" s="61"/>
      <c r="K46" s="154" t="s">
        <v>47</v>
      </c>
    </row>
    <row r="47" spans="1:11" ht="261" hidden="1" customHeight="1">
      <c r="A47" s="154" t="s">
        <v>265</v>
      </c>
      <c r="B47" s="47" t="s">
        <v>266</v>
      </c>
      <c r="C47" s="114" t="s">
        <v>267</v>
      </c>
      <c r="D47" s="165" t="s">
        <v>255</v>
      </c>
      <c r="E47" s="74">
        <v>7</v>
      </c>
      <c r="F47" s="66"/>
      <c r="G47" s="362" t="s">
        <v>102</v>
      </c>
      <c r="H47" s="167"/>
      <c r="I47" s="60"/>
      <c r="J47" s="61"/>
      <c r="K47" s="154" t="s">
        <v>47</v>
      </c>
    </row>
    <row r="48" spans="1:11" ht="130.5" hidden="1">
      <c r="A48" s="154" t="s">
        <v>268</v>
      </c>
      <c r="B48" s="47" t="s">
        <v>269</v>
      </c>
      <c r="C48" s="114" t="s">
        <v>267</v>
      </c>
      <c r="D48" s="165" t="s">
        <v>255</v>
      </c>
      <c r="E48" s="74">
        <v>7</v>
      </c>
      <c r="F48" s="66"/>
      <c r="G48" s="362" t="s">
        <v>102</v>
      </c>
      <c r="H48" s="97"/>
      <c r="I48" s="60"/>
      <c r="J48" s="61"/>
      <c r="K48" s="154" t="s">
        <v>47</v>
      </c>
    </row>
    <row r="49" spans="1:11" ht="130.5">
      <c r="A49" s="154" t="s">
        <v>270</v>
      </c>
      <c r="B49" s="76" t="s">
        <v>271</v>
      </c>
      <c r="C49" s="461" t="s">
        <v>272</v>
      </c>
      <c r="D49" s="466" t="s">
        <v>273</v>
      </c>
      <c r="E49" s="75">
        <v>9</v>
      </c>
      <c r="F49" s="66"/>
      <c r="G49" s="362" t="s">
        <v>102</v>
      </c>
      <c r="H49" s="65" t="s">
        <v>274</v>
      </c>
      <c r="I49" s="60"/>
      <c r="J49" s="502"/>
      <c r="K49" s="163" t="s">
        <v>53</v>
      </c>
    </row>
    <row r="50" spans="1:11" ht="130.5">
      <c r="A50" s="154" t="s">
        <v>275</v>
      </c>
      <c r="B50" s="76" t="s">
        <v>276</v>
      </c>
      <c r="C50" s="461" t="s">
        <v>277</v>
      </c>
      <c r="D50" s="466" t="s">
        <v>278</v>
      </c>
      <c r="E50" s="75">
        <v>9</v>
      </c>
      <c r="F50" s="66"/>
      <c r="G50" s="362" t="s">
        <v>102</v>
      </c>
      <c r="H50" s="97" t="s">
        <v>279</v>
      </c>
      <c r="I50" s="60"/>
      <c r="J50" s="502"/>
      <c r="K50" s="163" t="s">
        <v>53</v>
      </c>
    </row>
    <row r="51" spans="1:11" ht="118.5">
      <c r="A51" s="154" t="s">
        <v>280</v>
      </c>
      <c r="B51" s="76" t="s">
        <v>281</v>
      </c>
      <c r="C51" s="461" t="s">
        <v>282</v>
      </c>
      <c r="D51" s="466" t="s">
        <v>283</v>
      </c>
      <c r="E51" s="75">
        <v>9</v>
      </c>
      <c r="F51" s="66"/>
      <c r="G51" s="362" t="s">
        <v>102</v>
      </c>
      <c r="H51" s="97" t="s">
        <v>284</v>
      </c>
      <c r="I51" s="487"/>
      <c r="J51" s="502"/>
      <c r="K51" s="163" t="s">
        <v>53</v>
      </c>
    </row>
    <row r="52" spans="1:11" ht="130.5">
      <c r="A52" s="154" t="s">
        <v>285</v>
      </c>
      <c r="B52" s="76" t="s">
        <v>286</v>
      </c>
      <c r="C52" s="461" t="s">
        <v>287</v>
      </c>
      <c r="D52" s="466" t="s">
        <v>288</v>
      </c>
      <c r="E52" s="75">
        <v>9</v>
      </c>
      <c r="F52" s="66"/>
      <c r="G52" s="362" t="s">
        <v>102</v>
      </c>
      <c r="H52" s="97" t="s">
        <v>289</v>
      </c>
      <c r="I52" s="60"/>
      <c r="J52" s="502"/>
      <c r="K52" s="163" t="s">
        <v>53</v>
      </c>
    </row>
    <row r="53" spans="1:11" ht="130.5">
      <c r="A53" s="154" t="s">
        <v>290</v>
      </c>
      <c r="B53" s="76" t="s">
        <v>291</v>
      </c>
      <c r="C53" s="461" t="s">
        <v>292</v>
      </c>
      <c r="D53" s="466" t="s">
        <v>293</v>
      </c>
      <c r="E53" s="473">
        <v>10</v>
      </c>
      <c r="F53" s="309"/>
      <c r="G53" s="362" t="s">
        <v>102</v>
      </c>
      <c r="H53" s="97" t="s">
        <v>294</v>
      </c>
      <c r="I53" s="60"/>
      <c r="J53" s="61"/>
      <c r="K53" s="163" t="s">
        <v>53</v>
      </c>
    </row>
    <row r="54" spans="1:11" ht="201" customHeight="1">
      <c r="A54" s="154" t="s">
        <v>295</v>
      </c>
      <c r="B54" s="76" t="s">
        <v>296</v>
      </c>
      <c r="C54" s="461" t="s">
        <v>297</v>
      </c>
      <c r="D54" s="466" t="s">
        <v>293</v>
      </c>
      <c r="E54" s="473">
        <v>5</v>
      </c>
      <c r="F54" s="309"/>
      <c r="G54" s="362" t="s">
        <v>102</v>
      </c>
      <c r="H54" s="97" t="s">
        <v>298</v>
      </c>
      <c r="I54" s="60"/>
      <c r="J54" s="61"/>
      <c r="K54" s="163" t="s">
        <v>53</v>
      </c>
    </row>
    <row r="55" spans="1:11" ht="158.25" hidden="1" customHeight="1">
      <c r="A55" s="154" t="s">
        <v>299</v>
      </c>
      <c r="B55" s="47" t="s">
        <v>300</v>
      </c>
      <c r="C55" s="114" t="s">
        <v>301</v>
      </c>
      <c r="D55" s="165" t="s">
        <v>302</v>
      </c>
      <c r="E55" s="74">
        <v>5</v>
      </c>
      <c r="F55" s="66"/>
      <c r="G55" s="362" t="s">
        <v>102</v>
      </c>
      <c r="H55" s="97"/>
      <c r="I55" s="60"/>
      <c r="J55" s="61"/>
      <c r="K55" s="170" t="s">
        <v>55</v>
      </c>
    </row>
    <row r="56" spans="1:11" ht="60" hidden="1">
      <c r="A56" s="154" t="s">
        <v>303</v>
      </c>
      <c r="B56" s="101" t="s">
        <v>304</v>
      </c>
      <c r="C56" s="114" t="s">
        <v>305</v>
      </c>
      <c r="D56" s="165" t="s">
        <v>302</v>
      </c>
      <c r="E56" s="74">
        <v>5</v>
      </c>
      <c r="F56" s="66"/>
      <c r="G56" s="362" t="s">
        <v>102</v>
      </c>
      <c r="H56" s="97"/>
      <c r="I56" s="60"/>
      <c r="J56" s="61"/>
      <c r="K56" s="162" t="s">
        <v>55</v>
      </c>
    </row>
    <row r="57" spans="1:11" ht="60" hidden="1">
      <c r="A57" s="154" t="s">
        <v>306</v>
      </c>
      <c r="B57" s="101" t="s">
        <v>307</v>
      </c>
      <c r="C57" s="114" t="s">
        <v>308</v>
      </c>
      <c r="D57" s="165" t="s">
        <v>302</v>
      </c>
      <c r="E57" s="74">
        <v>5</v>
      </c>
      <c r="F57" s="66"/>
      <c r="G57" s="362" t="s">
        <v>102</v>
      </c>
      <c r="H57" s="97"/>
      <c r="I57" s="60"/>
      <c r="J57" s="61"/>
      <c r="K57" s="162" t="s">
        <v>55</v>
      </c>
    </row>
    <row r="58" spans="1:11" ht="139.5" hidden="1" customHeight="1">
      <c r="A58" s="154" t="s">
        <v>309</v>
      </c>
      <c r="B58" s="101" t="s">
        <v>310</v>
      </c>
      <c r="C58" s="114" t="s">
        <v>311</v>
      </c>
      <c r="D58" s="165" t="s">
        <v>302</v>
      </c>
      <c r="E58" s="74">
        <v>5</v>
      </c>
      <c r="F58" s="66"/>
      <c r="G58" s="362" t="s">
        <v>102</v>
      </c>
      <c r="H58" s="97"/>
      <c r="I58" s="60"/>
      <c r="J58" s="61"/>
      <c r="K58" s="162" t="s">
        <v>55</v>
      </c>
    </row>
    <row r="59" spans="1:11" ht="140.25" hidden="1" customHeight="1">
      <c r="A59" s="154" t="s">
        <v>312</v>
      </c>
      <c r="B59" s="101" t="s">
        <v>313</v>
      </c>
      <c r="C59" s="114" t="s">
        <v>314</v>
      </c>
      <c r="D59" s="165" t="s">
        <v>302</v>
      </c>
      <c r="E59" s="74">
        <v>5</v>
      </c>
      <c r="F59" s="66"/>
      <c r="G59" s="362" t="s">
        <v>102</v>
      </c>
      <c r="H59" s="97"/>
      <c r="I59" s="60"/>
      <c r="J59" s="61"/>
      <c r="K59" s="162" t="s">
        <v>55</v>
      </c>
    </row>
    <row r="60" spans="1:11" ht="191.25" hidden="1" customHeight="1">
      <c r="A60" s="154" t="s">
        <v>315</v>
      </c>
      <c r="B60" s="102" t="s">
        <v>58</v>
      </c>
      <c r="C60" s="114" t="s">
        <v>316</v>
      </c>
      <c r="D60" s="165" t="s">
        <v>317</v>
      </c>
      <c r="E60" s="74">
        <v>5</v>
      </c>
      <c r="F60" s="66"/>
      <c r="G60" s="362" t="s">
        <v>102</v>
      </c>
      <c r="H60" s="97"/>
      <c r="I60" s="60"/>
      <c r="J60" s="61"/>
      <c r="K60" s="162" t="s">
        <v>57</v>
      </c>
    </row>
    <row r="61" spans="1:11" ht="84" hidden="1">
      <c r="A61" s="154" t="s">
        <v>318</v>
      </c>
      <c r="B61" s="47" t="s">
        <v>319</v>
      </c>
      <c r="C61" s="114" t="s">
        <v>320</v>
      </c>
      <c r="D61" s="165" t="s">
        <v>321</v>
      </c>
      <c r="E61" s="74">
        <v>6</v>
      </c>
      <c r="F61" s="66"/>
      <c r="G61" s="362" t="s">
        <v>102</v>
      </c>
      <c r="H61" s="97"/>
      <c r="I61" s="60"/>
      <c r="J61" s="61"/>
      <c r="K61" s="162" t="s">
        <v>322</v>
      </c>
    </row>
    <row r="62" spans="1:11" ht="185.25" hidden="1" customHeight="1">
      <c r="A62" s="154" t="s">
        <v>323</v>
      </c>
      <c r="B62" s="47" t="s">
        <v>324</v>
      </c>
      <c r="C62" s="114" t="s">
        <v>320</v>
      </c>
      <c r="D62" s="165" t="s">
        <v>321</v>
      </c>
      <c r="E62" s="74">
        <v>6</v>
      </c>
      <c r="F62" s="66"/>
      <c r="G62" s="362" t="s">
        <v>102</v>
      </c>
      <c r="H62" s="64"/>
      <c r="I62" s="60"/>
      <c r="J62" s="61"/>
      <c r="K62" s="170" t="s">
        <v>322</v>
      </c>
    </row>
    <row r="63" spans="1:11" ht="91.5" hidden="1" customHeight="1">
      <c r="A63" s="154" t="s">
        <v>325</v>
      </c>
      <c r="B63" s="47" t="s">
        <v>326</v>
      </c>
      <c r="C63" s="114" t="s">
        <v>320</v>
      </c>
      <c r="D63" s="165" t="s">
        <v>321</v>
      </c>
      <c r="E63" s="74">
        <v>6</v>
      </c>
      <c r="F63" s="66"/>
      <c r="G63" s="362" t="s">
        <v>102</v>
      </c>
      <c r="H63" s="65"/>
      <c r="I63" s="60"/>
      <c r="J63" s="61"/>
      <c r="K63" s="170" t="s">
        <v>322</v>
      </c>
    </row>
    <row r="64" spans="1:11" ht="83.25" hidden="1" customHeight="1">
      <c r="A64" s="154" t="s">
        <v>327</v>
      </c>
      <c r="B64" s="47" t="s">
        <v>328</v>
      </c>
      <c r="C64" s="114" t="s">
        <v>320</v>
      </c>
      <c r="D64" s="165" t="s">
        <v>321</v>
      </c>
      <c r="E64" s="74">
        <v>6</v>
      </c>
      <c r="F64" s="66"/>
      <c r="G64" s="362" t="s">
        <v>102</v>
      </c>
      <c r="H64" s="97"/>
      <c r="I64" s="60"/>
      <c r="J64" s="61"/>
      <c r="K64" s="170" t="s">
        <v>322</v>
      </c>
    </row>
    <row r="65" spans="1:11" ht="84" hidden="1">
      <c r="A65" s="154" t="s">
        <v>329</v>
      </c>
      <c r="B65" s="47" t="s">
        <v>330</v>
      </c>
      <c r="C65" s="114" t="s">
        <v>320</v>
      </c>
      <c r="D65" s="165" t="s">
        <v>321</v>
      </c>
      <c r="E65" s="74">
        <v>6</v>
      </c>
      <c r="F65" s="66"/>
      <c r="G65" s="362" t="s">
        <v>102</v>
      </c>
      <c r="H65" s="65"/>
      <c r="I65" s="60"/>
      <c r="J65" s="61"/>
      <c r="K65" s="170" t="s">
        <v>322</v>
      </c>
    </row>
    <row r="66" spans="1:11" ht="85.5" hidden="1" customHeight="1">
      <c r="A66" s="154" t="s">
        <v>331</v>
      </c>
      <c r="B66" s="47" t="s">
        <v>62</v>
      </c>
      <c r="C66" s="114" t="s">
        <v>332</v>
      </c>
      <c r="D66" s="165" t="s">
        <v>333</v>
      </c>
      <c r="E66" s="74">
        <v>8</v>
      </c>
      <c r="F66" s="66"/>
      <c r="G66" s="362" t="s">
        <v>102</v>
      </c>
      <c r="H66" s="65"/>
      <c r="I66" s="60"/>
      <c r="J66" s="61"/>
      <c r="K66" s="170" t="s">
        <v>61</v>
      </c>
    </row>
    <row r="67" spans="1:11" ht="73.5" hidden="1" customHeight="1">
      <c r="A67" s="154" t="s">
        <v>334</v>
      </c>
      <c r="B67" s="47" t="s">
        <v>335</v>
      </c>
      <c r="C67" s="181" t="s">
        <v>336</v>
      </c>
      <c r="D67" s="165" t="s">
        <v>337</v>
      </c>
      <c r="E67" s="74">
        <v>6</v>
      </c>
      <c r="F67" s="66"/>
      <c r="G67" s="362" t="s">
        <v>102</v>
      </c>
      <c r="H67" s="97"/>
      <c r="I67" s="60"/>
      <c r="J67" s="61"/>
      <c r="K67" s="154" t="s">
        <v>63</v>
      </c>
    </row>
    <row r="68" spans="1:11" ht="175.5" hidden="1" customHeight="1">
      <c r="A68" s="154" t="s">
        <v>338</v>
      </c>
      <c r="B68" s="47" t="s">
        <v>339</v>
      </c>
      <c r="C68" s="114" t="s">
        <v>340</v>
      </c>
      <c r="D68" s="165" t="s">
        <v>341</v>
      </c>
      <c r="E68" s="74">
        <v>3</v>
      </c>
      <c r="F68" s="66"/>
      <c r="G68" s="362" t="s">
        <v>102</v>
      </c>
      <c r="H68" s="97" t="s">
        <v>342</v>
      </c>
      <c r="I68" s="60"/>
      <c r="J68" s="61"/>
      <c r="K68" s="154" t="s">
        <v>65</v>
      </c>
    </row>
    <row r="69" spans="1:11" ht="178.5" hidden="1" customHeight="1">
      <c r="A69" s="154" t="s">
        <v>343</v>
      </c>
      <c r="B69" s="47" t="s">
        <v>344</v>
      </c>
      <c r="C69" s="53" t="s">
        <v>345</v>
      </c>
      <c r="D69" s="122" t="s">
        <v>346</v>
      </c>
      <c r="E69" s="74">
        <v>3</v>
      </c>
      <c r="F69" s="66"/>
      <c r="G69" s="362" t="s">
        <v>102</v>
      </c>
      <c r="H69" s="97" t="s">
        <v>347</v>
      </c>
      <c r="I69" s="60"/>
      <c r="J69" s="61"/>
      <c r="K69" s="102" t="s">
        <v>65</v>
      </c>
    </row>
    <row r="70" spans="1:11" ht="227.25" hidden="1" customHeight="1">
      <c r="A70" s="154" t="s">
        <v>348</v>
      </c>
      <c r="B70" s="47" t="s">
        <v>349</v>
      </c>
      <c r="C70" s="53" t="s">
        <v>350</v>
      </c>
      <c r="D70" s="122" t="s">
        <v>351</v>
      </c>
      <c r="E70" s="74">
        <v>4</v>
      </c>
      <c r="F70" s="66"/>
      <c r="G70" s="362" t="s">
        <v>102</v>
      </c>
      <c r="H70" s="97" t="s">
        <v>352</v>
      </c>
      <c r="I70" s="60"/>
      <c r="J70" s="61"/>
      <c r="K70" s="102" t="s">
        <v>65</v>
      </c>
    </row>
    <row r="71" spans="1:11" ht="227.25" hidden="1" customHeight="1">
      <c r="A71" s="154" t="s">
        <v>353</v>
      </c>
      <c r="B71" s="47" t="s">
        <v>354</v>
      </c>
      <c r="C71" s="181" t="s">
        <v>355</v>
      </c>
      <c r="D71" s="186" t="s">
        <v>356</v>
      </c>
      <c r="E71" s="405">
        <v>3</v>
      </c>
      <c r="F71" s="47"/>
      <c r="G71" s="362" t="s">
        <v>102</v>
      </c>
      <c r="H71" s="47" t="s">
        <v>357</v>
      </c>
      <c r="I71" s="47"/>
      <c r="J71" s="47"/>
      <c r="K71" s="47" t="s">
        <v>67</v>
      </c>
    </row>
    <row r="72" spans="1:11" ht="227.25" hidden="1" customHeight="1">
      <c r="A72" s="154" t="s">
        <v>358</v>
      </c>
      <c r="B72" s="47" t="s">
        <v>359</v>
      </c>
      <c r="C72" s="114" t="s">
        <v>360</v>
      </c>
      <c r="D72" s="165" t="s">
        <v>361</v>
      </c>
      <c r="E72" s="405">
        <v>3</v>
      </c>
      <c r="F72" s="47"/>
      <c r="G72" s="362" t="s">
        <v>102</v>
      </c>
      <c r="H72" s="47" t="s">
        <v>362</v>
      </c>
      <c r="I72" s="47"/>
      <c r="J72" s="47"/>
      <c r="K72" s="47" t="s">
        <v>67</v>
      </c>
    </row>
    <row r="73" spans="1:11" ht="60" hidden="1">
      <c r="A73" s="154" t="s">
        <v>363</v>
      </c>
      <c r="B73" s="47" t="s">
        <v>364</v>
      </c>
      <c r="C73" s="53" t="s">
        <v>365</v>
      </c>
      <c r="D73" s="122" t="s">
        <v>366</v>
      </c>
      <c r="E73" s="405">
        <v>4</v>
      </c>
      <c r="F73" s="47"/>
      <c r="G73" s="362" t="s">
        <v>102</v>
      </c>
      <c r="H73" s="47" t="s">
        <v>367</v>
      </c>
      <c r="I73" s="47"/>
      <c r="J73" s="47"/>
      <c r="K73" s="47" t="s">
        <v>67</v>
      </c>
    </row>
    <row r="74" spans="1:11" ht="142.5" hidden="1">
      <c r="A74" s="154" t="s">
        <v>368</v>
      </c>
      <c r="B74" s="47" t="s">
        <v>369</v>
      </c>
      <c r="C74" s="114" t="s">
        <v>370</v>
      </c>
      <c r="D74" s="165" t="s">
        <v>371</v>
      </c>
      <c r="E74" s="74">
        <v>5</v>
      </c>
      <c r="F74" s="66"/>
      <c r="G74" s="362" t="s">
        <v>102</v>
      </c>
      <c r="H74" s="97" t="s">
        <v>372</v>
      </c>
      <c r="I74" s="60"/>
      <c r="J74" s="61"/>
      <c r="K74" s="102" t="s">
        <v>69</v>
      </c>
    </row>
    <row r="75" spans="1:11" ht="166.5" hidden="1">
      <c r="A75" s="154" t="s">
        <v>373</v>
      </c>
      <c r="B75" s="47" t="s">
        <v>374</v>
      </c>
      <c r="C75" s="114" t="s">
        <v>375</v>
      </c>
      <c r="D75" s="165" t="s">
        <v>376</v>
      </c>
      <c r="E75" s="74">
        <v>3</v>
      </c>
      <c r="F75" s="66"/>
      <c r="G75" s="362" t="s">
        <v>102</v>
      </c>
      <c r="H75" s="97"/>
      <c r="I75" s="60"/>
      <c r="J75" s="61"/>
      <c r="K75" s="47" t="s">
        <v>71</v>
      </c>
    </row>
    <row r="76" spans="1:11" ht="219" hidden="1" customHeight="1">
      <c r="A76" s="154" t="s">
        <v>377</v>
      </c>
      <c r="B76" s="47" t="s">
        <v>378</v>
      </c>
      <c r="C76" s="53" t="s">
        <v>379</v>
      </c>
      <c r="D76" s="122" t="s">
        <v>380</v>
      </c>
      <c r="E76" s="74">
        <v>3</v>
      </c>
      <c r="F76" s="66"/>
      <c r="G76" s="362" t="s">
        <v>102</v>
      </c>
      <c r="H76" s="97" t="s">
        <v>381</v>
      </c>
      <c r="I76" s="60"/>
      <c r="J76" s="61"/>
      <c r="K76" s="47" t="s">
        <v>71</v>
      </c>
    </row>
    <row r="77" spans="1:11" ht="84.75" hidden="1" customHeight="1">
      <c r="A77" s="154" t="s">
        <v>382</v>
      </c>
      <c r="B77" s="47" t="s">
        <v>383</v>
      </c>
      <c r="C77" s="114" t="s">
        <v>384</v>
      </c>
      <c r="D77" s="165" t="s">
        <v>385</v>
      </c>
      <c r="E77" s="74">
        <v>4</v>
      </c>
      <c r="F77" s="66"/>
      <c r="G77" s="362" t="s">
        <v>102</v>
      </c>
      <c r="H77" s="97" t="s">
        <v>386</v>
      </c>
      <c r="I77" s="60"/>
      <c r="J77" s="61"/>
      <c r="K77" s="47" t="s">
        <v>71</v>
      </c>
    </row>
    <row r="78" spans="1:11" ht="166.5" hidden="1">
      <c r="A78" s="154" t="s">
        <v>387</v>
      </c>
      <c r="B78" s="47" t="s">
        <v>388</v>
      </c>
      <c r="C78" s="114" t="s">
        <v>389</v>
      </c>
      <c r="D78" s="165" t="s">
        <v>390</v>
      </c>
      <c r="E78" s="74">
        <v>3</v>
      </c>
      <c r="F78" s="66"/>
      <c r="G78" s="362" t="s">
        <v>102</v>
      </c>
      <c r="H78" s="97"/>
      <c r="I78" s="60"/>
      <c r="J78" s="61"/>
      <c r="K78" s="47" t="s">
        <v>71</v>
      </c>
    </row>
    <row r="79" spans="1:11" ht="72" hidden="1">
      <c r="A79" s="154" t="s">
        <v>391</v>
      </c>
      <c r="B79" s="47" t="s">
        <v>392</v>
      </c>
      <c r="C79" s="114" t="s">
        <v>393</v>
      </c>
      <c r="D79" s="165" t="s">
        <v>394</v>
      </c>
      <c r="E79" s="74">
        <v>3</v>
      </c>
      <c r="F79" s="66"/>
      <c r="G79" s="362" t="s">
        <v>102</v>
      </c>
      <c r="H79" s="97" t="s">
        <v>395</v>
      </c>
      <c r="I79" s="169"/>
      <c r="J79" s="170"/>
      <c r="K79" s="47" t="s">
        <v>71</v>
      </c>
    </row>
    <row r="80" spans="1:11" ht="79.5" hidden="1" customHeight="1">
      <c r="A80" s="154" t="s">
        <v>396</v>
      </c>
      <c r="B80" s="47" t="s">
        <v>397</v>
      </c>
      <c r="C80" s="114" t="s">
        <v>398</v>
      </c>
      <c r="D80" s="165" t="s">
        <v>399</v>
      </c>
      <c r="E80" s="74">
        <v>4</v>
      </c>
      <c r="F80" s="66"/>
      <c r="G80" s="362" t="s">
        <v>102</v>
      </c>
      <c r="H80" s="97" t="s">
        <v>400</v>
      </c>
      <c r="I80" s="169"/>
      <c r="J80" s="170"/>
      <c r="K80" s="47" t="s">
        <v>71</v>
      </c>
    </row>
    <row r="81" spans="1:11" ht="107.25" hidden="1">
      <c r="A81" s="154" t="s">
        <v>401</v>
      </c>
      <c r="B81" s="47" t="s">
        <v>402</v>
      </c>
      <c r="C81" s="114" t="s">
        <v>403</v>
      </c>
      <c r="D81" s="165" t="s">
        <v>404</v>
      </c>
      <c r="E81" s="74">
        <v>5</v>
      </c>
      <c r="F81" s="66"/>
      <c r="G81" s="362" t="s">
        <v>102</v>
      </c>
      <c r="H81" s="171" t="s">
        <v>405</v>
      </c>
      <c r="I81" s="172"/>
      <c r="J81" s="172"/>
      <c r="K81" s="102" t="s">
        <v>73</v>
      </c>
    </row>
    <row r="82" spans="1:11" ht="107.25" hidden="1">
      <c r="A82" s="154" t="s">
        <v>406</v>
      </c>
      <c r="B82" s="47" t="s">
        <v>407</v>
      </c>
      <c r="C82" s="181" t="s">
        <v>408</v>
      </c>
      <c r="D82" s="165" t="s">
        <v>409</v>
      </c>
      <c r="E82" s="74">
        <v>5</v>
      </c>
      <c r="F82" s="66"/>
      <c r="G82" s="362" t="s">
        <v>102</v>
      </c>
      <c r="H82" s="171" t="s">
        <v>410</v>
      </c>
      <c r="I82" s="172"/>
      <c r="J82" s="172"/>
      <c r="K82" s="102" t="s">
        <v>73</v>
      </c>
    </row>
    <row r="83" spans="1:11" ht="166.5" hidden="1">
      <c r="A83" s="154" t="s">
        <v>411</v>
      </c>
      <c r="B83" s="47" t="s">
        <v>412</v>
      </c>
      <c r="C83" s="114" t="s">
        <v>413</v>
      </c>
      <c r="D83" s="165" t="s">
        <v>414</v>
      </c>
      <c r="E83" s="74">
        <v>3</v>
      </c>
      <c r="F83" s="66"/>
      <c r="G83" s="362" t="s">
        <v>102</v>
      </c>
      <c r="H83" s="487"/>
      <c r="I83" s="172"/>
      <c r="J83" s="172"/>
      <c r="K83" s="507" t="s">
        <v>75</v>
      </c>
    </row>
    <row r="84" spans="1:11" ht="72" hidden="1">
      <c r="A84" s="154" t="s">
        <v>415</v>
      </c>
      <c r="B84" s="47" t="s">
        <v>416</v>
      </c>
      <c r="C84" s="114" t="s">
        <v>417</v>
      </c>
      <c r="D84" s="165" t="s">
        <v>418</v>
      </c>
      <c r="E84" s="74">
        <v>3</v>
      </c>
      <c r="F84" s="66"/>
      <c r="G84" s="362" t="s">
        <v>102</v>
      </c>
      <c r="H84" s="487" t="s">
        <v>419</v>
      </c>
      <c r="I84" s="172"/>
      <c r="J84" s="172"/>
      <c r="K84" s="507" t="s">
        <v>75</v>
      </c>
    </row>
    <row r="85" spans="1:11" ht="72" hidden="1">
      <c r="A85" s="154" t="s">
        <v>420</v>
      </c>
      <c r="B85" s="47" t="s">
        <v>421</v>
      </c>
      <c r="C85" s="114" t="s">
        <v>422</v>
      </c>
      <c r="D85" s="165" t="s">
        <v>423</v>
      </c>
      <c r="E85" s="74">
        <v>4</v>
      </c>
      <c r="F85" s="66"/>
      <c r="G85" s="362" t="s">
        <v>102</v>
      </c>
      <c r="H85" s="487" t="s">
        <v>424</v>
      </c>
      <c r="I85" s="172"/>
      <c r="J85" s="172"/>
      <c r="K85" s="507" t="s">
        <v>75</v>
      </c>
    </row>
    <row r="86" spans="1:11" ht="130.5" hidden="1">
      <c r="A86" s="154" t="s">
        <v>425</v>
      </c>
      <c r="B86" s="47" t="s">
        <v>426</v>
      </c>
      <c r="C86" s="114" t="s">
        <v>427</v>
      </c>
      <c r="D86" s="165" t="s">
        <v>428</v>
      </c>
      <c r="E86" s="74">
        <v>3</v>
      </c>
      <c r="F86" s="66"/>
      <c r="G86" s="362" t="s">
        <v>102</v>
      </c>
      <c r="H86" s="487"/>
      <c r="I86" s="172"/>
      <c r="J86" s="172"/>
      <c r="K86" s="487" t="s">
        <v>77</v>
      </c>
    </row>
    <row r="87" spans="1:11" ht="72" hidden="1">
      <c r="A87" s="154" t="s">
        <v>429</v>
      </c>
      <c r="B87" s="47" t="s">
        <v>430</v>
      </c>
      <c r="C87" s="114" t="s">
        <v>431</v>
      </c>
      <c r="D87" s="165" t="s">
        <v>432</v>
      </c>
      <c r="E87" s="74">
        <v>3</v>
      </c>
      <c r="F87" s="66"/>
      <c r="G87" s="362" t="s">
        <v>102</v>
      </c>
      <c r="H87" s="487" t="s">
        <v>433</v>
      </c>
      <c r="I87" s="172"/>
      <c r="J87" s="172"/>
      <c r="K87" s="487" t="s">
        <v>77</v>
      </c>
    </row>
    <row r="88" spans="1:11" ht="72" hidden="1">
      <c r="A88" s="154" t="s">
        <v>434</v>
      </c>
      <c r="B88" s="47" t="s">
        <v>435</v>
      </c>
      <c r="C88" s="114" t="s">
        <v>436</v>
      </c>
      <c r="D88" s="165" t="s">
        <v>437</v>
      </c>
      <c r="E88" s="116">
        <v>4</v>
      </c>
      <c r="F88" s="66"/>
      <c r="G88" s="362" t="s">
        <v>102</v>
      </c>
      <c r="H88" s="487" t="s">
        <v>438</v>
      </c>
      <c r="I88" s="172"/>
      <c r="J88" s="172"/>
      <c r="K88" s="487" t="s">
        <v>77</v>
      </c>
    </row>
    <row r="89" spans="1:11" ht="118.5" hidden="1">
      <c r="A89" s="154" t="s">
        <v>439</v>
      </c>
      <c r="B89" s="47" t="s">
        <v>440</v>
      </c>
      <c r="C89" s="181" t="s">
        <v>441</v>
      </c>
      <c r="D89" s="165" t="s">
        <v>442</v>
      </c>
      <c r="E89" s="115">
        <v>5</v>
      </c>
      <c r="F89" s="66"/>
      <c r="G89" s="362" t="s">
        <v>102</v>
      </c>
      <c r="H89" s="487" t="s">
        <v>443</v>
      </c>
      <c r="I89" s="172"/>
      <c r="J89" s="172"/>
      <c r="K89" s="487" t="s">
        <v>79</v>
      </c>
    </row>
    <row r="90" spans="1:11" ht="78" hidden="1" customHeight="1">
      <c r="A90" s="154" t="s">
        <v>444</v>
      </c>
      <c r="B90" s="127" t="s">
        <v>445</v>
      </c>
      <c r="C90" s="181" t="s">
        <v>446</v>
      </c>
      <c r="D90" s="165" t="s">
        <v>447</v>
      </c>
      <c r="E90" s="199">
        <v>5</v>
      </c>
      <c r="F90" s="108"/>
      <c r="G90" s="362" t="s">
        <v>102</v>
      </c>
      <c r="H90" s="484" t="s">
        <v>448</v>
      </c>
      <c r="I90" s="154"/>
      <c r="J90" s="154"/>
      <c r="K90" s="102" t="s">
        <v>81</v>
      </c>
    </row>
    <row r="91" spans="1:11" ht="119.25" hidden="1" customHeight="1">
      <c r="A91" s="154" t="s">
        <v>449</v>
      </c>
      <c r="B91" s="127" t="s">
        <v>450</v>
      </c>
      <c r="C91" s="181" t="s">
        <v>451</v>
      </c>
      <c r="D91" s="165" t="s">
        <v>452</v>
      </c>
      <c r="E91" s="199">
        <v>5</v>
      </c>
      <c r="F91" s="108"/>
      <c r="G91" s="362" t="s">
        <v>102</v>
      </c>
      <c r="H91" s="484" t="s">
        <v>453</v>
      </c>
      <c r="I91" s="154"/>
      <c r="J91" s="154"/>
      <c r="K91" s="154" t="s">
        <v>81</v>
      </c>
    </row>
    <row r="92" spans="1:11" ht="87.75" hidden="1" customHeight="1">
      <c r="A92" s="154" t="s">
        <v>454</v>
      </c>
      <c r="B92" s="127" t="s">
        <v>455</v>
      </c>
      <c r="C92" s="47" t="s">
        <v>456</v>
      </c>
      <c r="D92" s="165" t="s">
        <v>457</v>
      </c>
      <c r="E92" s="199">
        <v>5</v>
      </c>
      <c r="F92" s="108"/>
      <c r="G92" s="362" t="s">
        <v>102</v>
      </c>
      <c r="H92" s="484" t="s">
        <v>458</v>
      </c>
      <c r="I92" s="154"/>
      <c r="J92" s="154"/>
      <c r="K92" s="154" t="s">
        <v>81</v>
      </c>
    </row>
    <row r="93" spans="1:11" ht="130.5" hidden="1">
      <c r="A93" s="154" t="s">
        <v>459</v>
      </c>
      <c r="B93" s="127" t="s">
        <v>460</v>
      </c>
      <c r="C93" s="181" t="s">
        <v>461</v>
      </c>
      <c r="D93" s="165" t="s">
        <v>462</v>
      </c>
      <c r="E93" s="199">
        <v>5</v>
      </c>
      <c r="F93" s="108"/>
      <c r="G93" s="362" t="s">
        <v>102</v>
      </c>
      <c r="H93" s="484" t="s">
        <v>463</v>
      </c>
      <c r="I93" s="154"/>
      <c r="J93" s="154"/>
      <c r="K93" s="154" t="s">
        <v>81</v>
      </c>
    </row>
    <row r="94" spans="1:11" ht="118.5" hidden="1">
      <c r="A94" s="154" t="s">
        <v>464</v>
      </c>
      <c r="B94" s="127" t="s">
        <v>465</v>
      </c>
      <c r="C94" s="47" t="s">
        <v>466</v>
      </c>
      <c r="D94" s="165" t="s">
        <v>467</v>
      </c>
      <c r="E94" s="75">
        <v>5</v>
      </c>
      <c r="F94" s="108"/>
      <c r="G94" s="362" t="s">
        <v>102</v>
      </c>
      <c r="H94" s="484" t="s">
        <v>468</v>
      </c>
      <c r="I94" s="154"/>
      <c r="J94" s="154"/>
      <c r="K94" s="198" t="s">
        <v>81</v>
      </c>
    </row>
    <row r="95" spans="1:11" ht="130.5" hidden="1">
      <c r="A95" s="154" t="s">
        <v>469</v>
      </c>
      <c r="B95" s="127" t="s">
        <v>470</v>
      </c>
      <c r="C95" s="181" t="s">
        <v>471</v>
      </c>
      <c r="D95" s="165" t="s">
        <v>462</v>
      </c>
      <c r="E95" s="75">
        <v>5</v>
      </c>
      <c r="F95" s="108"/>
      <c r="G95" s="362" t="s">
        <v>102</v>
      </c>
      <c r="H95" s="203" t="s">
        <v>472</v>
      </c>
      <c r="I95" s="154"/>
      <c r="J95" s="501"/>
      <c r="K95" s="154" t="s">
        <v>81</v>
      </c>
    </row>
    <row r="96" spans="1:11" ht="77.25" hidden="1" customHeight="1">
      <c r="A96" s="154" t="s">
        <v>473</v>
      </c>
      <c r="B96" s="47" t="s">
        <v>474</v>
      </c>
      <c r="C96" s="114" t="s">
        <v>475</v>
      </c>
      <c r="D96" s="165" t="s">
        <v>476</v>
      </c>
      <c r="E96" s="52">
        <v>3</v>
      </c>
      <c r="F96" s="66"/>
      <c r="G96" s="362" t="s">
        <v>102</v>
      </c>
      <c r="H96" s="173"/>
      <c r="I96" s="172"/>
      <c r="J96" s="275"/>
      <c r="K96" s="172" t="s">
        <v>83</v>
      </c>
    </row>
    <row r="97" spans="1:11" ht="72" hidden="1">
      <c r="A97" s="154" t="s">
        <v>477</v>
      </c>
      <c r="B97" s="47" t="s">
        <v>478</v>
      </c>
      <c r="C97" s="114" t="s">
        <v>479</v>
      </c>
      <c r="D97" s="165" t="s">
        <v>480</v>
      </c>
      <c r="E97" s="52">
        <v>3</v>
      </c>
      <c r="F97" s="66"/>
      <c r="G97" s="362" t="s">
        <v>102</v>
      </c>
      <c r="H97" s="173" t="s">
        <v>481</v>
      </c>
      <c r="I97" s="172"/>
      <c r="J97" s="275"/>
      <c r="K97" s="172" t="s">
        <v>83</v>
      </c>
    </row>
    <row r="98" spans="1:11" ht="72" hidden="1">
      <c r="A98" s="154" t="s">
        <v>482</v>
      </c>
      <c r="B98" s="47" t="s">
        <v>483</v>
      </c>
      <c r="C98" s="114" t="s">
        <v>484</v>
      </c>
      <c r="D98" s="165" t="s">
        <v>485</v>
      </c>
      <c r="E98" s="115">
        <v>4</v>
      </c>
      <c r="F98" s="66"/>
      <c r="G98" s="362" t="s">
        <v>102</v>
      </c>
      <c r="H98" s="173" t="s">
        <v>486</v>
      </c>
      <c r="I98" s="172"/>
      <c r="J98" s="172"/>
      <c r="K98" s="256" t="s">
        <v>83</v>
      </c>
    </row>
    <row r="99" spans="1:11" ht="154.5" hidden="1">
      <c r="A99" s="154" t="s">
        <v>487</v>
      </c>
      <c r="B99" s="47" t="s">
        <v>488</v>
      </c>
      <c r="C99" s="183" t="s">
        <v>489</v>
      </c>
      <c r="D99" s="165" t="s">
        <v>490</v>
      </c>
      <c r="E99" s="471">
        <v>3</v>
      </c>
      <c r="F99" s="478"/>
      <c r="G99" s="362" t="s">
        <v>102</v>
      </c>
      <c r="H99" s="173"/>
      <c r="I99" s="172"/>
      <c r="J99" s="172"/>
      <c r="K99" s="504" t="s">
        <v>83</v>
      </c>
    </row>
    <row r="100" spans="1:11" ht="72" hidden="1">
      <c r="A100" s="154" t="s">
        <v>491</v>
      </c>
      <c r="B100" s="47" t="s">
        <v>492</v>
      </c>
      <c r="C100" s="183" t="s">
        <v>493</v>
      </c>
      <c r="D100" s="165" t="s">
        <v>494</v>
      </c>
      <c r="E100" s="469">
        <v>3</v>
      </c>
      <c r="F100" s="478"/>
      <c r="G100" s="362" t="s">
        <v>102</v>
      </c>
      <c r="H100" s="173" t="s">
        <v>495</v>
      </c>
      <c r="I100" s="172"/>
      <c r="J100" s="172"/>
      <c r="K100" s="504" t="s">
        <v>83</v>
      </c>
    </row>
    <row r="101" spans="1:11" ht="60" hidden="1">
      <c r="A101" s="154" t="s">
        <v>496</v>
      </c>
      <c r="B101" s="47" t="s">
        <v>497</v>
      </c>
      <c r="C101" s="183" t="s">
        <v>498</v>
      </c>
      <c r="D101" s="165" t="s">
        <v>499</v>
      </c>
      <c r="E101" s="469">
        <v>4</v>
      </c>
      <c r="F101" s="478"/>
      <c r="G101" s="362" t="s">
        <v>102</v>
      </c>
      <c r="H101" s="173" t="s">
        <v>500</v>
      </c>
      <c r="I101" s="172"/>
      <c r="J101" s="172"/>
      <c r="K101" s="172" t="s">
        <v>83</v>
      </c>
    </row>
    <row r="102" spans="1:11" ht="166.5" hidden="1">
      <c r="A102" s="154" t="s">
        <v>501</v>
      </c>
      <c r="B102" s="47" t="s">
        <v>502</v>
      </c>
      <c r="C102" s="183" t="s">
        <v>503</v>
      </c>
      <c r="D102" s="165" t="s">
        <v>504</v>
      </c>
      <c r="E102" s="469">
        <v>3</v>
      </c>
      <c r="F102" s="478"/>
      <c r="G102" s="362" t="s">
        <v>102</v>
      </c>
      <c r="H102" s="154"/>
      <c r="I102" s="172"/>
      <c r="J102" s="172"/>
      <c r="K102" s="154" t="s">
        <v>83</v>
      </c>
    </row>
    <row r="103" spans="1:11" ht="72" hidden="1">
      <c r="A103" s="154" t="s">
        <v>505</v>
      </c>
      <c r="B103" s="47" t="s">
        <v>506</v>
      </c>
      <c r="C103" s="183" t="s">
        <v>507</v>
      </c>
      <c r="D103" s="165" t="s">
        <v>508</v>
      </c>
      <c r="E103" s="469">
        <v>3</v>
      </c>
      <c r="F103" s="478"/>
      <c r="G103" s="362" t="s">
        <v>102</v>
      </c>
      <c r="H103" s="94" t="s">
        <v>509</v>
      </c>
      <c r="I103" s="172"/>
      <c r="J103" s="172"/>
      <c r="K103" s="154" t="s">
        <v>83</v>
      </c>
    </row>
    <row r="104" spans="1:11" ht="72" hidden="1">
      <c r="A104" s="154" t="s">
        <v>510</v>
      </c>
      <c r="B104" s="175" t="s">
        <v>511</v>
      </c>
      <c r="C104" s="183" t="s">
        <v>512</v>
      </c>
      <c r="D104" s="165" t="s">
        <v>513</v>
      </c>
      <c r="E104" s="176">
        <v>4</v>
      </c>
      <c r="F104" s="480"/>
      <c r="G104" s="362" t="s">
        <v>102</v>
      </c>
      <c r="H104" s="94" t="s">
        <v>514</v>
      </c>
      <c r="I104" s="180"/>
      <c r="J104" s="180"/>
      <c r="K104" s="198" t="s">
        <v>83</v>
      </c>
    </row>
    <row r="105" spans="1:11" ht="72" hidden="1">
      <c r="A105" s="154" t="s">
        <v>515</v>
      </c>
      <c r="B105" s="458" t="s">
        <v>516</v>
      </c>
      <c r="C105" s="183" t="s">
        <v>517</v>
      </c>
      <c r="D105" s="165" t="s">
        <v>518</v>
      </c>
      <c r="E105" s="468">
        <v>3</v>
      </c>
      <c r="F105" s="105"/>
      <c r="G105" s="362" t="s">
        <v>102</v>
      </c>
      <c r="H105" s="154" t="s">
        <v>519</v>
      </c>
      <c r="I105" s="154"/>
      <c r="J105" s="154"/>
      <c r="K105" s="198" t="s">
        <v>85</v>
      </c>
    </row>
    <row r="106" spans="1:11" ht="72" hidden="1">
      <c r="A106" s="154" t="s">
        <v>520</v>
      </c>
      <c r="B106" s="458" t="s">
        <v>521</v>
      </c>
      <c r="C106" s="183" t="s">
        <v>522</v>
      </c>
      <c r="D106" s="165" t="s">
        <v>523</v>
      </c>
      <c r="E106" s="468">
        <v>4</v>
      </c>
      <c r="F106" s="105"/>
      <c r="G106" s="362" t="s">
        <v>102</v>
      </c>
      <c r="H106" s="154" t="s">
        <v>524</v>
      </c>
      <c r="I106" s="154"/>
      <c r="J106" s="154"/>
      <c r="K106" s="198" t="s">
        <v>85</v>
      </c>
    </row>
    <row r="107" spans="1:11" ht="72" hidden="1">
      <c r="A107" s="154" t="s">
        <v>525</v>
      </c>
      <c r="B107" s="459" t="s">
        <v>526</v>
      </c>
      <c r="C107" s="100" t="s">
        <v>527</v>
      </c>
      <c r="D107" s="165" t="s">
        <v>528</v>
      </c>
      <c r="E107" s="468">
        <v>3</v>
      </c>
      <c r="F107" s="105"/>
      <c r="G107" s="362" t="s">
        <v>102</v>
      </c>
      <c r="H107" s="154" t="s">
        <v>529</v>
      </c>
      <c r="I107" s="154"/>
      <c r="J107" s="154"/>
      <c r="K107" s="154" t="s">
        <v>85</v>
      </c>
    </row>
    <row r="108" spans="1:11" ht="72" hidden="1">
      <c r="A108" s="154" t="s">
        <v>530</v>
      </c>
      <c r="B108" s="459" t="s">
        <v>531</v>
      </c>
      <c r="C108" s="183" t="s">
        <v>532</v>
      </c>
      <c r="D108" s="165" t="s">
        <v>533</v>
      </c>
      <c r="E108" s="468">
        <v>4</v>
      </c>
      <c r="F108" s="105"/>
      <c r="G108" s="362" t="s">
        <v>102</v>
      </c>
      <c r="H108" s="154" t="s">
        <v>534</v>
      </c>
      <c r="I108" s="154"/>
      <c r="J108" s="154"/>
      <c r="K108" s="154" t="s">
        <v>85</v>
      </c>
    </row>
    <row r="109" spans="1:11" ht="72" hidden="1">
      <c r="A109" s="154" t="s">
        <v>535</v>
      </c>
      <c r="B109" s="459" t="s">
        <v>536</v>
      </c>
      <c r="C109" s="183" t="s">
        <v>537</v>
      </c>
      <c r="D109" s="165" t="s">
        <v>538</v>
      </c>
      <c r="E109" s="468">
        <v>3</v>
      </c>
      <c r="F109" s="105"/>
      <c r="G109" s="362" t="s">
        <v>102</v>
      </c>
      <c r="H109" s="154" t="s">
        <v>539</v>
      </c>
      <c r="I109" s="154"/>
      <c r="J109" s="154"/>
      <c r="K109" s="154" t="s">
        <v>85</v>
      </c>
    </row>
    <row r="110" spans="1:11" ht="72" hidden="1">
      <c r="A110" s="154" t="s">
        <v>540</v>
      </c>
      <c r="B110" s="459" t="s">
        <v>541</v>
      </c>
      <c r="C110" s="183" t="s">
        <v>542</v>
      </c>
      <c r="D110" s="165" t="s">
        <v>543</v>
      </c>
      <c r="E110" s="468">
        <v>4</v>
      </c>
      <c r="F110" s="105"/>
      <c r="G110" s="362" t="s">
        <v>102</v>
      </c>
      <c r="H110" s="154" t="s">
        <v>544</v>
      </c>
      <c r="I110" s="154"/>
      <c r="J110" s="154"/>
      <c r="K110" s="154" t="s">
        <v>85</v>
      </c>
    </row>
    <row r="111" spans="1:11" ht="72" hidden="1">
      <c r="A111" s="154" t="s">
        <v>545</v>
      </c>
      <c r="B111" s="127" t="s">
        <v>546</v>
      </c>
      <c r="C111" s="183" t="s">
        <v>547</v>
      </c>
      <c r="D111" s="165" t="s">
        <v>548</v>
      </c>
      <c r="E111" s="468">
        <v>3</v>
      </c>
      <c r="F111" s="105"/>
      <c r="G111" s="362" t="s">
        <v>102</v>
      </c>
      <c r="H111" s="154" t="s">
        <v>549</v>
      </c>
      <c r="I111" s="154"/>
      <c r="J111" s="154"/>
      <c r="K111" s="154" t="s">
        <v>85</v>
      </c>
    </row>
    <row r="112" spans="1:11" ht="72" hidden="1">
      <c r="A112" s="154" t="s">
        <v>550</v>
      </c>
      <c r="B112" s="127" t="s">
        <v>551</v>
      </c>
      <c r="C112" s="183" t="s">
        <v>552</v>
      </c>
      <c r="D112" s="165" t="s">
        <v>553</v>
      </c>
      <c r="E112" s="472">
        <v>4</v>
      </c>
      <c r="F112" s="298"/>
      <c r="G112" s="362" t="s">
        <v>102</v>
      </c>
      <c r="H112" s="198" t="s">
        <v>554</v>
      </c>
      <c r="I112" s="198"/>
      <c r="J112" s="198"/>
      <c r="K112" s="154" t="s">
        <v>85</v>
      </c>
    </row>
    <row r="113" spans="1:519" ht="72" hidden="1">
      <c r="A113" s="154" t="s">
        <v>555</v>
      </c>
      <c r="B113" s="127" t="s">
        <v>556</v>
      </c>
      <c r="C113" s="183" t="s">
        <v>557</v>
      </c>
      <c r="D113" s="165" t="s">
        <v>558</v>
      </c>
      <c r="E113" s="470">
        <v>3</v>
      </c>
      <c r="F113" s="192"/>
      <c r="G113" s="362" t="s">
        <v>102</v>
      </c>
      <c r="H113" s="94" t="s">
        <v>559</v>
      </c>
      <c r="I113" s="154"/>
      <c r="J113" s="154"/>
      <c r="K113" s="154" t="s">
        <v>85</v>
      </c>
      <c r="SY113" s="57" t="s">
        <v>560</v>
      </c>
    </row>
    <row r="114" spans="1:519" ht="72" hidden="1">
      <c r="A114" s="154" t="s">
        <v>561</v>
      </c>
      <c r="B114" s="127" t="s">
        <v>562</v>
      </c>
      <c r="C114" s="183" t="s">
        <v>563</v>
      </c>
      <c r="D114" s="165" t="s">
        <v>564</v>
      </c>
      <c r="E114" s="470">
        <v>4</v>
      </c>
      <c r="F114" s="192"/>
      <c r="G114" s="362" t="s">
        <v>102</v>
      </c>
      <c r="H114" s="94" t="s">
        <v>565</v>
      </c>
      <c r="I114" s="154"/>
      <c r="J114" s="154"/>
      <c r="K114" s="154" t="s">
        <v>85</v>
      </c>
    </row>
    <row r="115" spans="1:519" ht="262.5" hidden="1">
      <c r="A115" s="154" t="s">
        <v>566</v>
      </c>
      <c r="B115" s="459" t="s">
        <v>567</v>
      </c>
      <c r="C115" s="183" t="s">
        <v>568</v>
      </c>
      <c r="D115" s="165" t="s">
        <v>569</v>
      </c>
      <c r="E115" s="470">
        <v>13</v>
      </c>
      <c r="F115" s="192"/>
      <c r="G115" s="362" t="s">
        <v>102</v>
      </c>
      <c r="H115" s="154"/>
      <c r="I115" s="172"/>
      <c r="J115" s="172"/>
      <c r="K115" s="187" t="s">
        <v>570</v>
      </c>
    </row>
    <row r="116" spans="1:519" ht="250.5" hidden="1">
      <c r="A116" s="154" t="s">
        <v>571</v>
      </c>
      <c r="B116" s="459" t="s">
        <v>572</v>
      </c>
      <c r="C116" s="183" t="s">
        <v>573</v>
      </c>
      <c r="D116" s="165" t="s">
        <v>574</v>
      </c>
      <c r="E116" s="470">
        <v>13</v>
      </c>
      <c r="F116" s="192"/>
      <c r="G116" s="362" t="s">
        <v>102</v>
      </c>
      <c r="H116" s="154"/>
      <c r="I116" s="198"/>
      <c r="J116" s="198"/>
      <c r="K116" s="187" t="s">
        <v>570</v>
      </c>
    </row>
    <row r="117" spans="1:519" ht="274.5" hidden="1">
      <c r="A117" s="154" t="s">
        <v>575</v>
      </c>
      <c r="B117" s="459" t="s">
        <v>576</v>
      </c>
      <c r="C117" s="183" t="s">
        <v>577</v>
      </c>
      <c r="D117" s="165" t="s">
        <v>578</v>
      </c>
      <c r="E117" s="470">
        <v>13</v>
      </c>
      <c r="F117" s="192"/>
      <c r="G117" s="362" t="s">
        <v>102</v>
      </c>
      <c r="H117" s="154"/>
      <c r="I117" s="198"/>
      <c r="J117" s="198"/>
      <c r="K117" s="187" t="s">
        <v>570</v>
      </c>
    </row>
    <row r="118" spans="1:519" ht="274.5" hidden="1">
      <c r="A118" s="154" t="s">
        <v>579</v>
      </c>
      <c r="B118" s="196" t="s">
        <v>580</v>
      </c>
      <c r="C118" s="183" t="s">
        <v>581</v>
      </c>
      <c r="D118" s="165" t="s">
        <v>582</v>
      </c>
      <c r="E118" s="194">
        <v>13</v>
      </c>
      <c r="F118" s="195"/>
      <c r="G118" s="362" t="s">
        <v>102</v>
      </c>
      <c r="H118" s="154"/>
      <c r="I118" s="154"/>
      <c r="J118" s="154"/>
      <c r="K118" s="187" t="s">
        <v>570</v>
      </c>
    </row>
    <row r="119" spans="1:519" ht="274.5" hidden="1">
      <c r="A119" s="154" t="s">
        <v>583</v>
      </c>
      <c r="B119" s="196" t="s">
        <v>584</v>
      </c>
      <c r="C119" s="183" t="s">
        <v>585</v>
      </c>
      <c r="D119" s="165" t="s">
        <v>586</v>
      </c>
      <c r="E119" s="194">
        <v>13</v>
      </c>
      <c r="F119" s="195"/>
      <c r="G119" s="362" t="s">
        <v>102</v>
      </c>
      <c r="H119" s="154"/>
      <c r="I119" s="154"/>
      <c r="J119" s="154"/>
      <c r="K119" s="187" t="s">
        <v>570</v>
      </c>
    </row>
    <row r="120" spans="1:519" ht="166.5" hidden="1">
      <c r="A120" s="154" t="s">
        <v>587</v>
      </c>
      <c r="B120" s="186" t="s">
        <v>588</v>
      </c>
      <c r="C120" s="181" t="s">
        <v>336</v>
      </c>
      <c r="D120" s="165" t="s">
        <v>589</v>
      </c>
      <c r="E120" s="74">
        <v>6</v>
      </c>
      <c r="F120" s="341"/>
      <c r="G120" s="362" t="s">
        <v>102</v>
      </c>
      <c r="H120" s="235"/>
      <c r="I120" s="169"/>
      <c r="J120" s="170"/>
      <c r="K120" s="398" t="s">
        <v>590</v>
      </c>
    </row>
    <row r="121" spans="1:519" ht="178.5" hidden="1">
      <c r="A121" s="154" t="s">
        <v>591</v>
      </c>
      <c r="B121" s="186" t="s">
        <v>592</v>
      </c>
      <c r="C121" s="114" t="s">
        <v>593</v>
      </c>
      <c r="D121" s="165" t="s">
        <v>594</v>
      </c>
      <c r="E121" s="74">
        <v>3</v>
      </c>
      <c r="F121" s="341"/>
      <c r="G121" s="362" t="s">
        <v>102</v>
      </c>
      <c r="H121" s="235" t="s">
        <v>595</v>
      </c>
      <c r="I121" s="169"/>
      <c r="J121" s="170"/>
      <c r="K121" s="154" t="s">
        <v>596</v>
      </c>
    </row>
    <row r="122" spans="1:519" ht="72" hidden="1">
      <c r="A122" s="154" t="s">
        <v>597</v>
      </c>
      <c r="B122" s="186" t="s">
        <v>598</v>
      </c>
      <c r="C122" s="114" t="s">
        <v>599</v>
      </c>
      <c r="D122" s="165" t="s">
        <v>600</v>
      </c>
      <c r="E122" s="74">
        <v>3</v>
      </c>
      <c r="F122" s="341"/>
      <c r="G122" s="362" t="s">
        <v>102</v>
      </c>
      <c r="H122" s="235" t="s">
        <v>601</v>
      </c>
      <c r="I122" s="169"/>
      <c r="J122" s="170"/>
      <c r="K122" s="154" t="s">
        <v>596</v>
      </c>
    </row>
    <row r="123" spans="1:519" ht="60" hidden="1">
      <c r="A123" s="154" t="s">
        <v>602</v>
      </c>
      <c r="B123" s="186" t="s">
        <v>603</v>
      </c>
      <c r="C123" s="114" t="s">
        <v>604</v>
      </c>
      <c r="D123" s="165" t="s">
        <v>351</v>
      </c>
      <c r="E123" s="74">
        <v>4</v>
      </c>
      <c r="F123" s="341"/>
      <c r="G123" s="362" t="s">
        <v>102</v>
      </c>
      <c r="H123" s="235" t="s">
        <v>605</v>
      </c>
      <c r="I123" s="169"/>
      <c r="J123" s="170"/>
      <c r="K123" s="154" t="s">
        <v>596</v>
      </c>
    </row>
    <row r="124" spans="1:519" ht="154.5" hidden="1">
      <c r="A124" s="154" t="s">
        <v>606</v>
      </c>
      <c r="B124" s="186" t="s">
        <v>607</v>
      </c>
      <c r="C124" s="181" t="s">
        <v>370</v>
      </c>
      <c r="D124" s="186" t="s">
        <v>608</v>
      </c>
      <c r="E124" s="405">
        <v>5</v>
      </c>
      <c r="F124" s="181"/>
      <c r="G124" s="362" t="s">
        <v>102</v>
      </c>
      <c r="H124" s="186" t="s">
        <v>609</v>
      </c>
      <c r="I124" s="186"/>
      <c r="J124" s="186"/>
      <c r="K124" s="186" t="s">
        <v>610</v>
      </c>
    </row>
    <row r="125" spans="1:519" ht="190.5" hidden="1">
      <c r="A125" s="154" t="s">
        <v>611</v>
      </c>
      <c r="B125" s="186" t="s">
        <v>612</v>
      </c>
      <c r="C125" s="181" t="s">
        <v>355</v>
      </c>
      <c r="D125" s="186" t="s">
        <v>613</v>
      </c>
      <c r="E125" s="405">
        <v>3</v>
      </c>
      <c r="F125" s="181"/>
      <c r="G125" s="362" t="s">
        <v>102</v>
      </c>
      <c r="H125" s="186" t="s">
        <v>614</v>
      </c>
      <c r="I125" s="186"/>
      <c r="J125" s="186"/>
      <c r="K125" s="186" t="s">
        <v>615</v>
      </c>
    </row>
    <row r="126" spans="1:519" ht="178.5" hidden="1">
      <c r="A126" s="154" t="s">
        <v>616</v>
      </c>
      <c r="B126" s="186" t="s">
        <v>617</v>
      </c>
      <c r="C126" s="181" t="s">
        <v>618</v>
      </c>
      <c r="D126" s="186" t="s">
        <v>619</v>
      </c>
      <c r="E126" s="405">
        <v>3</v>
      </c>
      <c r="F126" s="181"/>
      <c r="G126" s="362" t="s">
        <v>102</v>
      </c>
      <c r="H126" s="186" t="s">
        <v>620</v>
      </c>
      <c r="I126" s="186"/>
      <c r="J126" s="186"/>
      <c r="K126" s="186" t="s">
        <v>615</v>
      </c>
    </row>
    <row r="127" spans="1:519" ht="72" hidden="1">
      <c r="A127" s="154" t="s">
        <v>621</v>
      </c>
      <c r="B127" s="438" t="s">
        <v>622</v>
      </c>
      <c r="C127" s="114" t="s">
        <v>623</v>
      </c>
      <c r="D127" s="165" t="s">
        <v>624</v>
      </c>
      <c r="E127" s="405">
        <v>3</v>
      </c>
      <c r="F127" s="181"/>
      <c r="G127" s="362" t="s">
        <v>102</v>
      </c>
      <c r="H127" s="186" t="s">
        <v>625</v>
      </c>
      <c r="I127" s="186"/>
      <c r="J127" s="186"/>
      <c r="K127" s="186" t="s">
        <v>615</v>
      </c>
    </row>
    <row r="128" spans="1:519" ht="60" hidden="1">
      <c r="A128" s="154" t="s">
        <v>626</v>
      </c>
      <c r="B128" s="438" t="s">
        <v>627</v>
      </c>
      <c r="C128" s="114" t="s">
        <v>628</v>
      </c>
      <c r="D128" s="165" t="s">
        <v>629</v>
      </c>
      <c r="E128" s="405">
        <v>4</v>
      </c>
      <c r="F128" s="181"/>
      <c r="G128" s="362" t="s">
        <v>102</v>
      </c>
      <c r="H128" s="186" t="s">
        <v>630</v>
      </c>
      <c r="I128" s="186"/>
      <c r="J128" s="186"/>
      <c r="K128" s="186" t="s">
        <v>615</v>
      </c>
    </row>
    <row r="129" spans="1:11" ht="190.5" hidden="1">
      <c r="A129" s="154" t="s">
        <v>631</v>
      </c>
      <c r="B129" s="438" t="s">
        <v>632</v>
      </c>
      <c r="C129" s="114" t="s">
        <v>413</v>
      </c>
      <c r="D129" s="165" t="s">
        <v>633</v>
      </c>
      <c r="E129" s="74">
        <v>3</v>
      </c>
      <c r="F129" s="341"/>
      <c r="G129" s="362" t="s">
        <v>102</v>
      </c>
      <c r="H129" s="172"/>
      <c r="I129" s="172"/>
      <c r="J129" s="172"/>
      <c r="K129" s="172" t="s">
        <v>634</v>
      </c>
    </row>
    <row r="130" spans="1:11" ht="72" hidden="1">
      <c r="A130" s="154" t="s">
        <v>635</v>
      </c>
      <c r="B130" s="438" t="s">
        <v>636</v>
      </c>
      <c r="C130" s="114" t="s">
        <v>637</v>
      </c>
      <c r="D130" s="165" t="s">
        <v>418</v>
      </c>
      <c r="E130" s="74">
        <v>3</v>
      </c>
      <c r="F130" s="341"/>
      <c r="G130" s="362" t="s">
        <v>102</v>
      </c>
      <c r="H130" s="172" t="s">
        <v>638</v>
      </c>
      <c r="I130" s="172"/>
      <c r="J130" s="172"/>
      <c r="K130" s="172" t="s">
        <v>634</v>
      </c>
    </row>
    <row r="131" spans="1:11" ht="72" hidden="1">
      <c r="A131" s="154" t="s">
        <v>639</v>
      </c>
      <c r="B131" s="438" t="s">
        <v>640</v>
      </c>
      <c r="C131" s="114" t="s">
        <v>641</v>
      </c>
      <c r="D131" s="165" t="s">
        <v>423</v>
      </c>
      <c r="E131" s="74">
        <v>4</v>
      </c>
      <c r="F131" s="341"/>
      <c r="G131" s="362" t="s">
        <v>102</v>
      </c>
      <c r="H131" s="172" t="s">
        <v>642</v>
      </c>
      <c r="I131" s="172"/>
      <c r="J131" s="172"/>
      <c r="K131" s="172" t="s">
        <v>634</v>
      </c>
    </row>
    <row r="132" spans="1:11" ht="142.5" hidden="1">
      <c r="A132" s="154" t="s">
        <v>643</v>
      </c>
      <c r="B132" s="438" t="s">
        <v>644</v>
      </c>
      <c r="C132" s="114" t="s">
        <v>441</v>
      </c>
      <c r="D132" s="165" t="s">
        <v>645</v>
      </c>
      <c r="E132" s="52">
        <v>5</v>
      </c>
      <c r="F132" s="341"/>
      <c r="G132" s="362" t="s">
        <v>102</v>
      </c>
      <c r="H132" s="172" t="s">
        <v>646</v>
      </c>
      <c r="I132" s="172"/>
      <c r="J132" s="172"/>
      <c r="K132" s="172" t="s">
        <v>647</v>
      </c>
    </row>
    <row r="133" spans="1:11" ht="166.5" hidden="1">
      <c r="A133" s="154" t="s">
        <v>648</v>
      </c>
      <c r="B133" s="186" t="s">
        <v>649</v>
      </c>
      <c r="C133" s="114" t="s">
        <v>427</v>
      </c>
      <c r="D133" s="165" t="s">
        <v>650</v>
      </c>
      <c r="E133" s="74">
        <v>3</v>
      </c>
      <c r="F133" s="341"/>
      <c r="G133" s="362" t="s">
        <v>102</v>
      </c>
      <c r="H133" s="172"/>
      <c r="I133" s="172"/>
      <c r="J133" s="172"/>
      <c r="K133" s="172" t="s">
        <v>651</v>
      </c>
    </row>
    <row r="134" spans="1:11" ht="72" hidden="1">
      <c r="A134" s="154" t="s">
        <v>652</v>
      </c>
      <c r="B134" s="186" t="s">
        <v>653</v>
      </c>
      <c r="C134" s="114" t="s">
        <v>654</v>
      </c>
      <c r="D134" s="165" t="s">
        <v>432</v>
      </c>
      <c r="E134" s="52">
        <v>3</v>
      </c>
      <c r="F134" s="341"/>
      <c r="G134" s="362" t="s">
        <v>102</v>
      </c>
      <c r="H134" s="172" t="s">
        <v>655</v>
      </c>
      <c r="I134" s="172"/>
      <c r="J134" s="172"/>
      <c r="K134" s="172" t="s">
        <v>651</v>
      </c>
    </row>
    <row r="135" spans="1:11" ht="72" hidden="1">
      <c r="A135" s="154" t="s">
        <v>656</v>
      </c>
      <c r="B135" s="186" t="s">
        <v>657</v>
      </c>
      <c r="C135" s="114" t="s">
        <v>658</v>
      </c>
      <c r="D135" s="165" t="s">
        <v>437</v>
      </c>
      <c r="E135" s="52">
        <v>4</v>
      </c>
      <c r="F135" s="341"/>
      <c r="G135" s="362" t="s">
        <v>102</v>
      </c>
      <c r="H135" s="172" t="s">
        <v>659</v>
      </c>
      <c r="I135" s="172"/>
      <c r="J135" s="172"/>
      <c r="K135" s="172" t="s">
        <v>651</v>
      </c>
    </row>
    <row r="136" spans="1:11" ht="178.5" hidden="1">
      <c r="A136" s="154" t="s">
        <v>660</v>
      </c>
      <c r="B136" s="193" t="s">
        <v>661</v>
      </c>
      <c r="C136" s="183" t="s">
        <v>662</v>
      </c>
      <c r="D136" s="165" t="s">
        <v>663</v>
      </c>
      <c r="E136" s="194">
        <v>3</v>
      </c>
      <c r="F136" s="195"/>
      <c r="G136" s="362" t="s">
        <v>102</v>
      </c>
      <c r="H136" s="94"/>
      <c r="I136" s="154"/>
      <c r="J136" s="154"/>
      <c r="K136" s="154" t="s">
        <v>664</v>
      </c>
    </row>
    <row r="137" spans="1:11" ht="72" hidden="1">
      <c r="A137" s="154" t="s">
        <v>665</v>
      </c>
      <c r="B137" s="193" t="s">
        <v>666</v>
      </c>
      <c r="C137" s="183" t="s">
        <v>667</v>
      </c>
      <c r="D137" s="165" t="s">
        <v>668</v>
      </c>
      <c r="E137" s="194">
        <v>3</v>
      </c>
      <c r="F137" s="195"/>
      <c r="G137" s="362" t="s">
        <v>102</v>
      </c>
      <c r="H137" s="486" t="s">
        <v>669</v>
      </c>
      <c r="I137" s="154"/>
      <c r="J137" s="154"/>
      <c r="K137" s="154" t="s">
        <v>664</v>
      </c>
    </row>
    <row r="138" spans="1:11" ht="75" hidden="1" customHeight="1">
      <c r="A138" s="154" t="s">
        <v>670</v>
      </c>
      <c r="B138" s="193" t="s">
        <v>671</v>
      </c>
      <c r="C138" s="183" t="s">
        <v>672</v>
      </c>
      <c r="D138" s="165" t="s">
        <v>673</v>
      </c>
      <c r="E138" s="194">
        <v>4</v>
      </c>
      <c r="F138" s="195"/>
      <c r="G138" s="362" t="s">
        <v>102</v>
      </c>
      <c r="H138" s="486" t="s">
        <v>674</v>
      </c>
      <c r="I138" s="198"/>
      <c r="J138" s="198"/>
      <c r="K138" s="154" t="s">
        <v>664</v>
      </c>
    </row>
    <row r="139" spans="1:11" ht="166.5" hidden="1">
      <c r="A139" s="154" t="s">
        <v>675</v>
      </c>
      <c r="B139" s="193" t="s">
        <v>676</v>
      </c>
      <c r="C139" s="183" t="s">
        <v>677</v>
      </c>
      <c r="D139" s="165" t="s">
        <v>678</v>
      </c>
      <c r="E139" s="468">
        <v>3</v>
      </c>
      <c r="F139" s="105"/>
      <c r="G139" s="362" t="s">
        <v>102</v>
      </c>
      <c r="H139" s="94"/>
      <c r="I139" s="154"/>
      <c r="J139" s="198"/>
      <c r="K139" s="154" t="s">
        <v>664</v>
      </c>
    </row>
    <row r="140" spans="1:11" ht="72" hidden="1">
      <c r="A140" s="154" t="s">
        <v>679</v>
      </c>
      <c r="B140" s="193" t="s">
        <v>680</v>
      </c>
      <c r="C140" s="183" t="s">
        <v>681</v>
      </c>
      <c r="D140" s="165" t="s">
        <v>682</v>
      </c>
      <c r="E140" s="194">
        <v>3</v>
      </c>
      <c r="F140" s="105"/>
      <c r="G140" s="362" t="s">
        <v>102</v>
      </c>
      <c r="H140" s="485" t="s">
        <v>683</v>
      </c>
      <c r="I140" s="154"/>
      <c r="J140" s="154"/>
      <c r="K140" s="154" t="s">
        <v>664</v>
      </c>
    </row>
    <row r="141" spans="1:11" ht="72" hidden="1">
      <c r="A141" s="154" t="s">
        <v>684</v>
      </c>
      <c r="B141" s="193" t="s">
        <v>685</v>
      </c>
      <c r="C141" s="183" t="s">
        <v>686</v>
      </c>
      <c r="D141" s="165" t="s">
        <v>687</v>
      </c>
      <c r="E141" s="194">
        <v>4</v>
      </c>
      <c r="F141" s="105"/>
      <c r="G141" s="362" t="s">
        <v>102</v>
      </c>
      <c r="H141" s="485" t="s">
        <v>688</v>
      </c>
      <c r="I141" s="154"/>
      <c r="J141" s="154"/>
      <c r="K141" s="154" t="s">
        <v>664</v>
      </c>
    </row>
    <row r="142" spans="1:11" ht="166.5" hidden="1">
      <c r="A142" s="154" t="s">
        <v>689</v>
      </c>
      <c r="B142" s="457" t="s">
        <v>690</v>
      </c>
      <c r="C142" s="183" t="s">
        <v>691</v>
      </c>
      <c r="D142" s="165" t="s">
        <v>692</v>
      </c>
      <c r="E142" s="75">
        <v>3</v>
      </c>
      <c r="F142" s="479"/>
      <c r="G142" s="362" t="s">
        <v>102</v>
      </c>
      <c r="H142" s="173"/>
      <c r="I142" s="172"/>
      <c r="J142" s="172"/>
      <c r="K142" s="154" t="s">
        <v>664</v>
      </c>
    </row>
    <row r="143" spans="1:11" ht="72" hidden="1">
      <c r="A143" s="154" t="s">
        <v>693</v>
      </c>
      <c r="B143" s="457" t="s">
        <v>694</v>
      </c>
      <c r="C143" s="183" t="s">
        <v>695</v>
      </c>
      <c r="D143" s="165" t="s">
        <v>696</v>
      </c>
      <c r="E143" s="194">
        <v>3</v>
      </c>
      <c r="F143" s="477"/>
      <c r="G143" s="362" t="s">
        <v>102</v>
      </c>
      <c r="H143" s="173" t="s">
        <v>697</v>
      </c>
      <c r="I143" s="172"/>
      <c r="J143" s="172"/>
      <c r="K143" s="154" t="s">
        <v>664</v>
      </c>
    </row>
    <row r="144" spans="1:11" ht="72" hidden="1">
      <c r="A144" s="154" t="s">
        <v>698</v>
      </c>
      <c r="B144" s="457" t="s">
        <v>699</v>
      </c>
      <c r="C144" s="183" t="s">
        <v>700</v>
      </c>
      <c r="D144" s="165" t="s">
        <v>701</v>
      </c>
      <c r="E144" s="194">
        <v>4</v>
      </c>
      <c r="F144" s="477"/>
      <c r="G144" s="362" t="s">
        <v>102</v>
      </c>
      <c r="H144" s="173" t="s">
        <v>702</v>
      </c>
      <c r="I144" s="172"/>
      <c r="J144" s="172"/>
      <c r="K144" s="154" t="s">
        <v>664</v>
      </c>
    </row>
    <row r="145" spans="1:11" ht="202.5" hidden="1">
      <c r="A145" s="154" t="s">
        <v>703</v>
      </c>
      <c r="B145" s="127" t="s">
        <v>704</v>
      </c>
      <c r="C145" s="100" t="s">
        <v>705</v>
      </c>
      <c r="D145" s="165" t="s">
        <v>706</v>
      </c>
      <c r="E145" s="75">
        <v>3</v>
      </c>
      <c r="F145" s="205"/>
      <c r="G145" s="362" t="s">
        <v>102</v>
      </c>
      <c r="H145" s="203"/>
      <c r="I145" s="172"/>
      <c r="J145" s="172"/>
      <c r="K145" s="172" t="s">
        <v>707</v>
      </c>
    </row>
    <row r="146" spans="1:11" ht="72" hidden="1">
      <c r="A146" s="154" t="s">
        <v>708</v>
      </c>
      <c r="B146" s="127" t="s">
        <v>709</v>
      </c>
      <c r="C146" s="100" t="s">
        <v>710</v>
      </c>
      <c r="D146" s="165" t="s">
        <v>711</v>
      </c>
      <c r="E146" s="75">
        <v>3</v>
      </c>
      <c r="F146" s="205"/>
      <c r="G146" s="362" t="s">
        <v>102</v>
      </c>
      <c r="H146" s="203" t="s">
        <v>712</v>
      </c>
      <c r="I146" s="154"/>
      <c r="J146" s="154"/>
      <c r="K146" s="154" t="s">
        <v>707</v>
      </c>
    </row>
    <row r="147" spans="1:11" ht="72" hidden="1">
      <c r="A147" s="154" t="s">
        <v>713</v>
      </c>
      <c r="B147" s="127" t="s">
        <v>714</v>
      </c>
      <c r="C147" s="100" t="s">
        <v>715</v>
      </c>
      <c r="D147" s="165" t="s">
        <v>716</v>
      </c>
      <c r="E147" s="75">
        <v>4</v>
      </c>
      <c r="F147" s="205"/>
      <c r="G147" s="362" t="s">
        <v>102</v>
      </c>
      <c r="H147" s="203" t="s">
        <v>717</v>
      </c>
      <c r="I147" s="154"/>
      <c r="J147" s="154"/>
      <c r="K147" s="154" t="s">
        <v>707</v>
      </c>
    </row>
    <row r="148" spans="1:11" ht="154.5" hidden="1">
      <c r="A148" s="154" t="s">
        <v>718</v>
      </c>
      <c r="B148" s="127" t="s">
        <v>719</v>
      </c>
      <c r="C148" s="47" t="s">
        <v>720</v>
      </c>
      <c r="D148" s="165" t="s">
        <v>721</v>
      </c>
      <c r="E148" s="75">
        <v>5</v>
      </c>
      <c r="F148" s="205"/>
      <c r="G148" s="362" t="s">
        <v>102</v>
      </c>
      <c r="H148" s="203" t="s">
        <v>722</v>
      </c>
      <c r="I148" s="154"/>
      <c r="J148" s="154"/>
      <c r="K148" s="398" t="s">
        <v>723</v>
      </c>
    </row>
    <row r="149" spans="1:11" ht="142.5" hidden="1">
      <c r="A149" s="154" t="s">
        <v>724</v>
      </c>
      <c r="B149" s="127" t="s">
        <v>725</v>
      </c>
      <c r="C149" s="47" t="s">
        <v>726</v>
      </c>
      <c r="D149" s="165" t="s">
        <v>727</v>
      </c>
      <c r="E149" s="75">
        <v>5</v>
      </c>
      <c r="F149" s="205"/>
      <c r="G149" s="362" t="s">
        <v>102</v>
      </c>
      <c r="H149" s="203" t="s">
        <v>728</v>
      </c>
      <c r="I149" s="154"/>
      <c r="J149" s="154"/>
      <c r="K149" s="398" t="s">
        <v>723</v>
      </c>
    </row>
    <row r="150" spans="1:11" ht="142.5" hidden="1">
      <c r="A150" s="154" t="s">
        <v>729</v>
      </c>
      <c r="B150" s="127" t="s">
        <v>730</v>
      </c>
      <c r="C150" s="47" t="s">
        <v>731</v>
      </c>
      <c r="D150" s="165" t="s">
        <v>732</v>
      </c>
      <c r="E150" s="75">
        <v>5</v>
      </c>
      <c r="F150" s="205"/>
      <c r="G150" s="362" t="s">
        <v>102</v>
      </c>
      <c r="H150" s="203" t="s">
        <v>733</v>
      </c>
      <c r="I150" s="154"/>
      <c r="J150" s="154"/>
      <c r="K150" s="398" t="s">
        <v>723</v>
      </c>
    </row>
    <row r="151" spans="1:11" ht="154.5" hidden="1">
      <c r="A151" s="154" t="s">
        <v>734</v>
      </c>
      <c r="B151" s="127" t="s">
        <v>735</v>
      </c>
      <c r="C151" s="47" t="s">
        <v>736</v>
      </c>
      <c r="D151" s="165" t="s">
        <v>737</v>
      </c>
      <c r="E151" s="75">
        <v>5</v>
      </c>
      <c r="F151" s="205"/>
      <c r="G151" s="362" t="s">
        <v>102</v>
      </c>
      <c r="H151" s="203" t="s">
        <v>738</v>
      </c>
      <c r="I151" s="154"/>
      <c r="J151" s="154"/>
      <c r="K151" s="398" t="s">
        <v>723</v>
      </c>
    </row>
    <row r="152" spans="1:11" ht="142.5" hidden="1">
      <c r="A152" s="154" t="s">
        <v>739</v>
      </c>
      <c r="B152" s="47" t="s">
        <v>740</v>
      </c>
      <c r="C152" s="53" t="s">
        <v>375</v>
      </c>
      <c r="D152" s="165" t="s">
        <v>741</v>
      </c>
      <c r="E152" s="74">
        <v>3</v>
      </c>
      <c r="F152" s="341"/>
      <c r="G152" s="362" t="s">
        <v>102</v>
      </c>
      <c r="H152" s="235"/>
      <c r="I152" s="169"/>
      <c r="J152" s="170"/>
      <c r="K152" s="186" t="s">
        <v>742</v>
      </c>
    </row>
    <row r="153" spans="1:11" ht="72" hidden="1">
      <c r="A153" s="154" t="s">
        <v>743</v>
      </c>
      <c r="B153" s="47" t="s">
        <v>744</v>
      </c>
      <c r="C153" s="53" t="s">
        <v>745</v>
      </c>
      <c r="D153" s="165" t="s">
        <v>380</v>
      </c>
      <c r="E153" s="74">
        <v>3</v>
      </c>
      <c r="F153" s="341"/>
      <c r="G153" s="362" t="s">
        <v>102</v>
      </c>
      <c r="H153" s="235" t="s">
        <v>746</v>
      </c>
      <c r="I153" s="169"/>
      <c r="J153" s="170"/>
      <c r="K153" s="186" t="s">
        <v>742</v>
      </c>
    </row>
    <row r="154" spans="1:11" ht="60" hidden="1">
      <c r="A154" s="154" t="s">
        <v>747</v>
      </c>
      <c r="B154" s="47" t="s">
        <v>748</v>
      </c>
      <c r="C154" s="223" t="s">
        <v>749</v>
      </c>
      <c r="D154" s="421" t="s">
        <v>385</v>
      </c>
      <c r="E154" s="74">
        <v>4</v>
      </c>
      <c r="F154" s="476"/>
      <c r="G154" s="436" t="s">
        <v>102</v>
      </c>
      <c r="H154" s="235" t="s">
        <v>750</v>
      </c>
      <c r="I154" s="494"/>
      <c r="J154" s="403"/>
      <c r="K154" s="186" t="s">
        <v>742</v>
      </c>
    </row>
    <row r="155" spans="1:11" ht="153.75" hidden="1" customHeight="1">
      <c r="A155" s="154" t="s">
        <v>751</v>
      </c>
      <c r="B155" s="181" t="s">
        <v>752</v>
      </c>
      <c r="C155" s="462" t="s">
        <v>389</v>
      </c>
      <c r="D155" s="421" t="s">
        <v>753</v>
      </c>
      <c r="E155" s="474">
        <v>3</v>
      </c>
      <c r="F155" s="481"/>
      <c r="G155" s="362" t="s">
        <v>102</v>
      </c>
      <c r="H155" s="490"/>
      <c r="I155" s="494"/>
      <c r="J155" s="403"/>
      <c r="K155" s="506" t="s">
        <v>742</v>
      </c>
    </row>
    <row r="156" spans="1:11" ht="138.75" hidden="1" customHeight="1">
      <c r="A156" s="154" t="s">
        <v>754</v>
      </c>
      <c r="B156" s="181" t="s">
        <v>755</v>
      </c>
      <c r="C156" s="228" t="s">
        <v>756</v>
      </c>
      <c r="D156" s="421" t="s">
        <v>394</v>
      </c>
      <c r="E156" s="191">
        <v>3</v>
      </c>
      <c r="F156" s="230"/>
      <c r="G156" s="362" t="s">
        <v>102</v>
      </c>
      <c r="H156" s="490" t="s">
        <v>757</v>
      </c>
      <c r="I156" s="169"/>
      <c r="J156" s="170"/>
      <c r="K156" s="506" t="s">
        <v>742</v>
      </c>
    </row>
    <row r="157" spans="1:11" ht="138.75" hidden="1" customHeight="1">
      <c r="A157" s="154" t="s">
        <v>758</v>
      </c>
      <c r="B157" s="181" t="s">
        <v>759</v>
      </c>
      <c r="C157" s="464" t="s">
        <v>760</v>
      </c>
      <c r="D157" s="165" t="s">
        <v>399</v>
      </c>
      <c r="E157" s="475">
        <v>4</v>
      </c>
      <c r="F157" s="230"/>
      <c r="G157" s="362" t="s">
        <v>102</v>
      </c>
      <c r="H157" s="235" t="s">
        <v>761</v>
      </c>
      <c r="I157" s="497"/>
      <c r="J157" s="170"/>
      <c r="K157" s="506" t="s">
        <v>742</v>
      </c>
    </row>
    <row r="158" spans="1:11" ht="95.25" hidden="1" customHeight="1">
      <c r="A158" s="154" t="s">
        <v>762</v>
      </c>
      <c r="B158" s="181" t="s">
        <v>763</v>
      </c>
      <c r="C158" s="460" t="s">
        <v>403</v>
      </c>
      <c r="D158" s="465" t="s">
        <v>764</v>
      </c>
      <c r="E158" s="111">
        <v>5</v>
      </c>
      <c r="F158" s="439"/>
      <c r="G158" s="362" t="s">
        <v>102</v>
      </c>
      <c r="H158" s="483" t="s">
        <v>765</v>
      </c>
      <c r="I158" s="493"/>
      <c r="J158" s="500"/>
      <c r="K158" s="398" t="s">
        <v>766</v>
      </c>
    </row>
    <row r="159" spans="1:11" ht="83.25" hidden="1" customHeight="1">
      <c r="A159" s="154" t="s">
        <v>767</v>
      </c>
      <c r="B159" s="181" t="s">
        <v>768</v>
      </c>
      <c r="C159" s="181" t="s">
        <v>408</v>
      </c>
      <c r="D159" s="467" t="s">
        <v>769</v>
      </c>
      <c r="E159" s="74">
        <v>5</v>
      </c>
      <c r="F159" s="341"/>
      <c r="G159" s="362" t="s">
        <v>102</v>
      </c>
      <c r="H159" s="492" t="s">
        <v>770</v>
      </c>
      <c r="I159" s="172"/>
      <c r="J159" s="172"/>
      <c r="K159" s="398" t="s">
        <v>766</v>
      </c>
    </row>
    <row r="160" spans="1:11" ht="154.5" hidden="1">
      <c r="A160" s="154" t="s">
        <v>771</v>
      </c>
      <c r="B160" s="435" t="s">
        <v>772</v>
      </c>
      <c r="C160" s="181" t="s">
        <v>773</v>
      </c>
      <c r="D160" s="467" t="s">
        <v>774</v>
      </c>
      <c r="E160" s="75">
        <v>8</v>
      </c>
      <c r="F160" s="205"/>
      <c r="G160" s="441" t="s">
        <v>102</v>
      </c>
      <c r="H160" s="203" t="s">
        <v>342</v>
      </c>
      <c r="I160" s="154"/>
      <c r="J160" s="154"/>
      <c r="K160" s="398" t="s">
        <v>775</v>
      </c>
    </row>
    <row r="161" spans="1:11" ht="82.5" hidden="1" customHeight="1">
      <c r="A161" s="154" t="s">
        <v>776</v>
      </c>
      <c r="B161" s="435" t="s">
        <v>777</v>
      </c>
      <c r="C161" s="181" t="s">
        <v>778</v>
      </c>
      <c r="D161" s="467" t="s">
        <v>779</v>
      </c>
      <c r="E161" s="75">
        <v>6</v>
      </c>
      <c r="F161" s="205"/>
      <c r="G161" s="441" t="s">
        <v>102</v>
      </c>
      <c r="H161" s="203" t="s">
        <v>342</v>
      </c>
      <c r="I161" s="154"/>
      <c r="J161" s="154"/>
      <c r="K161" s="398" t="s">
        <v>780</v>
      </c>
    </row>
    <row r="162" spans="1:11" ht="126.75" hidden="1" customHeight="1">
      <c r="A162" s="154" t="s">
        <v>781</v>
      </c>
      <c r="B162" s="435" t="s">
        <v>782</v>
      </c>
      <c r="C162" s="463" t="s">
        <v>783</v>
      </c>
      <c r="D162" s="467" t="s">
        <v>784</v>
      </c>
      <c r="E162" s="75">
        <v>6</v>
      </c>
      <c r="F162" s="205"/>
      <c r="G162" s="441" t="s">
        <v>102</v>
      </c>
      <c r="H162" s="203" t="s">
        <v>595</v>
      </c>
      <c r="I162" s="154"/>
      <c r="J162" s="154"/>
      <c r="K162" s="398" t="s">
        <v>780</v>
      </c>
    </row>
    <row r="163" spans="1:11" ht="82.5" hidden="1" customHeight="1">
      <c r="A163" s="154" t="s">
        <v>785</v>
      </c>
      <c r="B163" s="181" t="s">
        <v>786</v>
      </c>
      <c r="C163" s="114" t="s">
        <v>787</v>
      </c>
      <c r="D163" s="467" t="s">
        <v>361</v>
      </c>
      <c r="E163" s="405"/>
      <c r="F163" s="181"/>
      <c r="G163" s="362" t="s">
        <v>102</v>
      </c>
      <c r="H163" s="186" t="s">
        <v>788</v>
      </c>
      <c r="I163" s="186"/>
      <c r="J163" s="186"/>
      <c r="K163" s="186"/>
    </row>
    <row r="164" spans="1:11" ht="123" hidden="1" customHeight="1">
      <c r="A164" s="154" t="s">
        <v>789</v>
      </c>
      <c r="B164" s="181" t="s">
        <v>790</v>
      </c>
      <c r="C164" s="114" t="s">
        <v>791</v>
      </c>
      <c r="D164" s="467" t="s">
        <v>366</v>
      </c>
      <c r="E164" s="405"/>
      <c r="F164" s="181"/>
      <c r="G164" s="362" t="s">
        <v>102</v>
      </c>
      <c r="H164" s="186" t="s">
        <v>792</v>
      </c>
      <c r="I164" s="186"/>
      <c r="J164" s="186"/>
      <c r="K164" s="186"/>
    </row>
    <row r="165" spans="1:11" ht="12.75" customHeight="1">
      <c r="A165" s="154"/>
      <c r="B165" s="127"/>
      <c r="C165" s="204"/>
      <c r="D165" s="399"/>
      <c r="E165" s="75"/>
      <c r="F165" s="205"/>
      <c r="G165" s="202"/>
      <c r="H165" s="203"/>
      <c r="I165" s="154"/>
      <c r="J165" s="154"/>
      <c r="K165" s="154"/>
    </row>
    <row r="166" spans="1:11" ht="13.15" customHeight="1">
      <c r="A166" s="154"/>
      <c r="B166" s="127"/>
      <c r="C166" s="204"/>
      <c r="D166" s="399"/>
      <c r="E166" s="75"/>
      <c r="F166" s="205"/>
      <c r="G166" s="202"/>
      <c r="H166" s="203"/>
      <c r="I166" s="154"/>
      <c r="J166" s="154"/>
      <c r="K166" s="154"/>
    </row>
    <row r="167" spans="1:11" ht="13.15" customHeight="1">
      <c r="A167" s="154"/>
      <c r="B167" s="127"/>
      <c r="C167" s="204"/>
      <c r="D167" s="399"/>
      <c r="E167" s="75"/>
      <c r="F167" s="205"/>
      <c r="G167" s="202"/>
      <c r="H167" s="203"/>
      <c r="I167" s="154"/>
      <c r="J167" s="154"/>
      <c r="K167" s="154"/>
    </row>
    <row r="168" spans="1:11" ht="13.15" customHeight="1">
      <c r="A168" s="154"/>
      <c r="B168" s="127"/>
      <c r="C168" s="204"/>
      <c r="D168" s="399"/>
      <c r="E168" s="75"/>
      <c r="F168" s="205"/>
      <c r="G168" s="202"/>
      <c r="H168" s="203"/>
      <c r="I168" s="154"/>
      <c r="J168" s="154"/>
      <c r="K168" s="154"/>
    </row>
    <row r="169" spans="1:11" ht="13.15" customHeight="1">
      <c r="A169" s="190"/>
      <c r="B169" s="402"/>
      <c r="C169" s="204"/>
      <c r="D169" s="399"/>
      <c r="E169" s="75"/>
      <c r="F169" s="205"/>
      <c r="G169" s="202"/>
      <c r="H169" s="203"/>
      <c r="I169" s="154"/>
      <c r="J169" s="154"/>
      <c r="K169" s="154"/>
    </row>
    <row r="170" spans="1:11" ht="13.15" customHeight="1">
      <c r="A170" s="190"/>
      <c r="B170" s="127"/>
      <c r="C170" s="204"/>
      <c r="D170" s="399"/>
      <c r="E170" s="75"/>
      <c r="F170" s="205"/>
      <c r="G170" s="202"/>
      <c r="H170" s="203"/>
      <c r="I170" s="154"/>
      <c r="J170" s="154"/>
      <c r="K170" s="154"/>
    </row>
    <row r="171" spans="1:11" ht="13.15" customHeight="1">
      <c r="A171" s="190"/>
      <c r="B171" s="127"/>
      <c r="C171" s="204"/>
      <c r="D171" s="399"/>
      <c r="E171" s="75"/>
      <c r="F171" s="205"/>
      <c r="G171" s="202"/>
      <c r="H171" s="203"/>
      <c r="I171" s="154"/>
      <c r="J171" s="154"/>
      <c r="K171" s="154"/>
    </row>
    <row r="172" spans="1:11" ht="13.15" customHeight="1">
      <c r="A172" s="190"/>
      <c r="B172" s="127"/>
      <c r="C172" s="204"/>
      <c r="D172" s="399"/>
      <c r="E172" s="75"/>
      <c r="F172" s="205"/>
      <c r="G172" s="202"/>
      <c r="H172" s="203"/>
      <c r="I172" s="154"/>
      <c r="J172" s="154"/>
      <c r="K172" s="154"/>
    </row>
    <row r="173" spans="1:11" ht="13.15" customHeight="1">
      <c r="A173" s="190"/>
      <c r="B173" s="127"/>
      <c r="C173" s="204"/>
      <c r="D173" s="399"/>
      <c r="E173" s="75"/>
      <c r="F173" s="205"/>
      <c r="G173" s="202"/>
      <c r="H173" s="203"/>
      <c r="I173" s="154"/>
      <c r="J173" s="154"/>
      <c r="K173" s="154"/>
    </row>
    <row r="174" spans="1:11" ht="12.75" customHeight="1">
      <c r="A174" s="190"/>
      <c r="B174" s="127"/>
      <c r="C174" s="204"/>
      <c r="D174" s="399"/>
      <c r="E174" s="75"/>
      <c r="F174" s="205"/>
      <c r="G174" s="202"/>
      <c r="H174" s="203"/>
      <c r="I174" s="154"/>
      <c r="J174" s="154"/>
      <c r="K174" s="154"/>
    </row>
    <row r="175" spans="1:11" ht="13.15" customHeight="1">
      <c r="A175" s="190"/>
      <c r="B175" s="127"/>
      <c r="C175" s="204"/>
      <c r="D175" s="399"/>
      <c r="E175" s="75"/>
      <c r="F175" s="205"/>
      <c r="G175" s="202"/>
      <c r="H175" s="203"/>
      <c r="I175" s="154"/>
      <c r="J175" s="154"/>
      <c r="K175" s="154"/>
    </row>
    <row r="176" spans="1:11" ht="13.15" customHeight="1">
      <c r="A176" s="190"/>
      <c r="B176" s="127"/>
      <c r="C176" s="204"/>
      <c r="D176" s="399"/>
      <c r="E176" s="75"/>
      <c r="F176" s="205"/>
      <c r="G176" s="202"/>
      <c r="H176" s="203"/>
      <c r="I176" s="154"/>
      <c r="J176" s="154"/>
      <c r="K176" s="154"/>
    </row>
    <row r="177" spans="1:11" ht="13.15" customHeight="1">
      <c r="A177" s="190"/>
      <c r="B177" s="127"/>
      <c r="C177" s="204"/>
      <c r="D177" s="399"/>
      <c r="E177" s="75"/>
      <c r="F177" s="205"/>
      <c r="G177" s="202"/>
      <c r="H177" s="203"/>
      <c r="I177" s="154"/>
      <c r="J177" s="154"/>
      <c r="K177" s="154"/>
    </row>
    <row r="178" spans="1:11" ht="13.15" customHeight="1">
      <c r="A178" s="190"/>
      <c r="B178" s="127"/>
      <c r="C178" s="204"/>
      <c r="D178" s="399"/>
      <c r="E178" s="75"/>
      <c r="F178" s="205"/>
      <c r="G178" s="202"/>
      <c r="H178" s="203"/>
      <c r="I178" s="154"/>
      <c r="J178" s="154"/>
      <c r="K178" s="154"/>
    </row>
    <row r="179" spans="1:11" ht="13.15" customHeight="1">
      <c r="A179" s="190"/>
      <c r="B179" s="127"/>
      <c r="C179" s="204"/>
      <c r="D179" s="399"/>
      <c r="E179" s="75"/>
      <c r="F179" s="205"/>
      <c r="G179" s="202"/>
      <c r="H179" s="203"/>
      <c r="I179" s="154"/>
      <c r="J179" s="154"/>
      <c r="K179" s="154"/>
    </row>
    <row r="180" spans="1:11" ht="13.15" customHeight="1">
      <c r="A180" s="190"/>
      <c r="B180" s="127"/>
      <c r="C180" s="204"/>
      <c r="D180" s="399"/>
      <c r="E180" s="75"/>
      <c r="F180" s="205"/>
      <c r="G180" s="202"/>
      <c r="H180" s="203"/>
      <c r="I180" s="154"/>
      <c r="J180" s="154"/>
      <c r="K180" s="154"/>
    </row>
    <row r="181" spans="1:11" ht="13.15" customHeight="1">
      <c r="A181" s="190"/>
      <c r="B181" s="127"/>
      <c r="C181" s="204"/>
      <c r="D181" s="399"/>
      <c r="E181" s="75"/>
      <c r="F181" s="205"/>
      <c r="G181" s="202"/>
      <c r="H181" s="203"/>
      <c r="I181" s="154"/>
      <c r="J181" s="154"/>
      <c r="K181" s="154"/>
    </row>
    <row r="182" spans="1:11" ht="13.15" customHeight="1">
      <c r="A182" s="190"/>
      <c r="B182" s="127"/>
      <c r="C182" s="204"/>
      <c r="D182" s="399"/>
      <c r="E182" s="75"/>
      <c r="F182" s="205"/>
      <c r="G182" s="202"/>
      <c r="H182" s="203"/>
      <c r="I182" s="154"/>
      <c r="J182" s="154"/>
      <c r="K182" s="154"/>
    </row>
    <row r="183" spans="1:11" ht="12.75" customHeight="1">
      <c r="A183" s="190"/>
      <c r="B183" s="127"/>
      <c r="C183" s="204"/>
      <c r="D183" s="399"/>
      <c r="E183" s="75"/>
      <c r="F183" s="205"/>
      <c r="G183" s="202"/>
      <c r="H183" s="203"/>
      <c r="I183" s="154"/>
      <c r="J183" s="154"/>
      <c r="K183" s="154"/>
    </row>
    <row r="184" spans="1:11" ht="13.15" customHeight="1">
      <c r="A184" s="190"/>
      <c r="B184" s="127"/>
      <c r="C184" s="204"/>
      <c r="D184" s="399"/>
      <c r="E184" s="75"/>
      <c r="F184" s="205"/>
      <c r="G184" s="202"/>
      <c r="H184" s="203"/>
      <c r="I184" s="154"/>
      <c r="J184" s="154"/>
      <c r="K184" s="154"/>
    </row>
    <row r="185" spans="1:11" ht="13.15" customHeight="1">
      <c r="A185" s="190"/>
      <c r="B185" s="127"/>
      <c r="C185" s="204"/>
      <c r="D185" s="399"/>
      <c r="E185" s="75"/>
      <c r="F185" s="205"/>
      <c r="G185" s="202"/>
      <c r="H185" s="203"/>
      <c r="I185" s="154"/>
      <c r="J185" s="154"/>
      <c r="K185" s="154"/>
    </row>
    <row r="186" spans="1:11" ht="13.15" customHeight="1">
      <c r="A186" s="190"/>
      <c r="B186" s="127"/>
      <c r="C186" s="204"/>
      <c r="D186" s="399"/>
      <c r="E186" s="75"/>
      <c r="F186" s="205"/>
      <c r="G186" s="202"/>
      <c r="H186" s="203"/>
      <c r="I186" s="154"/>
      <c r="J186" s="154"/>
      <c r="K186" s="154"/>
    </row>
    <row r="187" spans="1:11" ht="13.15" customHeight="1">
      <c r="A187" s="190"/>
      <c r="B187" s="127"/>
      <c r="C187" s="204"/>
      <c r="D187" s="399"/>
      <c r="E187" s="75"/>
      <c r="F187" s="205"/>
      <c r="G187" s="202"/>
      <c r="H187" s="203"/>
      <c r="I187" s="154"/>
      <c r="J187" s="154"/>
      <c r="K187" s="154"/>
    </row>
    <row r="188" spans="1:11" ht="13.15" customHeight="1">
      <c r="A188" s="190"/>
      <c r="B188" s="127"/>
      <c r="C188" s="204"/>
      <c r="D188" s="399"/>
      <c r="E188" s="75"/>
      <c r="F188" s="205"/>
      <c r="G188" s="202"/>
      <c r="H188" s="203"/>
      <c r="I188" s="154"/>
      <c r="J188" s="154"/>
      <c r="K188" s="154"/>
    </row>
    <row r="189" spans="1:11" ht="13.15" customHeight="1">
      <c r="A189" s="190"/>
      <c r="B189" s="127"/>
      <c r="C189" s="204"/>
      <c r="D189" s="399"/>
      <c r="E189" s="75"/>
      <c r="F189" s="205"/>
      <c r="G189" s="202"/>
      <c r="H189" s="203"/>
      <c r="I189" s="154"/>
      <c r="J189" s="154"/>
      <c r="K189" s="154"/>
    </row>
    <row r="190" spans="1:11" ht="13.15" customHeight="1">
      <c r="A190" s="190"/>
      <c r="B190" s="127"/>
      <c r="C190" s="204"/>
      <c r="D190" s="399"/>
      <c r="E190" s="75"/>
      <c r="F190" s="205"/>
      <c r="G190" s="202"/>
      <c r="H190" s="203"/>
      <c r="I190" s="154"/>
      <c r="J190" s="154"/>
      <c r="K190" s="154"/>
    </row>
    <row r="191" spans="1:11" ht="13.15" customHeight="1">
      <c r="A191" s="190"/>
      <c r="B191" s="127"/>
      <c r="C191" s="204"/>
      <c r="D191" s="399"/>
      <c r="E191" s="75"/>
      <c r="F191" s="205"/>
      <c r="G191" s="202"/>
      <c r="H191" s="203"/>
      <c r="I191" s="154"/>
      <c r="J191" s="154"/>
      <c r="K191" s="154"/>
    </row>
    <row r="192" spans="1:11" ht="12.75" customHeight="1">
      <c r="A192" s="190"/>
      <c r="B192" s="127"/>
      <c r="C192" s="204"/>
      <c r="D192" s="399"/>
      <c r="E192" s="75"/>
      <c r="F192" s="205"/>
      <c r="G192" s="202"/>
      <c r="H192" s="203"/>
      <c r="I192" s="154"/>
      <c r="J192" s="154"/>
      <c r="K192" s="154"/>
    </row>
    <row r="193" spans="1:11" ht="13.15" customHeight="1">
      <c r="A193" s="190"/>
      <c r="B193" s="127"/>
      <c r="C193" s="204"/>
      <c r="D193" s="399"/>
      <c r="E193" s="75"/>
      <c r="F193" s="205"/>
      <c r="G193" s="202"/>
      <c r="H193" s="203"/>
      <c r="I193" s="154"/>
      <c r="J193" s="154"/>
      <c r="K193" s="154"/>
    </row>
    <row r="194" spans="1:11" ht="13.15" customHeight="1">
      <c r="A194" s="190"/>
      <c r="B194" s="127"/>
      <c r="C194" s="204"/>
      <c r="D194" s="399"/>
      <c r="E194" s="75"/>
      <c r="F194" s="205"/>
      <c r="G194" s="202"/>
      <c r="H194" s="203"/>
      <c r="I194" s="154"/>
      <c r="J194" s="154"/>
      <c r="K194" s="154"/>
    </row>
    <row r="195" spans="1:11" ht="13.15" customHeight="1">
      <c r="A195" s="190"/>
      <c r="B195" s="127"/>
      <c r="C195" s="204"/>
      <c r="D195" s="399"/>
      <c r="E195" s="75"/>
      <c r="F195" s="205"/>
      <c r="G195" s="202"/>
      <c r="H195" s="203"/>
      <c r="I195" s="154"/>
      <c r="J195" s="154"/>
      <c r="K195" s="154"/>
    </row>
    <row r="196" spans="1:11" ht="13.15" customHeight="1">
      <c r="A196" s="190"/>
      <c r="B196" s="127"/>
      <c r="C196" s="204"/>
      <c r="D196" s="399"/>
      <c r="E196" s="75"/>
      <c r="F196" s="205"/>
      <c r="G196" s="202"/>
      <c r="H196" s="203"/>
      <c r="I196" s="154"/>
      <c r="J196" s="154"/>
      <c r="K196" s="154"/>
    </row>
    <row r="197" spans="1:11" ht="13.15" customHeight="1">
      <c r="A197" s="190"/>
      <c r="B197" s="127"/>
      <c r="C197" s="204"/>
      <c r="D197" s="399"/>
      <c r="E197" s="75"/>
      <c r="F197" s="205"/>
      <c r="G197" s="202"/>
      <c r="H197" s="203"/>
      <c r="I197" s="154"/>
      <c r="J197" s="154"/>
      <c r="K197" s="154"/>
    </row>
    <row r="198" spans="1:11" ht="13.15" customHeight="1">
      <c r="A198" s="190"/>
      <c r="B198" s="127"/>
      <c r="C198" s="204"/>
      <c r="D198" s="399"/>
      <c r="E198" s="75"/>
      <c r="F198" s="205"/>
      <c r="G198" s="202"/>
      <c r="H198" s="203"/>
      <c r="I198" s="154"/>
      <c r="J198" s="154"/>
      <c r="K198" s="154"/>
    </row>
    <row r="199" spans="1:11" ht="13.15" customHeight="1">
      <c r="A199" s="190"/>
      <c r="B199" s="127"/>
      <c r="C199" s="204"/>
      <c r="D199" s="399"/>
      <c r="E199" s="75"/>
      <c r="F199" s="205"/>
      <c r="G199" s="202"/>
      <c r="H199" s="203"/>
      <c r="I199" s="154"/>
      <c r="J199" s="154"/>
      <c r="K199" s="154"/>
    </row>
    <row r="200" spans="1:11" ht="13.15" customHeight="1">
      <c r="A200" s="190"/>
      <c r="B200" s="127"/>
      <c r="C200" s="204"/>
      <c r="D200" s="399"/>
      <c r="E200" s="75"/>
      <c r="F200" s="205"/>
      <c r="G200" s="202"/>
      <c r="H200" s="203"/>
      <c r="I200" s="154"/>
      <c r="J200" s="154"/>
      <c r="K200" s="154"/>
    </row>
    <row r="201" spans="1:11" ht="12.75" customHeight="1">
      <c r="A201" s="190"/>
      <c r="B201" s="127"/>
      <c r="C201" s="204"/>
      <c r="D201" s="399"/>
      <c r="E201" s="75"/>
      <c r="F201" s="205"/>
      <c r="G201" s="202"/>
      <c r="H201" s="203"/>
      <c r="I201" s="154"/>
      <c r="J201" s="154"/>
      <c r="K201" s="154"/>
    </row>
    <row r="202" spans="1:11" ht="13.15" customHeight="1">
      <c r="A202" s="190"/>
      <c r="B202" s="127"/>
      <c r="C202" s="204"/>
      <c r="D202" s="399"/>
      <c r="E202" s="75"/>
      <c r="F202" s="205"/>
      <c r="G202" s="202"/>
      <c r="H202" s="203"/>
      <c r="I202" s="154"/>
      <c r="J202" s="154"/>
      <c r="K202" s="154"/>
    </row>
    <row r="203" spans="1:11" ht="13.15" customHeight="1">
      <c r="A203" s="190"/>
      <c r="B203" s="127"/>
      <c r="C203" s="204"/>
      <c r="D203" s="399"/>
      <c r="E203" s="75"/>
      <c r="F203" s="205"/>
      <c r="G203" s="202"/>
      <c r="H203" s="203"/>
      <c r="I203" s="154"/>
      <c r="J203" s="154"/>
      <c r="K203" s="154"/>
    </row>
    <row r="204" spans="1:11" ht="13.15" customHeight="1">
      <c r="A204" s="190"/>
      <c r="B204" s="127"/>
      <c r="C204" s="204"/>
      <c r="D204" s="399"/>
      <c r="E204" s="75"/>
      <c r="F204" s="205"/>
      <c r="G204" s="202"/>
      <c r="H204" s="203"/>
      <c r="I204" s="154"/>
      <c r="J204" s="154"/>
      <c r="K204" s="154"/>
    </row>
    <row r="205" spans="1:11" ht="13.15" customHeight="1">
      <c r="A205" s="190"/>
      <c r="B205" s="127"/>
      <c r="C205" s="204"/>
      <c r="D205" s="399"/>
      <c r="E205" s="75"/>
      <c r="F205" s="205"/>
      <c r="G205" s="202"/>
      <c r="H205" s="203"/>
      <c r="I205" s="154"/>
      <c r="J205" s="154"/>
      <c r="K205" s="154"/>
    </row>
    <row r="206" spans="1:11" ht="13.15" customHeight="1">
      <c r="A206" s="190"/>
      <c r="B206" s="127"/>
      <c r="C206" s="204"/>
      <c r="D206" s="399"/>
      <c r="E206" s="75"/>
      <c r="F206" s="205"/>
      <c r="G206" s="202"/>
      <c r="H206" s="203"/>
      <c r="I206" s="154"/>
      <c r="J206" s="154"/>
      <c r="K206" s="154"/>
    </row>
    <row r="207" spans="1:11" ht="13.15" customHeight="1">
      <c r="A207" s="190"/>
      <c r="B207" s="127"/>
      <c r="C207" s="204"/>
      <c r="D207" s="399"/>
      <c r="E207" s="75"/>
      <c r="F207" s="205"/>
      <c r="G207" s="202"/>
      <c r="H207" s="203"/>
      <c r="I207" s="154"/>
      <c r="J207" s="154"/>
      <c r="K207" s="154"/>
    </row>
    <row r="208" spans="1:11" ht="13.15" customHeight="1">
      <c r="A208" s="190"/>
      <c r="B208" s="127"/>
      <c r="C208" s="204"/>
      <c r="D208" s="399"/>
      <c r="E208" s="75"/>
      <c r="F208" s="205"/>
      <c r="G208" s="202"/>
      <c r="H208" s="203"/>
      <c r="I208" s="154"/>
      <c r="J208" s="154"/>
      <c r="K208" s="154"/>
    </row>
    <row r="209" spans="1:11" ht="13.15" customHeight="1">
      <c r="A209" s="190"/>
      <c r="B209" s="127"/>
      <c r="C209" s="204"/>
      <c r="D209" s="399"/>
      <c r="E209" s="75"/>
      <c r="F209" s="205"/>
      <c r="G209" s="202"/>
      <c r="H209" s="203"/>
      <c r="I209" s="154"/>
      <c r="J209" s="154"/>
      <c r="K209" s="154"/>
    </row>
    <row r="210" spans="1:11" ht="12.75" customHeight="1">
      <c r="A210" s="190"/>
      <c r="B210" s="127"/>
      <c r="C210" s="204"/>
      <c r="D210" s="399"/>
      <c r="E210" s="75"/>
      <c r="F210" s="205"/>
      <c r="G210" s="202"/>
      <c r="H210" s="203"/>
      <c r="I210" s="154"/>
      <c r="J210" s="154"/>
      <c r="K210" s="154"/>
    </row>
    <row r="211" spans="1:11" ht="13.15" customHeight="1">
      <c r="A211" s="190"/>
      <c r="B211" s="127"/>
      <c r="C211" s="204"/>
      <c r="D211" s="399"/>
      <c r="E211" s="75"/>
      <c r="F211" s="205"/>
      <c r="G211" s="202"/>
      <c r="H211" s="203"/>
      <c r="I211" s="154"/>
      <c r="J211" s="154"/>
      <c r="K211" s="154"/>
    </row>
    <row r="212" spans="1:11" ht="13.15" customHeight="1">
      <c r="A212" s="190"/>
      <c r="B212" s="127"/>
      <c r="C212" s="204"/>
      <c r="D212" s="399"/>
      <c r="E212" s="75"/>
      <c r="F212" s="205"/>
      <c r="G212" s="202"/>
      <c r="H212" s="203"/>
      <c r="I212" s="154"/>
      <c r="J212" s="154"/>
      <c r="K212" s="154"/>
    </row>
    <row r="213" spans="1:11" ht="13.15" customHeight="1">
      <c r="A213" s="190"/>
      <c r="B213" s="127"/>
      <c r="C213" s="204"/>
      <c r="D213" s="399"/>
      <c r="E213" s="75"/>
      <c r="F213" s="205"/>
      <c r="G213" s="202"/>
      <c r="H213" s="203"/>
      <c r="I213" s="154"/>
      <c r="J213" s="154"/>
      <c r="K213" s="154"/>
    </row>
    <row r="214" spans="1:11" ht="13.15" customHeight="1">
      <c r="A214" s="190"/>
      <c r="B214" s="127"/>
      <c r="C214" s="204"/>
      <c r="D214" s="399"/>
      <c r="E214" s="75"/>
      <c r="F214" s="205"/>
      <c r="G214" s="202"/>
      <c r="H214" s="203"/>
      <c r="I214" s="154"/>
      <c r="J214" s="154"/>
      <c r="K214" s="154"/>
    </row>
    <row r="215" spans="1:11" ht="13.15" customHeight="1">
      <c r="A215" s="190"/>
      <c r="B215" s="127"/>
      <c r="C215" s="204"/>
      <c r="D215" s="399"/>
      <c r="E215" s="75"/>
      <c r="F215" s="205"/>
      <c r="G215" s="202"/>
      <c r="H215" s="203"/>
      <c r="I215" s="154"/>
      <c r="J215" s="154"/>
      <c r="K215" s="154"/>
    </row>
    <row r="216" spans="1:11" ht="13.15" customHeight="1">
      <c r="A216" s="190"/>
      <c r="B216" s="127"/>
      <c r="C216" s="204"/>
      <c r="D216" s="399"/>
      <c r="E216" s="75"/>
      <c r="F216" s="205"/>
      <c r="G216" s="202"/>
      <c r="H216" s="203"/>
      <c r="I216" s="154"/>
      <c r="J216" s="154"/>
      <c r="K216" s="154"/>
    </row>
    <row r="217" spans="1:11" ht="13.15" customHeight="1">
      <c r="A217" s="190"/>
      <c r="B217" s="127"/>
      <c r="C217" s="204"/>
      <c r="D217" s="399"/>
      <c r="E217" s="75"/>
      <c r="F217" s="205"/>
      <c r="G217" s="202"/>
      <c r="H217" s="203"/>
      <c r="I217" s="154"/>
      <c r="J217" s="154"/>
      <c r="K217" s="154"/>
    </row>
    <row r="218" spans="1:11" ht="13.15" customHeight="1">
      <c r="A218" s="190"/>
      <c r="B218" s="127"/>
      <c r="C218" s="204"/>
      <c r="D218" s="399"/>
      <c r="E218" s="75"/>
      <c r="F218" s="205"/>
      <c r="G218" s="202"/>
      <c r="H218" s="203"/>
      <c r="I218" s="154"/>
      <c r="J218" s="154"/>
      <c r="K218" s="154"/>
    </row>
    <row r="219" spans="1:11" ht="12.75" customHeight="1">
      <c r="A219" s="190"/>
      <c r="B219" s="127"/>
      <c r="C219" s="204"/>
      <c r="D219" s="399"/>
      <c r="E219" s="75"/>
      <c r="F219" s="205"/>
      <c r="G219" s="202"/>
      <c r="H219" s="203"/>
      <c r="I219" s="154"/>
      <c r="J219" s="154"/>
      <c r="K219" s="154"/>
    </row>
    <row r="220" spans="1:11" ht="13.15" customHeight="1">
      <c r="A220" s="190"/>
      <c r="B220" s="127"/>
      <c r="C220" s="204"/>
      <c r="D220" s="399"/>
      <c r="E220" s="75"/>
      <c r="F220" s="205"/>
      <c r="G220" s="202"/>
      <c r="H220" s="203"/>
      <c r="I220" s="154"/>
      <c r="J220" s="154"/>
      <c r="K220" s="154"/>
    </row>
    <row r="221" spans="1:11" ht="13.15" customHeight="1">
      <c r="A221" s="190"/>
      <c r="B221" s="127"/>
      <c r="C221" s="204"/>
      <c r="D221" s="399"/>
      <c r="E221" s="75"/>
      <c r="F221" s="205"/>
      <c r="G221" s="202"/>
      <c r="H221" s="203"/>
      <c r="I221" s="154"/>
      <c r="J221" s="154"/>
      <c r="K221" s="154"/>
    </row>
    <row r="222" spans="1:11" ht="13.15" customHeight="1">
      <c r="A222" s="190"/>
      <c r="B222" s="127"/>
      <c r="C222" s="204"/>
      <c r="D222" s="399"/>
      <c r="E222" s="75"/>
      <c r="F222" s="205"/>
      <c r="G222" s="202"/>
      <c r="H222" s="203"/>
      <c r="I222" s="154"/>
      <c r="J222" s="154"/>
      <c r="K222" s="154"/>
    </row>
    <row r="223" spans="1:11" ht="13.15" customHeight="1">
      <c r="A223" s="190"/>
      <c r="B223" s="127"/>
      <c r="C223" s="204"/>
      <c r="D223" s="399"/>
      <c r="E223" s="75"/>
      <c r="F223" s="205"/>
      <c r="G223" s="202"/>
      <c r="H223" s="203"/>
      <c r="I223" s="154"/>
      <c r="J223" s="154"/>
      <c r="K223" s="154"/>
    </row>
    <row r="224" spans="1:11" ht="13.15" customHeight="1">
      <c r="A224" s="190"/>
      <c r="B224" s="127"/>
      <c r="C224" s="204"/>
      <c r="D224" s="399"/>
      <c r="E224" s="75"/>
      <c r="F224" s="205"/>
      <c r="G224" s="202"/>
      <c r="H224" s="203"/>
      <c r="I224" s="154"/>
      <c r="J224" s="154"/>
      <c r="K224" s="154"/>
    </row>
    <row r="225" spans="1:11" ht="13.15" customHeight="1">
      <c r="A225" s="190"/>
      <c r="B225" s="127"/>
      <c r="C225" s="204"/>
      <c r="D225" s="399"/>
      <c r="E225" s="75"/>
      <c r="F225" s="205"/>
      <c r="G225" s="202"/>
      <c r="H225" s="203"/>
      <c r="I225" s="154"/>
      <c r="J225" s="154"/>
      <c r="K225" s="154"/>
    </row>
    <row r="226" spans="1:11" ht="13.15" customHeight="1">
      <c r="A226" s="190"/>
      <c r="B226" s="127"/>
      <c r="C226" s="204"/>
      <c r="D226" s="399"/>
      <c r="E226" s="75"/>
      <c r="F226" s="205"/>
      <c r="G226" s="202"/>
      <c r="H226" s="203"/>
      <c r="I226" s="154"/>
      <c r="J226" s="154"/>
      <c r="K226" s="154"/>
    </row>
    <row r="227" spans="1:11" ht="13.15" customHeight="1">
      <c r="A227" s="190"/>
      <c r="B227" s="127"/>
      <c r="C227" s="204"/>
      <c r="D227" s="399"/>
      <c r="E227" s="75"/>
      <c r="F227" s="205"/>
      <c r="G227" s="202"/>
      <c r="H227" s="203"/>
      <c r="I227" s="154"/>
      <c r="J227" s="154"/>
      <c r="K227" s="154"/>
    </row>
    <row r="228" spans="1:11" ht="12.75" customHeight="1">
      <c r="A228" s="190"/>
      <c r="B228" s="127"/>
      <c r="C228" s="204"/>
      <c r="D228" s="399"/>
      <c r="E228" s="75"/>
      <c r="F228" s="205"/>
      <c r="G228" s="202"/>
      <c r="H228" s="203"/>
      <c r="I228" s="154"/>
      <c r="J228" s="154"/>
      <c r="K228" s="154"/>
    </row>
    <row r="229" spans="1:11" ht="13.15" customHeight="1">
      <c r="A229" s="190"/>
      <c r="B229" s="127"/>
      <c r="C229" s="204"/>
      <c r="D229" s="399"/>
      <c r="E229" s="75"/>
      <c r="F229" s="205"/>
      <c r="G229" s="202"/>
      <c r="H229" s="203"/>
      <c r="I229" s="154"/>
      <c r="J229" s="154"/>
      <c r="K229" s="154"/>
    </row>
    <row r="230" spans="1:11" ht="13.15" customHeight="1">
      <c r="A230" s="190"/>
      <c r="B230" s="127"/>
      <c r="C230" s="204"/>
      <c r="D230" s="399"/>
      <c r="E230" s="75"/>
      <c r="F230" s="205"/>
      <c r="G230" s="202"/>
      <c r="H230" s="203"/>
      <c r="I230" s="154"/>
      <c r="J230" s="154"/>
      <c r="K230" s="154"/>
    </row>
    <row r="231" spans="1:11" ht="13.15" customHeight="1">
      <c r="A231" s="190"/>
      <c r="B231" s="127"/>
      <c r="C231" s="204"/>
      <c r="D231" s="399"/>
      <c r="E231" s="75"/>
      <c r="F231" s="205"/>
      <c r="G231" s="202"/>
      <c r="H231" s="203"/>
      <c r="I231" s="154"/>
      <c r="J231" s="154"/>
      <c r="K231" s="154"/>
    </row>
    <row r="232" spans="1:11" ht="13.15" customHeight="1">
      <c r="A232" s="190"/>
      <c r="B232" s="127"/>
      <c r="C232" s="204"/>
      <c r="D232" s="399"/>
      <c r="E232" s="75"/>
      <c r="F232" s="205"/>
      <c r="G232" s="202"/>
      <c r="H232" s="203"/>
      <c r="I232" s="154"/>
      <c r="J232" s="154"/>
      <c r="K232" s="154"/>
    </row>
    <row r="233" spans="1:11" ht="13.15" customHeight="1">
      <c r="A233" s="190"/>
      <c r="B233" s="127"/>
      <c r="C233" s="204"/>
      <c r="D233" s="399"/>
      <c r="E233" s="75"/>
      <c r="F233" s="205"/>
      <c r="G233" s="202"/>
      <c r="H233" s="203"/>
      <c r="I233" s="154"/>
      <c r="J233" s="154"/>
      <c r="K233" s="154"/>
    </row>
    <row r="234" spans="1:11" ht="13.15" customHeight="1">
      <c r="A234" s="190"/>
      <c r="B234" s="127"/>
      <c r="C234" s="204"/>
      <c r="D234" s="399"/>
      <c r="E234" s="75"/>
      <c r="F234" s="205"/>
      <c r="G234" s="202"/>
      <c r="H234" s="203"/>
      <c r="I234" s="154"/>
      <c r="J234" s="154"/>
      <c r="K234" s="154"/>
    </row>
    <row r="235" spans="1:11" ht="13.15" customHeight="1">
      <c r="A235" s="190"/>
      <c r="B235" s="127"/>
      <c r="C235" s="204"/>
      <c r="D235" s="399"/>
      <c r="E235" s="75"/>
      <c r="F235" s="205"/>
      <c r="G235" s="202"/>
      <c r="H235" s="203"/>
      <c r="I235" s="154"/>
      <c r="J235" s="154"/>
      <c r="K235" s="154"/>
    </row>
    <row r="236" spans="1:11" ht="13.15" customHeight="1">
      <c r="A236" s="190"/>
      <c r="B236" s="127"/>
      <c r="C236" s="204"/>
      <c r="D236" s="399"/>
      <c r="E236" s="75"/>
      <c r="F236" s="205"/>
      <c r="G236" s="202"/>
      <c r="H236" s="203"/>
      <c r="I236" s="154"/>
      <c r="J236" s="154"/>
      <c r="K236" s="154"/>
    </row>
    <row r="237" spans="1:11" ht="12.75" customHeight="1">
      <c r="A237" s="190"/>
      <c r="B237" s="127"/>
      <c r="C237" s="204"/>
      <c r="D237" s="399"/>
      <c r="E237" s="75"/>
      <c r="F237" s="205"/>
      <c r="G237" s="202"/>
      <c r="H237" s="203"/>
      <c r="I237" s="154"/>
      <c r="J237" s="154"/>
      <c r="K237" s="154"/>
    </row>
    <row r="238" spans="1:11" ht="13.15" customHeight="1">
      <c r="A238" s="190"/>
      <c r="B238" s="127"/>
      <c r="C238" s="204"/>
      <c r="D238" s="399"/>
      <c r="E238" s="75"/>
      <c r="F238" s="205"/>
      <c r="G238" s="202"/>
      <c r="H238" s="203"/>
      <c r="I238" s="154"/>
      <c r="J238" s="154"/>
      <c r="K238" s="154"/>
    </row>
    <row r="239" spans="1:11" ht="13.15" customHeight="1">
      <c r="A239" s="190"/>
      <c r="B239" s="127"/>
      <c r="C239" s="204"/>
      <c r="D239" s="399"/>
      <c r="E239" s="75"/>
      <c r="F239" s="205"/>
      <c r="G239" s="202"/>
      <c r="H239" s="203"/>
      <c r="I239" s="154"/>
      <c r="J239" s="154"/>
      <c r="K239" s="154"/>
    </row>
    <row r="240" spans="1:11" ht="13.15" customHeight="1">
      <c r="A240" s="190"/>
      <c r="B240" s="127"/>
      <c r="C240" s="204"/>
      <c r="D240" s="399"/>
      <c r="E240" s="75"/>
      <c r="F240" s="205"/>
      <c r="G240" s="202"/>
      <c r="H240" s="203"/>
      <c r="I240" s="154"/>
      <c r="J240" s="154"/>
      <c r="K240" s="154"/>
    </row>
    <row r="241" spans="1:11" ht="13.15" customHeight="1">
      <c r="A241" s="190"/>
      <c r="B241" s="127"/>
      <c r="C241" s="204"/>
      <c r="D241" s="399"/>
      <c r="E241" s="75"/>
      <c r="F241" s="205"/>
      <c r="G241" s="202"/>
      <c r="H241" s="203"/>
      <c r="I241" s="154"/>
      <c r="J241" s="154"/>
      <c r="K241" s="154"/>
    </row>
    <row r="242" spans="1:11" ht="13.15" customHeight="1">
      <c r="A242" s="190"/>
      <c r="B242" s="127"/>
      <c r="C242" s="204"/>
      <c r="D242" s="399"/>
      <c r="E242" s="75"/>
      <c r="F242" s="205"/>
      <c r="G242" s="202"/>
      <c r="H242" s="203"/>
      <c r="I242" s="154"/>
      <c r="J242" s="154"/>
      <c r="K242" s="154"/>
    </row>
    <row r="243" spans="1:11" ht="13.15" customHeight="1">
      <c r="A243" s="190"/>
      <c r="B243" s="127"/>
      <c r="C243" s="204"/>
      <c r="D243" s="399"/>
      <c r="E243" s="75"/>
      <c r="F243" s="205"/>
      <c r="G243" s="202"/>
      <c r="H243" s="203"/>
      <c r="I243" s="154"/>
      <c r="J243" s="154"/>
      <c r="K243" s="154"/>
    </row>
    <row r="244" spans="1:11" ht="13.15" customHeight="1">
      <c r="A244" s="190"/>
      <c r="B244" s="127"/>
      <c r="C244" s="204"/>
      <c r="D244" s="399"/>
      <c r="E244" s="75"/>
      <c r="F244" s="205"/>
      <c r="G244" s="202"/>
      <c r="H244" s="203"/>
      <c r="I244" s="154"/>
      <c r="J244" s="154"/>
      <c r="K244" s="154"/>
    </row>
    <row r="245" spans="1:11" ht="13.15" customHeight="1">
      <c r="A245" s="190"/>
      <c r="B245" s="127"/>
      <c r="C245" s="204"/>
      <c r="D245" s="399"/>
      <c r="E245" s="75"/>
      <c r="F245" s="205"/>
      <c r="G245" s="202"/>
      <c r="H245" s="203"/>
      <c r="I245" s="154"/>
      <c r="J245" s="154"/>
      <c r="K245" s="154"/>
    </row>
    <row r="246" spans="1:11" ht="12.75" customHeight="1">
      <c r="A246" s="190"/>
      <c r="B246" s="127"/>
      <c r="C246" s="204"/>
      <c r="D246" s="399"/>
      <c r="E246" s="75"/>
      <c r="F246" s="205"/>
      <c r="G246" s="202"/>
      <c r="H246" s="203"/>
      <c r="I246" s="154"/>
      <c r="J246" s="154"/>
      <c r="K246" s="154"/>
    </row>
    <row r="247" spans="1:11" ht="13.15" customHeight="1">
      <c r="A247" s="190"/>
      <c r="B247" s="127"/>
      <c r="C247" s="204"/>
      <c r="D247" s="399"/>
      <c r="E247" s="75"/>
      <c r="F247" s="205"/>
      <c r="G247" s="202"/>
      <c r="H247" s="203"/>
      <c r="I247" s="154"/>
      <c r="J247" s="154"/>
      <c r="K247" s="154"/>
    </row>
    <row r="248" spans="1:11" ht="13.15" customHeight="1">
      <c r="A248" s="190"/>
      <c r="B248" s="127"/>
      <c r="C248" s="204"/>
      <c r="D248" s="399"/>
      <c r="E248" s="75"/>
      <c r="F248" s="205"/>
      <c r="G248" s="202"/>
      <c r="H248" s="203"/>
      <c r="I248" s="154"/>
      <c r="J248" s="154"/>
      <c r="K248" s="154"/>
    </row>
    <row r="249" spans="1:11" ht="13.15" customHeight="1">
      <c r="A249" s="190"/>
      <c r="B249" s="127"/>
      <c r="C249" s="204"/>
      <c r="D249" s="399"/>
      <c r="E249" s="75"/>
      <c r="F249" s="205"/>
      <c r="G249" s="202"/>
      <c r="H249" s="203"/>
      <c r="I249" s="154"/>
      <c r="J249" s="154"/>
      <c r="K249" s="154"/>
    </row>
    <row r="250" spans="1:11" ht="13.15" customHeight="1">
      <c r="A250" s="190"/>
      <c r="B250" s="127"/>
      <c r="C250" s="204"/>
      <c r="D250" s="399"/>
      <c r="E250" s="75"/>
      <c r="F250" s="205"/>
      <c r="G250" s="202"/>
      <c r="H250" s="203"/>
      <c r="I250" s="154"/>
      <c r="J250" s="154"/>
      <c r="K250" s="154"/>
    </row>
    <row r="251" spans="1:11" ht="13.15" customHeight="1">
      <c r="A251" s="190"/>
      <c r="B251" s="127"/>
      <c r="C251" s="204"/>
      <c r="D251" s="399"/>
      <c r="E251" s="75"/>
      <c r="F251" s="205"/>
      <c r="G251" s="202"/>
      <c r="H251" s="203"/>
      <c r="I251" s="154"/>
      <c r="J251" s="154"/>
      <c r="K251" s="154"/>
    </row>
    <row r="252" spans="1:11" ht="13.15" customHeight="1">
      <c r="A252" s="190"/>
      <c r="B252" s="127"/>
      <c r="C252" s="204"/>
      <c r="D252" s="399"/>
      <c r="E252" s="75"/>
      <c r="F252" s="205"/>
      <c r="G252" s="202"/>
      <c r="H252" s="203"/>
      <c r="I252" s="154"/>
      <c r="J252" s="154"/>
      <c r="K252" s="154"/>
    </row>
    <row r="253" spans="1:11" ht="13.15" customHeight="1">
      <c r="A253" s="190"/>
      <c r="B253" s="127"/>
      <c r="C253" s="204"/>
      <c r="D253" s="399"/>
      <c r="E253" s="75"/>
      <c r="F253" s="205"/>
      <c r="G253" s="202"/>
      <c r="H253" s="203"/>
      <c r="I253" s="154"/>
      <c r="J253" s="154"/>
      <c r="K253" s="154"/>
    </row>
    <row r="254" spans="1:11" ht="13.15" customHeight="1">
      <c r="A254" s="190"/>
      <c r="B254" s="127"/>
      <c r="C254" s="204"/>
      <c r="D254" s="399"/>
      <c r="E254" s="75"/>
      <c r="F254" s="205"/>
      <c r="G254" s="202"/>
      <c r="H254" s="203"/>
      <c r="I254" s="154"/>
      <c r="J254" s="154"/>
      <c r="K254" s="154"/>
    </row>
    <row r="255" spans="1:11" ht="12.75" customHeight="1">
      <c r="A255" s="190"/>
      <c r="B255" s="127"/>
      <c r="C255" s="204"/>
      <c r="D255" s="399"/>
      <c r="E255" s="75"/>
      <c r="F255" s="205"/>
      <c r="G255" s="202"/>
      <c r="H255" s="203"/>
      <c r="I255" s="154"/>
      <c r="J255" s="154"/>
      <c r="K255" s="154"/>
    </row>
    <row r="256" spans="1:11" ht="13.15" customHeight="1">
      <c r="A256" s="190"/>
      <c r="B256" s="127"/>
      <c r="C256" s="204"/>
      <c r="D256" s="399"/>
      <c r="E256" s="75"/>
      <c r="F256" s="205"/>
      <c r="G256" s="202"/>
      <c r="H256" s="203"/>
      <c r="I256" s="154"/>
      <c r="J256" s="154"/>
      <c r="K256" s="154"/>
    </row>
    <row r="257" spans="1:11" ht="13.15" customHeight="1">
      <c r="A257" s="190"/>
      <c r="B257" s="127"/>
      <c r="C257" s="204"/>
      <c r="D257" s="399"/>
      <c r="E257" s="75"/>
      <c r="F257" s="205"/>
      <c r="G257" s="202"/>
      <c r="H257" s="203"/>
      <c r="I257" s="154"/>
      <c r="J257" s="154"/>
      <c r="K257" s="154"/>
    </row>
    <row r="258" spans="1:11" ht="13.15" customHeight="1">
      <c r="A258" s="190"/>
      <c r="B258" s="127"/>
      <c r="C258" s="204"/>
      <c r="D258" s="399"/>
      <c r="E258" s="75"/>
      <c r="F258" s="205"/>
      <c r="G258" s="202"/>
      <c r="H258" s="203"/>
      <c r="I258" s="154"/>
      <c r="J258" s="154"/>
      <c r="K258" s="154"/>
    </row>
    <row r="259" spans="1:11" ht="13.15" customHeight="1">
      <c r="A259" s="190"/>
      <c r="B259" s="127"/>
      <c r="C259" s="204"/>
      <c r="D259" s="399"/>
      <c r="E259" s="75"/>
      <c r="F259" s="205"/>
      <c r="G259" s="202"/>
      <c r="H259" s="203"/>
      <c r="I259" s="154"/>
      <c r="J259" s="154"/>
      <c r="K259" s="154"/>
    </row>
    <row r="260" spans="1:11" ht="13.15" customHeight="1">
      <c r="A260" s="190"/>
      <c r="B260" s="127"/>
      <c r="C260" s="204"/>
      <c r="D260" s="399"/>
      <c r="E260" s="75"/>
      <c r="F260" s="205"/>
      <c r="G260" s="202"/>
      <c r="H260" s="203"/>
      <c r="I260" s="154"/>
      <c r="J260" s="154"/>
      <c r="K260" s="154"/>
    </row>
    <row r="261" spans="1:11" ht="13.15" customHeight="1">
      <c r="A261" s="190"/>
      <c r="B261" s="127"/>
      <c r="C261" s="204"/>
      <c r="D261" s="399"/>
      <c r="E261" s="75"/>
      <c r="F261" s="205"/>
      <c r="G261" s="202"/>
      <c r="H261" s="203"/>
      <c r="I261" s="154"/>
      <c r="J261" s="154"/>
      <c r="K261" s="154"/>
    </row>
    <row r="262" spans="1:11" ht="13.15" customHeight="1">
      <c r="A262" s="190"/>
      <c r="B262" s="127"/>
      <c r="C262" s="204"/>
      <c r="D262" s="399"/>
      <c r="E262" s="75"/>
      <c r="F262" s="205"/>
      <c r="G262" s="202"/>
      <c r="H262" s="203"/>
      <c r="I262" s="154"/>
      <c r="J262" s="154"/>
      <c r="K262" s="154"/>
    </row>
    <row r="263" spans="1:11" ht="13.15" customHeight="1">
      <c r="A263" s="190"/>
      <c r="B263" s="127"/>
      <c r="C263" s="204"/>
      <c r="D263" s="399"/>
      <c r="E263" s="75"/>
      <c r="F263" s="205"/>
      <c r="G263" s="202"/>
      <c r="H263" s="203"/>
      <c r="I263" s="154"/>
      <c r="J263" s="154"/>
      <c r="K263" s="154"/>
    </row>
    <row r="264" spans="1:11" ht="12.75" customHeight="1">
      <c r="A264" s="190"/>
      <c r="B264" s="127"/>
      <c r="C264" s="204"/>
      <c r="D264" s="399"/>
      <c r="E264" s="75"/>
      <c r="F264" s="205"/>
      <c r="G264" s="202"/>
      <c r="H264" s="203"/>
      <c r="I264" s="154"/>
      <c r="J264" s="154"/>
      <c r="K264" s="154"/>
    </row>
    <row r="265" spans="1:11" ht="13.15" customHeight="1">
      <c r="A265" s="190"/>
      <c r="B265" s="127"/>
      <c r="C265" s="204"/>
      <c r="D265" s="399"/>
      <c r="E265" s="75"/>
      <c r="F265" s="205"/>
      <c r="G265" s="202"/>
      <c r="H265" s="203"/>
      <c r="I265" s="154"/>
      <c r="J265" s="154"/>
      <c r="K265" s="154"/>
    </row>
    <row r="266" spans="1:11" ht="13.15" customHeight="1">
      <c r="A266" s="190"/>
      <c r="B266" s="127"/>
      <c r="C266" s="204"/>
      <c r="D266" s="399"/>
      <c r="E266" s="75"/>
      <c r="F266" s="205"/>
      <c r="G266" s="202"/>
      <c r="H266" s="203"/>
      <c r="I266" s="154"/>
      <c r="J266" s="154"/>
      <c r="K266" s="154"/>
    </row>
    <row r="267" spans="1:11" ht="13.15" customHeight="1">
      <c r="A267" s="190"/>
      <c r="B267" s="127"/>
      <c r="C267" s="204"/>
      <c r="D267" s="399"/>
      <c r="E267" s="75"/>
      <c r="F267" s="205"/>
      <c r="G267" s="202"/>
      <c r="H267" s="203"/>
      <c r="I267" s="154"/>
      <c r="J267" s="154"/>
      <c r="K267" s="154"/>
    </row>
    <row r="268" spans="1:11" ht="13.15" customHeight="1">
      <c r="A268" s="190"/>
      <c r="B268" s="127"/>
      <c r="C268" s="204"/>
      <c r="D268" s="399"/>
      <c r="E268" s="75"/>
      <c r="F268" s="205"/>
      <c r="G268" s="202"/>
      <c r="H268" s="203"/>
      <c r="I268" s="154"/>
      <c r="J268" s="154"/>
      <c r="K268" s="154"/>
    </row>
    <row r="269" spans="1:11" ht="13.15" customHeight="1">
      <c r="A269" s="190"/>
      <c r="B269" s="127"/>
      <c r="C269" s="204"/>
      <c r="D269" s="399"/>
      <c r="E269" s="75"/>
      <c r="F269" s="205"/>
      <c r="G269" s="202"/>
      <c r="H269" s="203"/>
      <c r="I269" s="154"/>
      <c r="J269" s="154"/>
      <c r="K269" s="154"/>
    </row>
    <row r="270" spans="1:11" ht="13.15" customHeight="1">
      <c r="A270" s="190"/>
      <c r="B270" s="127"/>
      <c r="C270" s="204"/>
      <c r="D270" s="399"/>
      <c r="E270" s="75"/>
      <c r="F270" s="205"/>
      <c r="G270" s="202"/>
      <c r="H270" s="203"/>
      <c r="I270" s="154"/>
      <c r="J270" s="154"/>
      <c r="K270" s="154"/>
    </row>
    <row r="271" spans="1:11" ht="13.15" customHeight="1">
      <c r="A271" s="190"/>
      <c r="B271" s="127"/>
      <c r="C271" s="204"/>
      <c r="D271" s="399"/>
      <c r="E271" s="75"/>
      <c r="F271" s="205"/>
      <c r="G271" s="202"/>
      <c r="H271" s="203"/>
      <c r="I271" s="154"/>
      <c r="J271" s="154"/>
      <c r="K271" s="154"/>
    </row>
    <row r="272" spans="1:11" ht="13.15" customHeight="1">
      <c r="A272" s="190"/>
      <c r="B272" s="127"/>
      <c r="C272" s="204"/>
      <c r="D272" s="399"/>
      <c r="E272" s="75"/>
      <c r="F272" s="205"/>
      <c r="G272" s="202"/>
      <c r="H272" s="203"/>
      <c r="I272" s="154"/>
      <c r="J272" s="154"/>
      <c r="K272" s="154"/>
    </row>
    <row r="273" spans="1:11" ht="12.75" customHeight="1">
      <c r="A273" s="190"/>
      <c r="B273" s="127"/>
      <c r="C273" s="204"/>
      <c r="D273" s="399"/>
      <c r="E273" s="75"/>
      <c r="F273" s="205"/>
      <c r="G273" s="202"/>
      <c r="H273" s="203"/>
      <c r="I273" s="154"/>
      <c r="J273" s="154"/>
      <c r="K273" s="154"/>
    </row>
    <row r="274" spans="1:11" ht="13.15" customHeight="1">
      <c r="A274" s="190"/>
      <c r="B274" s="127"/>
      <c r="C274" s="204"/>
      <c r="D274" s="399"/>
      <c r="E274" s="75"/>
      <c r="F274" s="205"/>
      <c r="G274" s="202"/>
      <c r="H274" s="203"/>
      <c r="I274" s="154"/>
      <c r="J274" s="154"/>
      <c r="K274" s="154"/>
    </row>
    <row r="275" spans="1:11" ht="13.15" customHeight="1">
      <c r="A275" s="190"/>
      <c r="B275" s="127"/>
      <c r="C275" s="204"/>
      <c r="D275" s="399"/>
      <c r="E275" s="75"/>
      <c r="F275" s="205"/>
      <c r="G275" s="202"/>
      <c r="H275" s="203"/>
      <c r="I275" s="154"/>
      <c r="J275" s="154"/>
      <c r="K275" s="154"/>
    </row>
    <row r="276" spans="1:11" ht="13.15" customHeight="1">
      <c r="A276" s="190"/>
      <c r="B276" s="127"/>
      <c r="C276" s="204"/>
      <c r="D276" s="399"/>
      <c r="E276" s="75"/>
      <c r="F276" s="205"/>
      <c r="G276" s="202"/>
      <c r="H276" s="203"/>
      <c r="I276" s="154"/>
      <c r="J276" s="154"/>
      <c r="K276" s="154"/>
    </row>
    <row r="277" spans="1:11" ht="13.15" customHeight="1">
      <c r="A277" s="190"/>
      <c r="B277" s="127"/>
      <c r="C277" s="204"/>
      <c r="D277" s="399"/>
      <c r="E277" s="75"/>
      <c r="F277" s="205"/>
      <c r="G277" s="202"/>
      <c r="H277" s="203"/>
      <c r="I277" s="154"/>
      <c r="J277" s="154"/>
      <c r="K277" s="154"/>
    </row>
    <row r="278" spans="1:11" ht="13.15" customHeight="1">
      <c r="A278" s="190"/>
      <c r="B278" s="127"/>
      <c r="C278" s="204"/>
      <c r="D278" s="399"/>
      <c r="E278" s="75"/>
      <c r="F278" s="205"/>
      <c r="G278" s="202"/>
      <c r="H278" s="203"/>
      <c r="I278" s="154"/>
      <c r="J278" s="154"/>
      <c r="K278" s="154"/>
    </row>
    <row r="279" spans="1:11" ht="13.15" customHeight="1">
      <c r="A279" s="190"/>
      <c r="B279" s="127"/>
      <c r="C279" s="204"/>
      <c r="D279" s="399"/>
      <c r="E279" s="75"/>
      <c r="F279" s="205"/>
      <c r="G279" s="202"/>
      <c r="H279" s="203"/>
      <c r="I279" s="154"/>
      <c r="J279" s="154"/>
      <c r="K279" s="154"/>
    </row>
    <row r="280" spans="1:11" ht="13.15" customHeight="1">
      <c r="A280" s="190"/>
      <c r="B280" s="127"/>
      <c r="C280" s="204"/>
      <c r="D280" s="399"/>
      <c r="E280" s="75"/>
      <c r="F280" s="205"/>
      <c r="G280" s="202"/>
      <c r="H280" s="203"/>
      <c r="I280" s="154"/>
      <c r="J280" s="154"/>
      <c r="K280" s="154"/>
    </row>
    <row r="281" spans="1:11" ht="13.15" customHeight="1"/>
    <row r="283" spans="1:11" ht="13.15" customHeight="1"/>
    <row r="284" spans="1:11" ht="13.15" customHeight="1"/>
    <row r="285" spans="1:11" ht="13.15" customHeight="1"/>
    <row r="286" spans="1:11" ht="13.15" customHeight="1"/>
    <row r="287" spans="1:11" ht="13.15" customHeight="1"/>
    <row r="288" spans="1:11" ht="13.15" customHeight="1"/>
    <row r="289" ht="13.15" customHeight="1"/>
    <row r="290" ht="13.15" customHeight="1"/>
    <row r="292" ht="13.15" customHeight="1"/>
    <row r="293" ht="13.15" customHeight="1"/>
    <row r="294" ht="13.15" customHeight="1"/>
    <row r="295" ht="13.15" customHeight="1"/>
    <row r="296" ht="13.15" customHeight="1"/>
    <row r="297" ht="13.15" customHeight="1"/>
    <row r="298" ht="13.15" customHeight="1"/>
    <row r="299" ht="13.15" customHeight="1"/>
    <row r="301" ht="13.15" customHeight="1"/>
    <row r="302" ht="13.15" customHeight="1"/>
    <row r="303" ht="13.15" customHeight="1"/>
    <row r="304" ht="13.15" customHeight="1"/>
    <row r="305" ht="13.15" customHeight="1"/>
    <row r="306" ht="13.15" customHeight="1"/>
    <row r="307" ht="13.15" customHeight="1"/>
    <row r="308" ht="13.15" customHeight="1"/>
    <row r="310" ht="13.15" customHeight="1"/>
    <row r="311" ht="13.15" customHeight="1"/>
    <row r="312" ht="13.15" customHeight="1"/>
    <row r="313" ht="13.15" customHeight="1"/>
    <row r="314" ht="13.15" customHeight="1"/>
    <row r="315" ht="13.15" customHeight="1"/>
    <row r="316" ht="13.15" customHeight="1"/>
    <row r="317" ht="13.15" customHeight="1"/>
    <row r="319" ht="13.15" customHeight="1"/>
    <row r="320" ht="13.15" customHeight="1"/>
    <row r="321" ht="13.15" customHeight="1"/>
    <row r="322" ht="13.15" customHeight="1"/>
    <row r="323" ht="13.15" customHeight="1"/>
    <row r="324" ht="13.15" customHeight="1"/>
    <row r="325" ht="13.15" customHeight="1"/>
    <row r="326" ht="13.15" customHeight="1"/>
    <row r="328" ht="13.15" customHeight="1"/>
    <row r="329" ht="13.15" customHeight="1"/>
    <row r="330" ht="13.15" customHeight="1"/>
    <row r="331" ht="13.15" customHeight="1"/>
    <row r="332" ht="13.15" customHeight="1"/>
    <row r="333" ht="13.15" customHeight="1"/>
    <row r="334" ht="13.15" customHeight="1"/>
    <row r="335" ht="13.15" customHeight="1"/>
    <row r="337" ht="13.15" customHeight="1"/>
    <row r="338" ht="13.15" customHeight="1"/>
    <row r="339" ht="13.15" customHeight="1"/>
    <row r="340" ht="13.15" customHeight="1"/>
    <row r="341" ht="13.15" customHeight="1"/>
    <row r="342" ht="13.15" customHeight="1"/>
    <row r="343" ht="13.15" customHeight="1"/>
    <row r="344" ht="13.15" customHeight="1"/>
    <row r="346" ht="13.15" customHeight="1"/>
    <row r="347" ht="13.15" customHeight="1"/>
    <row r="348" ht="13.15" customHeight="1"/>
    <row r="349" ht="13.15" customHeight="1"/>
    <row r="350" ht="13.15" customHeight="1"/>
    <row r="351" ht="13.15" customHeight="1"/>
    <row r="352" ht="13.15" customHeight="1"/>
    <row r="353" ht="13.15" customHeight="1"/>
    <row r="355" ht="13.15" customHeight="1"/>
    <row r="356" ht="13.15" customHeight="1"/>
    <row r="357" ht="13.15" customHeight="1"/>
    <row r="358" ht="13.15" customHeight="1"/>
    <row r="359" ht="13.15" customHeight="1"/>
    <row r="360" ht="13.15" customHeight="1"/>
    <row r="361" ht="13.15" customHeight="1"/>
    <row r="362" ht="13.15" customHeight="1"/>
    <row r="364" ht="13.15" customHeight="1"/>
    <row r="365" ht="13.15" customHeight="1"/>
    <row r="366" ht="13.15" customHeight="1"/>
    <row r="367" ht="13.15" customHeight="1"/>
    <row r="368" ht="13.15" customHeight="1"/>
    <row r="369" ht="13.15" customHeight="1"/>
    <row r="370" ht="13.15" customHeight="1"/>
    <row r="371" ht="13.15" customHeight="1"/>
    <row r="373" ht="13.15" customHeight="1"/>
    <row r="374" ht="13.15" customHeight="1"/>
    <row r="375" ht="13.15" customHeight="1"/>
    <row r="376" ht="13.15" customHeight="1"/>
    <row r="377" ht="13.15" customHeight="1"/>
    <row r="378" ht="13.15" customHeight="1"/>
    <row r="379" ht="13.15" customHeight="1"/>
    <row r="380" ht="13.15" customHeight="1"/>
    <row r="382" ht="13.15" customHeight="1"/>
    <row r="383" ht="13.15" customHeight="1"/>
    <row r="384" ht="13.15" customHeight="1"/>
    <row r="385" ht="13.15" customHeight="1"/>
    <row r="386" ht="13.15" customHeight="1"/>
    <row r="387" ht="13.15" customHeight="1"/>
    <row r="388" ht="13.15" customHeight="1"/>
    <row r="389" ht="13.15" customHeight="1"/>
    <row r="391" ht="13.15" customHeight="1"/>
    <row r="392" ht="13.15" customHeight="1"/>
    <row r="393" ht="13.15" customHeight="1"/>
    <row r="394" ht="13.15" customHeight="1"/>
    <row r="395" ht="13.15" customHeight="1"/>
    <row r="396" ht="13.15" customHeight="1"/>
    <row r="397" ht="13.15" customHeight="1"/>
    <row r="398" ht="13.15" customHeight="1"/>
    <row r="400" ht="13.15" customHeight="1"/>
    <row r="401" ht="13.15" customHeight="1"/>
    <row r="402" ht="13.15" customHeight="1"/>
    <row r="403" ht="13.15" customHeight="1"/>
    <row r="404" ht="13.15" customHeight="1"/>
    <row r="405" ht="13.15" customHeight="1"/>
    <row r="406" ht="13.15" customHeight="1"/>
    <row r="407" ht="13.15" customHeight="1"/>
    <row r="409" ht="13.15" customHeight="1"/>
    <row r="410" ht="13.15" customHeight="1"/>
    <row r="411" ht="13.15" customHeight="1"/>
    <row r="412" ht="13.15" customHeight="1"/>
    <row r="413" ht="13.15" customHeight="1"/>
    <row r="414" ht="13.15" customHeight="1"/>
    <row r="415" ht="13.15" customHeight="1"/>
    <row r="416" ht="13.15" customHeight="1"/>
    <row r="417"/>
    <row r="418" ht="13.15" customHeight="1"/>
    <row r="419" ht="13.15" customHeight="1"/>
    <row r="420" ht="13.15" customHeight="1"/>
    <row r="421" ht="13.15" customHeight="1"/>
    <row r="422" ht="13.15" customHeight="1"/>
    <row r="423" ht="13.15" customHeight="1"/>
    <row r="424" ht="13.15" customHeight="1"/>
    <row r="425" ht="13.15" customHeight="1"/>
    <row r="426"/>
    <row r="427" ht="13.15" customHeight="1"/>
    <row r="428" ht="13.15" customHeight="1"/>
    <row r="429" ht="13.15" customHeight="1"/>
    <row r="430" ht="13.15" customHeight="1"/>
    <row r="431" ht="13.15" customHeight="1"/>
    <row r="432" ht="13.15" customHeight="1"/>
    <row r="433" ht="13.15" customHeight="1"/>
    <row r="434" ht="13.15" customHeight="1"/>
    <row r="436" ht="13.15" customHeight="1"/>
    <row r="437" ht="13.15" customHeight="1"/>
    <row r="438" ht="13.15" customHeight="1"/>
    <row r="439" ht="13.15" customHeight="1"/>
    <row r="440" ht="13.15" customHeight="1"/>
    <row r="441" ht="13.15" customHeight="1"/>
    <row r="442" ht="13.15" customHeight="1"/>
    <row r="443" ht="13.15" customHeight="1"/>
    <row r="444"/>
    <row r="445" ht="13.15" customHeight="1"/>
    <row r="446" ht="13.15" customHeight="1"/>
    <row r="447" ht="13.15" customHeight="1"/>
    <row r="448" ht="13.15" customHeight="1"/>
    <row r="449" ht="13.15" customHeight="1"/>
    <row r="450" ht="13.15" customHeight="1"/>
    <row r="451" ht="13.15" customHeight="1"/>
    <row r="452" ht="13.15" customHeight="1"/>
    <row r="453"/>
    <row r="454" ht="13.15" customHeight="1"/>
    <row r="455" ht="13.15" customHeight="1"/>
    <row r="456" ht="13.15" customHeight="1"/>
    <row r="457" ht="13.15" customHeight="1"/>
    <row r="458" ht="13.15" customHeight="1"/>
    <row r="459" ht="13.15" customHeight="1"/>
    <row r="460" ht="13.15" customHeight="1"/>
    <row r="461" ht="13.15" customHeight="1"/>
    <row r="463" ht="13.15" customHeight="1"/>
    <row r="464" ht="13.15" customHeight="1"/>
    <row r="465" ht="13.15" customHeight="1"/>
    <row r="466" ht="13.15" customHeight="1"/>
    <row r="467" ht="13.15" customHeight="1"/>
    <row r="468" ht="13.15" customHeight="1"/>
    <row r="469" ht="13.15" customHeight="1"/>
    <row r="470" ht="13.15" customHeight="1"/>
    <row r="472" ht="13.15" customHeight="1"/>
    <row r="473" ht="13.15" customHeight="1"/>
    <row r="474" ht="13.15" customHeight="1"/>
    <row r="475" ht="13.15" customHeight="1"/>
    <row r="476" ht="13.15" customHeight="1"/>
    <row r="477" ht="13.15" customHeight="1"/>
    <row r="478" ht="13.15" customHeight="1"/>
    <row r="479" ht="13.15" customHeight="1"/>
    <row r="481" ht="13.15" customHeight="1"/>
    <row r="482" ht="13.15" customHeight="1"/>
    <row r="483" ht="13.15" customHeight="1"/>
    <row r="484" ht="13.15" customHeight="1"/>
    <row r="485" ht="13.15" customHeight="1"/>
    <row r="486" ht="13.15" customHeight="1"/>
    <row r="487" ht="13.15" customHeight="1"/>
    <row r="488" ht="13.15" customHeight="1"/>
    <row r="490" ht="13.15" customHeight="1"/>
    <row r="491" ht="13.15" customHeight="1"/>
    <row r="492" ht="13.15" customHeight="1"/>
    <row r="493" ht="13.15" customHeight="1"/>
    <row r="494" ht="13.15" customHeight="1"/>
    <row r="495" ht="13.15" customHeight="1"/>
    <row r="496" ht="13.15" customHeight="1"/>
    <row r="497" ht="13.15" customHeight="1"/>
    <row r="499" ht="13.15" customHeight="1"/>
    <row r="500" ht="13.15" customHeight="1"/>
    <row r="501" ht="13.15" customHeight="1"/>
    <row r="502" ht="13.15" customHeight="1"/>
    <row r="503" ht="13.15" customHeight="1"/>
    <row r="504" ht="13.15" customHeight="1"/>
    <row r="505" ht="13.15" customHeight="1"/>
    <row r="506" ht="13.15" customHeight="1"/>
    <row r="508" ht="13.15" customHeight="1"/>
    <row r="509" ht="13.15" customHeight="1"/>
    <row r="510" ht="13.15" customHeight="1"/>
    <row r="511" ht="13.15" customHeight="1"/>
    <row r="512" ht="13.15" customHeight="1"/>
    <row r="513" ht="13.15" customHeight="1"/>
    <row r="514" ht="13.15" customHeight="1"/>
    <row r="515" ht="13.15" customHeight="1"/>
    <row r="517" ht="13.15" customHeight="1"/>
    <row r="518" ht="13.15" customHeight="1"/>
    <row r="519" ht="13.15" customHeight="1"/>
    <row r="520" ht="13.15" customHeight="1"/>
    <row r="521" ht="13.15" customHeight="1"/>
    <row r="522" ht="13.15" customHeight="1"/>
    <row r="523" ht="13.15" customHeight="1"/>
    <row r="524" ht="13.15" customHeight="1"/>
    <row r="526" ht="13.15" customHeight="1"/>
    <row r="527" ht="13.15" customHeight="1"/>
    <row r="528" ht="13.15" customHeight="1"/>
    <row r="529" ht="13.15" customHeight="1"/>
    <row r="530" ht="13.15" customHeight="1"/>
    <row r="531" ht="13.15" customHeight="1"/>
    <row r="532" ht="13.15" customHeight="1"/>
    <row r="533" ht="13.15" customHeight="1"/>
    <row r="535" ht="13.15" customHeight="1"/>
    <row r="536" ht="13.15" customHeight="1"/>
    <row r="537" ht="13.15" customHeight="1"/>
    <row r="538" ht="13.15" customHeight="1"/>
    <row r="539" ht="13.15" customHeight="1"/>
    <row r="540" ht="13.15" customHeight="1"/>
    <row r="541" ht="13.15" customHeight="1"/>
    <row r="542" ht="13.15" customHeight="1"/>
    <row r="544" ht="13.15" customHeight="1"/>
    <row r="545" ht="13.15" customHeight="1"/>
    <row r="546" ht="13.15" customHeight="1"/>
    <row r="547" ht="13.15" customHeight="1"/>
    <row r="548" ht="13.15" customHeight="1"/>
    <row r="549" ht="13.15" customHeight="1"/>
    <row r="550" ht="13.15" customHeight="1"/>
    <row r="551" ht="13.15" customHeight="1"/>
    <row r="553" ht="13.15" customHeight="1"/>
    <row r="554" ht="13.15" customHeight="1"/>
    <row r="555" ht="13.15" customHeight="1"/>
    <row r="556" ht="13.15" customHeight="1"/>
    <row r="557" ht="13.15" customHeight="1"/>
    <row r="558" ht="13.15" customHeight="1"/>
    <row r="559" ht="13.15" customHeight="1"/>
    <row r="560" ht="13.15" customHeight="1"/>
    <row r="562" ht="13.15" customHeight="1"/>
    <row r="563" ht="13.15" customHeight="1"/>
    <row r="564" ht="13.15" customHeight="1"/>
    <row r="565" ht="13.15" customHeight="1"/>
    <row r="566" ht="13.15" customHeight="1"/>
    <row r="567" ht="13.15" customHeight="1"/>
    <row r="568" ht="13.15" customHeight="1"/>
    <row r="569" ht="13.15" customHeight="1"/>
    <row r="571" ht="13.15" customHeight="1"/>
    <row r="572" ht="13.15" customHeight="1"/>
    <row r="573" ht="13.15" customHeight="1"/>
    <row r="574" ht="13.15" customHeight="1"/>
    <row r="575" ht="13.15" customHeight="1"/>
    <row r="576" ht="13.15" customHeight="1"/>
    <row r="577" ht="13.15" customHeight="1"/>
    <row r="578" ht="13.15" customHeight="1"/>
    <row r="580" ht="13.15" customHeight="1"/>
    <row r="581" ht="13.15" customHeight="1"/>
    <row r="582" ht="13.15" customHeight="1"/>
    <row r="583" ht="13.15" customHeight="1"/>
    <row r="584" ht="13.15" customHeight="1"/>
    <row r="585" ht="13.15" customHeight="1"/>
    <row r="586" ht="13.15" customHeight="1"/>
    <row r="587" ht="13.15" customHeight="1"/>
    <row r="589" ht="13.15" customHeight="1"/>
    <row r="590" ht="13.15" customHeight="1"/>
    <row r="591" ht="13.15" customHeight="1"/>
    <row r="592" ht="13.15" customHeight="1"/>
    <row r="593" ht="13.15" customHeight="1"/>
    <row r="594" ht="13.15" customHeight="1"/>
    <row r="595" ht="13.15" customHeight="1"/>
    <row r="596" ht="13.15" customHeight="1"/>
    <row r="598" ht="13.15" customHeight="1"/>
    <row r="599" ht="13.15" customHeight="1"/>
    <row r="600" ht="13.15" customHeight="1"/>
    <row r="601" ht="13.15" customHeight="1"/>
    <row r="602" ht="13.15" customHeight="1"/>
    <row r="603" ht="13.15" customHeight="1"/>
    <row r="604" ht="13.15" customHeight="1"/>
    <row r="605" ht="13.15" customHeight="1"/>
    <row r="606"/>
    <row r="607" ht="13.15" customHeight="1"/>
    <row r="608" ht="13.15" customHeight="1"/>
    <row r="609" ht="13.15" customHeight="1"/>
    <row r="610" ht="13.15" customHeight="1"/>
    <row r="611" ht="13.15" customHeight="1"/>
    <row r="612" ht="13.15" customHeight="1"/>
    <row r="613" ht="13.15" customHeight="1"/>
    <row r="614" ht="13.15" customHeight="1"/>
    <row r="616" ht="13.15" customHeight="1"/>
    <row r="617" ht="13.15" customHeight="1"/>
    <row r="618" ht="13.15" customHeight="1"/>
    <row r="619" ht="13.15" customHeight="1"/>
    <row r="620" ht="13.15" customHeight="1"/>
    <row r="621" ht="13.15" customHeight="1"/>
    <row r="622" ht="13.15" customHeight="1"/>
    <row r="623" ht="13.15" customHeight="1"/>
    <row r="625" ht="13.15" customHeight="1"/>
    <row r="626" ht="13.15" customHeight="1"/>
    <row r="627" ht="13.15" customHeight="1"/>
    <row r="628" ht="13.15" customHeight="1"/>
    <row r="629" ht="13.15" customHeight="1"/>
    <row r="630" ht="13.15" customHeight="1"/>
    <row r="631" ht="13.15" customHeight="1"/>
    <row r="632" ht="13.15" customHeight="1"/>
    <row r="634" ht="13.15" customHeight="1"/>
    <row r="635" ht="13.15" customHeight="1"/>
    <row r="636" ht="13.15" customHeight="1"/>
    <row r="637" ht="13.15" customHeight="1"/>
    <row r="638" ht="13.15" customHeight="1"/>
    <row r="639" ht="13.15" customHeight="1"/>
    <row r="640" ht="13.15" customHeight="1"/>
    <row r="641" ht="13.15" customHeight="1"/>
    <row r="642"/>
    <row r="643" ht="13.15" customHeight="1"/>
    <row r="644" ht="13.15" customHeight="1"/>
    <row r="645" ht="13.15" customHeight="1"/>
    <row r="646" ht="13.15" customHeight="1"/>
    <row r="647" ht="13.15" customHeight="1"/>
    <row r="648" ht="13.15" customHeight="1"/>
    <row r="649" ht="13.15" customHeight="1"/>
    <row r="650" ht="13.15" customHeight="1"/>
    <row r="652" ht="13.15" customHeight="1"/>
    <row r="653" ht="13.15" customHeight="1"/>
    <row r="654" ht="13.15" customHeight="1"/>
    <row r="655" ht="13.15" customHeight="1"/>
    <row r="656" ht="13.15" customHeight="1"/>
    <row r="657" ht="13.15" customHeight="1"/>
    <row r="658" ht="13.15" customHeight="1"/>
    <row r="659" ht="13.15" customHeight="1"/>
    <row r="661" ht="13.15" customHeight="1"/>
    <row r="662" ht="13.15" customHeight="1"/>
    <row r="663" ht="13.15" customHeight="1"/>
    <row r="664" ht="13.15" customHeight="1"/>
    <row r="665" ht="13.15" customHeight="1"/>
    <row r="666" ht="13.15" customHeight="1"/>
    <row r="667" ht="13.15" customHeight="1"/>
    <row r="668" ht="13.15" customHeight="1"/>
    <row r="670" ht="13.15" customHeight="1"/>
    <row r="671" ht="13.15" customHeight="1"/>
    <row r="672" ht="13.15" customHeight="1"/>
    <row r="673" ht="13.15" customHeight="1"/>
    <row r="674" ht="13.15" customHeight="1"/>
    <row r="675" ht="13.15" customHeight="1"/>
    <row r="676" ht="13.15" customHeight="1"/>
    <row r="677" ht="13.15" customHeight="1"/>
    <row r="679" ht="13.15" customHeight="1"/>
    <row r="680" ht="13.15" customHeight="1"/>
    <row r="681" ht="13.15" customHeight="1"/>
    <row r="682" ht="13.15" customHeight="1"/>
    <row r="683" ht="13.15" customHeight="1"/>
    <row r="684" ht="13.15" customHeight="1"/>
    <row r="685" ht="13.15" customHeight="1"/>
    <row r="686" ht="13.15" customHeight="1"/>
    <row r="688" ht="13.15" customHeight="1"/>
    <row r="689" ht="13.15" customHeight="1"/>
    <row r="690" ht="13.15" customHeight="1"/>
    <row r="691" ht="13.15" customHeight="1"/>
    <row r="692" ht="13.15" customHeight="1"/>
    <row r="693" ht="13.15" customHeight="1"/>
    <row r="694" ht="13.15" customHeight="1"/>
    <row r="695" ht="13.15" customHeight="1"/>
    <row r="697" ht="13.15" customHeight="1"/>
    <row r="698" ht="13.15" customHeight="1"/>
    <row r="699" ht="13.15" customHeight="1"/>
    <row r="700" ht="13.15" customHeight="1"/>
    <row r="701" ht="13.15" customHeight="1"/>
    <row r="702" ht="13.15" customHeight="1"/>
    <row r="703" ht="13.15" customHeight="1"/>
    <row r="704" ht="13.15" customHeight="1"/>
  </sheetData>
  <autoFilter ref="A1:K164" xr:uid="{D1C5A8DA-539C-4D78-84E6-93DBE5BAAFB9}">
    <filterColumn colId="10">
      <filters>
        <filter val="STRY0087287"/>
      </filters>
    </filterColumn>
    <sortState xmlns:xlrd2="http://schemas.microsoft.com/office/spreadsheetml/2017/richdata2" ref="A2:K164">
      <sortCondition ref="K1:K141"/>
    </sortState>
  </autoFilter>
  <phoneticPr fontId="2" type="noConversion"/>
  <conditionalFormatting sqref="B31:C32 C54 B53:B54 B55:C69 D73:D79 B77:C79 B80:D90 K78:K90 B91:C92 C93:C94 C95:D106 C107:C108 B92:B117 E31:F32 D32 A169:A280 B69:F78 H69:K78 C109:D117 G3:G32 B158:G158 B158:D162 G53:G157 B53:C53 E53:F111 D53:D70 B33:G52">
    <cfRule type="expression" dxfId="308" priority="107" stopIfTrue="1">
      <formula>($G3="Fail")</formula>
    </cfRule>
    <cfRule type="expression" dxfId="307" priority="108" stopIfTrue="1">
      <formula>($G3="Pass")</formula>
    </cfRule>
  </conditionalFormatting>
  <conditionalFormatting sqref="E29:F29">
    <cfRule type="expression" dxfId="306" priority="318" stopIfTrue="1">
      <formula>($G30="Fail")</formula>
    </cfRule>
    <cfRule type="expression" dxfId="305" priority="319" stopIfTrue="1">
      <formula>($G30="Pass")</formula>
    </cfRule>
  </conditionalFormatting>
  <conditionalFormatting sqref="E30:F30">
    <cfRule type="expression" dxfId="304" priority="320" stopIfTrue="1">
      <formula>(#REF!="Fail")</formula>
    </cfRule>
    <cfRule type="expression" dxfId="303" priority="321" stopIfTrue="1">
      <formula>(#REF!="Pass")</formula>
    </cfRule>
  </conditionalFormatting>
  <conditionalFormatting sqref="E159:E280 E142:E157">
    <cfRule type="expression" dxfId="302" priority="131" stopIfTrue="1">
      <formula>($G142="Pass")</formula>
    </cfRule>
  </conditionalFormatting>
  <conditionalFormatting sqref="E159:E280 E142:E157">
    <cfRule type="expression" dxfId="301" priority="130" stopIfTrue="1">
      <formula>($G142="Fail")</formula>
    </cfRule>
  </conditionalFormatting>
  <conditionalFormatting sqref="E9:F10 E139:F139 F2:G2 F11:F17 F4 F6:F8 E18:F19 B27:C30 B14:B19 D27:F28 B20:F26">
    <cfRule type="expression" dxfId="300" priority="273" stopIfTrue="1">
      <formula>($G2="Fail")</formula>
    </cfRule>
    <cfRule type="expression" dxfId="299" priority="274" stopIfTrue="1">
      <formula>($G2="Pass")</formula>
    </cfRule>
  </conditionalFormatting>
  <conditionalFormatting sqref="G165:G280">
    <cfRule type="expression" dxfId="298" priority="115" stopIfTrue="1">
      <formula>($G165="Fail")</formula>
    </cfRule>
    <cfRule type="expression" dxfId="297" priority="116" stopIfTrue="1">
      <formula>($G165="Pass")</formula>
    </cfRule>
  </conditionalFormatting>
  <conditionalFormatting sqref="D2">
    <cfRule type="expression" dxfId="296" priority="91" stopIfTrue="1">
      <formula>($G2="Fail")</formula>
    </cfRule>
    <cfRule type="expression" dxfId="295" priority="92" stopIfTrue="1">
      <formula>($G2="Pass")</formula>
    </cfRule>
  </conditionalFormatting>
  <conditionalFormatting sqref="D3">
    <cfRule type="expression" dxfId="294" priority="89" stopIfTrue="1">
      <formula>($G3="Fail")</formula>
    </cfRule>
    <cfRule type="expression" dxfId="293" priority="90" stopIfTrue="1">
      <formula>($G3="Pass")</formula>
    </cfRule>
  </conditionalFormatting>
  <conditionalFormatting sqref="B4">
    <cfRule type="expression" dxfId="292" priority="81" stopIfTrue="1">
      <formula>($G4="Fail")</formula>
    </cfRule>
    <cfRule type="expression" dxfId="291" priority="82" stopIfTrue="1">
      <formula>($G4="Pass")</formula>
    </cfRule>
    <cfRule type="expression" dxfId="290" priority="83" stopIfTrue="1">
      <formula>($G4="Fail")</formula>
    </cfRule>
    <cfRule type="expression" dxfId="289" priority="84" stopIfTrue="1">
      <formula>($G4="Pass")</formula>
    </cfRule>
    <cfRule type="expression" dxfId="288" priority="85" stopIfTrue="1">
      <formula>($G4="Fail")</formula>
    </cfRule>
    <cfRule type="expression" dxfId="287" priority="86" stopIfTrue="1">
      <formula>($G4="Pass")</formula>
    </cfRule>
  </conditionalFormatting>
  <conditionalFormatting sqref="B4">
    <cfRule type="expression" dxfId="286" priority="87" stopIfTrue="1">
      <formula>($G4="Fail")</formula>
    </cfRule>
    <cfRule type="expression" dxfId="285" priority="88" stopIfTrue="1">
      <formula>($G4="Pass")</formula>
    </cfRule>
  </conditionalFormatting>
  <conditionalFormatting sqref="B4">
    <cfRule type="expression" dxfId="284" priority="79" stopIfTrue="1">
      <formula>($G4="Fail")</formula>
    </cfRule>
    <cfRule type="expression" dxfId="283" priority="80" stopIfTrue="1">
      <formula>($G4="Pass")</formula>
    </cfRule>
  </conditionalFormatting>
  <conditionalFormatting sqref="B5">
    <cfRule type="expression" dxfId="282" priority="77" stopIfTrue="1">
      <formula>($G5="Fail")</formula>
    </cfRule>
    <cfRule type="expression" dxfId="281" priority="78" stopIfTrue="1">
      <formula>($G5="Pass")</formula>
    </cfRule>
  </conditionalFormatting>
  <conditionalFormatting sqref="B5">
    <cfRule type="expression" dxfId="280" priority="75" stopIfTrue="1">
      <formula>($G5="Fail")</formula>
    </cfRule>
    <cfRule type="expression" dxfId="279" priority="76" stopIfTrue="1">
      <formula>($G5="Pass")</formula>
    </cfRule>
  </conditionalFormatting>
  <conditionalFormatting sqref="B5">
    <cfRule type="expression" dxfId="278" priority="73" stopIfTrue="1">
      <formula>($G5="Fail")</formula>
    </cfRule>
    <cfRule type="expression" dxfId="277" priority="74" stopIfTrue="1">
      <formula>($G5="Pass")</formula>
    </cfRule>
  </conditionalFormatting>
  <conditionalFormatting sqref="B6:B7">
    <cfRule type="expression" dxfId="276" priority="71" stopIfTrue="1">
      <formula>($G6="Fail")</formula>
    </cfRule>
    <cfRule type="expression" dxfId="275" priority="72" stopIfTrue="1">
      <formula>($G6="Pass")</formula>
    </cfRule>
  </conditionalFormatting>
  <conditionalFormatting sqref="B6:B7">
    <cfRule type="expression" dxfId="274" priority="69" stopIfTrue="1">
      <formula>($G6="Fail")</formula>
    </cfRule>
    <cfRule type="expression" dxfId="273" priority="70" stopIfTrue="1">
      <formula>($G6="Pass")</formula>
    </cfRule>
  </conditionalFormatting>
  <conditionalFormatting sqref="B8 D8">
    <cfRule type="expression" dxfId="272" priority="67" stopIfTrue="1">
      <formula>($G8="Fail")</formula>
    </cfRule>
    <cfRule type="expression" dxfId="271" priority="68" stopIfTrue="1">
      <formula>($G8="Pass")</formula>
    </cfRule>
  </conditionalFormatting>
  <conditionalFormatting sqref="B9:B13 D9:D19">
    <cfRule type="expression" dxfId="270" priority="63" stopIfTrue="1">
      <formula>($G9="Fail")</formula>
    </cfRule>
    <cfRule type="expression" dxfId="269" priority="64" stopIfTrue="1">
      <formula>($G9="Pass")</formula>
    </cfRule>
  </conditionalFormatting>
  <conditionalFormatting sqref="D91:D94">
    <cfRule type="expression" dxfId="268" priority="61" stopIfTrue="1">
      <formula>($G91="Fail")</formula>
    </cfRule>
    <cfRule type="expression" dxfId="267" priority="62" stopIfTrue="1">
      <formula>($G91="Pass")</formula>
    </cfRule>
  </conditionalFormatting>
  <conditionalFormatting sqref="D107:D108">
    <cfRule type="expression" dxfId="266" priority="59" stopIfTrue="1">
      <formula>($G107="Fail")</formula>
    </cfRule>
    <cfRule type="expression" dxfId="265" priority="60" stopIfTrue="1">
      <formula>($G107="Pass")</formula>
    </cfRule>
  </conditionalFormatting>
  <conditionalFormatting sqref="C119:D120 C118">
    <cfRule type="expression" dxfId="264" priority="57" stopIfTrue="1">
      <formula>($G118="Fail")</formula>
    </cfRule>
    <cfRule type="expression" dxfId="263" priority="58" stopIfTrue="1">
      <formula>($G118="Pass")</formula>
    </cfRule>
  </conditionalFormatting>
  <conditionalFormatting sqref="C122:D123 C121">
    <cfRule type="expression" dxfId="262" priority="55" stopIfTrue="1">
      <formula>($G121="Fail")</formula>
    </cfRule>
    <cfRule type="expression" dxfId="261" priority="56" stopIfTrue="1">
      <formula>($G121="Pass")</formula>
    </cfRule>
  </conditionalFormatting>
  <conditionalFormatting sqref="C125:D126 C124">
    <cfRule type="expression" dxfId="260" priority="53" stopIfTrue="1">
      <formula>($G124="Fail")</formula>
    </cfRule>
    <cfRule type="expression" dxfId="259" priority="54" stopIfTrue="1">
      <formula>($G124="Pass")</formula>
    </cfRule>
  </conditionalFormatting>
  <conditionalFormatting sqref="C133:D135">
    <cfRule type="expression" dxfId="258" priority="51" stopIfTrue="1">
      <formula>($G133="Fail")</formula>
    </cfRule>
    <cfRule type="expression" dxfId="257" priority="52" stopIfTrue="1">
      <formula>($G133="Pass")</formula>
    </cfRule>
  </conditionalFormatting>
  <conditionalFormatting sqref="C137:D138 C136">
    <cfRule type="expression" dxfId="256" priority="49" stopIfTrue="1">
      <formula>($G136="Fail")</formula>
    </cfRule>
    <cfRule type="expression" dxfId="255" priority="50" stopIfTrue="1">
      <formula>($G136="Pass")</formula>
    </cfRule>
  </conditionalFormatting>
  <conditionalFormatting sqref="C140:D141 C139">
    <cfRule type="expression" dxfId="254" priority="47" stopIfTrue="1">
      <formula>($G139="Fail")</formula>
    </cfRule>
    <cfRule type="expression" dxfId="253" priority="48" stopIfTrue="1">
      <formula>($G139="Pass")</formula>
    </cfRule>
  </conditionalFormatting>
  <conditionalFormatting sqref="C143:D144 C142">
    <cfRule type="expression" dxfId="252" priority="41" stopIfTrue="1">
      <formula>($G142="Fail")</formula>
    </cfRule>
    <cfRule type="expression" dxfId="251" priority="42" stopIfTrue="1">
      <formula>($G142="Pass")</formula>
    </cfRule>
  </conditionalFormatting>
  <conditionalFormatting sqref="C145:C157">
    <cfRule type="expression" dxfId="250" priority="39" stopIfTrue="1">
      <formula>($G145="Fail")</formula>
    </cfRule>
    <cfRule type="expression" dxfId="249" priority="40" stopIfTrue="1">
      <formula>($G145="Pass")</formula>
    </cfRule>
  </conditionalFormatting>
  <conditionalFormatting sqref="D145:D157">
    <cfRule type="expression" dxfId="248" priority="37" stopIfTrue="1">
      <formula>($G145="Fail")</formula>
    </cfRule>
    <cfRule type="expression" dxfId="247" priority="38" stopIfTrue="1">
      <formula>($G145="Pass")</formula>
    </cfRule>
  </conditionalFormatting>
  <conditionalFormatting sqref="C127:D129">
    <cfRule type="expression" dxfId="246" priority="35" stopIfTrue="1">
      <formula>($G127="Fail")</formula>
    </cfRule>
    <cfRule type="expression" dxfId="245" priority="36" stopIfTrue="1">
      <formula>($G127="Pass")</formula>
    </cfRule>
  </conditionalFormatting>
  <conditionalFormatting sqref="C131:D132 C130">
    <cfRule type="expression" dxfId="244" priority="33" stopIfTrue="1">
      <formula>($G130="Fail")</formula>
    </cfRule>
    <cfRule type="expression" dxfId="243" priority="34" stopIfTrue="1">
      <formula>($G130="Pass")</formula>
    </cfRule>
  </conditionalFormatting>
  <conditionalFormatting sqref="D29">
    <cfRule type="expression" dxfId="242" priority="31" stopIfTrue="1">
      <formula>($G29="Fail")</formula>
    </cfRule>
    <cfRule type="expression" dxfId="241" priority="32" stopIfTrue="1">
      <formula>($G29="Pass")</formula>
    </cfRule>
  </conditionalFormatting>
  <conditionalFormatting sqref="D30">
    <cfRule type="expression" dxfId="240" priority="29" stopIfTrue="1">
      <formula>($G30="Fail")</formula>
    </cfRule>
    <cfRule type="expression" dxfId="239" priority="30" stopIfTrue="1">
      <formula>($G30="Pass")</formula>
    </cfRule>
  </conditionalFormatting>
  <conditionalFormatting sqref="D31">
    <cfRule type="expression" dxfId="238" priority="27" stopIfTrue="1">
      <formula>($G31="Fail")</formula>
    </cfRule>
    <cfRule type="expression" dxfId="237" priority="28" stopIfTrue="1">
      <formula>($G31="Pass")</formula>
    </cfRule>
  </conditionalFormatting>
  <conditionalFormatting sqref="D118">
    <cfRule type="expression" dxfId="236" priority="25" stopIfTrue="1">
      <formula>($G118="Fail")</formula>
    </cfRule>
    <cfRule type="expression" dxfId="235" priority="26" stopIfTrue="1">
      <formula>($G118="Pass")</formula>
    </cfRule>
  </conditionalFormatting>
  <conditionalFormatting sqref="D121">
    <cfRule type="expression" dxfId="234" priority="19" stopIfTrue="1">
      <formula>($G121="Fail")</formula>
    </cfRule>
    <cfRule type="expression" dxfId="233" priority="20" stopIfTrue="1">
      <formula>($G121="Pass")</formula>
    </cfRule>
  </conditionalFormatting>
  <conditionalFormatting sqref="D124">
    <cfRule type="expression" dxfId="232" priority="17" stopIfTrue="1">
      <formula>($G124="Fail")</formula>
    </cfRule>
    <cfRule type="expression" dxfId="231" priority="18" stopIfTrue="1">
      <formula>($G124="Pass")</formula>
    </cfRule>
  </conditionalFormatting>
  <conditionalFormatting sqref="D142">
    <cfRule type="expression" dxfId="230" priority="13" stopIfTrue="1">
      <formula>($G142="Fail")</formula>
    </cfRule>
    <cfRule type="expression" dxfId="229" priority="14" stopIfTrue="1">
      <formula>($G142="Pass")</formula>
    </cfRule>
  </conditionalFormatting>
  <conditionalFormatting sqref="D130">
    <cfRule type="expression" dxfId="228" priority="11" stopIfTrue="1">
      <formula>($G130="Fail")</formula>
    </cfRule>
    <cfRule type="expression" dxfId="227" priority="12" stopIfTrue="1">
      <formula>($G130="Pass")</formula>
    </cfRule>
  </conditionalFormatting>
  <conditionalFormatting sqref="D136">
    <cfRule type="expression" dxfId="226" priority="9" stopIfTrue="1">
      <formula>($G136="Fail")</formula>
    </cfRule>
    <cfRule type="expression" dxfId="225" priority="10" stopIfTrue="1">
      <formula>($G136="Pass")</formula>
    </cfRule>
  </conditionalFormatting>
  <conditionalFormatting sqref="D139">
    <cfRule type="expression" dxfId="224" priority="7" stopIfTrue="1">
      <formula>($G139="Fail")</formula>
    </cfRule>
    <cfRule type="expression" dxfId="223" priority="8" stopIfTrue="1">
      <formula>($G139="Pass")</formula>
    </cfRule>
  </conditionalFormatting>
  <conditionalFormatting sqref="D159:D164">
    <cfRule type="expression" dxfId="222" priority="5" stopIfTrue="1">
      <formula>($G159="Fail")</formula>
    </cfRule>
    <cfRule type="expression" dxfId="221" priority="6" stopIfTrue="1">
      <formula>($G159="Pass")</formula>
    </cfRule>
  </conditionalFormatting>
  <conditionalFormatting sqref="G159:G164">
    <cfRule type="expression" dxfId="220" priority="3" stopIfTrue="1">
      <formula>($G159="Fail")</formula>
    </cfRule>
    <cfRule type="expression" dxfId="219" priority="4" stopIfTrue="1">
      <formula>($G159="Pass")</formula>
    </cfRule>
  </conditionalFormatting>
  <conditionalFormatting sqref="B163:D164">
    <cfRule type="expression" dxfId="218" priority="1" stopIfTrue="1">
      <formula>($G163="Fail")</formula>
    </cfRule>
    <cfRule type="expression" dxfId="217" priority="2" stopIfTrue="1">
      <formula>($G163="Pass")</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K127"/>
  <sheetViews>
    <sheetView tabSelected="1" zoomScale="86" zoomScaleNormal="86" workbookViewId="0">
      <pane ySplit="1" topLeftCell="A59" activePane="bottomLeft" state="frozen"/>
      <selection pane="bottomLeft" activeCell="F59" sqref="F59:G60"/>
    </sheetView>
  </sheetViews>
  <sheetFormatPr defaultColWidth="8.7109375" defaultRowHeight="13.15"/>
  <cols>
    <col min="1" max="1" width="11.140625" style="57" customWidth="1"/>
    <col min="2" max="2" width="44.28515625" style="71" customWidth="1"/>
    <col min="3" max="3" width="42.7109375" style="49" customWidth="1"/>
    <col min="4" max="4" width="33.42578125" style="48" customWidth="1"/>
    <col min="5" max="5" width="10.42578125" style="72" bestFit="1" customWidth="1"/>
    <col min="6" max="6" width="11.85546875" style="73" customWidth="1"/>
    <col min="7" max="7" width="15.28515625" style="72" customWidth="1"/>
    <col min="8" max="8" width="46.85546875" style="55" customWidth="1"/>
    <col min="9" max="9" width="27.7109375" style="57" customWidth="1"/>
    <col min="10" max="10" width="14.28515625" style="57" customWidth="1"/>
    <col min="11" max="11" width="18.28515625" style="57" customWidth="1"/>
    <col min="12" max="16384" width="8.7109375" style="57"/>
  </cols>
  <sheetData>
    <row r="1" spans="1:11" ht="24">
      <c r="A1" s="430" t="s">
        <v>106</v>
      </c>
      <c r="B1" s="353" t="s">
        <v>107</v>
      </c>
      <c r="C1" s="353" t="s">
        <v>108</v>
      </c>
      <c r="D1" s="353" t="s">
        <v>109</v>
      </c>
      <c r="E1" s="430" t="s">
        <v>110</v>
      </c>
      <c r="F1" s="431" t="s">
        <v>111</v>
      </c>
      <c r="G1" s="353" t="s">
        <v>112</v>
      </c>
      <c r="H1" s="432" t="s">
        <v>113</v>
      </c>
      <c r="I1" s="353" t="s">
        <v>114</v>
      </c>
      <c r="J1" s="433" t="s">
        <v>115</v>
      </c>
      <c r="K1" s="353" t="s">
        <v>116</v>
      </c>
    </row>
    <row r="2" spans="1:11" ht="96">
      <c r="A2" s="190" t="s">
        <v>793</v>
      </c>
      <c r="B2" s="196" t="s">
        <v>794</v>
      </c>
      <c r="C2" s="267" t="s">
        <v>795</v>
      </c>
      <c r="D2" s="337" t="s">
        <v>796</v>
      </c>
      <c r="E2" s="234">
        <v>8</v>
      </c>
      <c r="F2" s="192"/>
      <c r="G2" s="234" t="s">
        <v>102</v>
      </c>
      <c r="H2" s="125"/>
      <c r="I2" s="338"/>
      <c r="J2" s="162"/>
      <c r="K2" s="174" t="s">
        <v>797</v>
      </c>
    </row>
    <row r="3" spans="1:11" ht="36">
      <c r="A3" s="190" t="s">
        <v>798</v>
      </c>
      <c r="B3" s="174" t="s">
        <v>799</v>
      </c>
      <c r="C3" s="267" t="s">
        <v>800</v>
      </c>
      <c r="D3" s="174" t="s">
        <v>801</v>
      </c>
      <c r="E3" s="367">
        <v>2</v>
      </c>
      <c r="F3" s="339"/>
      <c r="G3" s="234" t="s">
        <v>102</v>
      </c>
      <c r="H3" s="407"/>
      <c r="I3" s="308"/>
      <c r="J3" s="162"/>
      <c r="K3" s="174" t="s">
        <v>802</v>
      </c>
    </row>
    <row r="4" spans="1:11" ht="166.5">
      <c r="A4" s="190" t="s">
        <v>803</v>
      </c>
      <c r="B4" s="154" t="s">
        <v>804</v>
      </c>
      <c r="C4" s="412" t="s">
        <v>805</v>
      </c>
      <c r="D4" s="408" t="s">
        <v>806</v>
      </c>
      <c r="E4" s="234">
        <v>8</v>
      </c>
      <c r="F4" s="191"/>
      <c r="G4" s="234" t="s">
        <v>102</v>
      </c>
      <c r="H4" s="407"/>
      <c r="I4" s="338"/>
      <c r="J4" s="162"/>
      <c r="K4" s="174" t="s">
        <v>807</v>
      </c>
    </row>
    <row r="5" spans="1:11" ht="142.5">
      <c r="A5" s="190" t="s">
        <v>808</v>
      </c>
      <c r="B5" s="154" t="s">
        <v>809</v>
      </c>
      <c r="C5" s="361" t="s">
        <v>810</v>
      </c>
      <c r="D5" s="408" t="s">
        <v>811</v>
      </c>
      <c r="E5" s="409">
        <v>13</v>
      </c>
      <c r="F5" s="192"/>
      <c r="G5" s="234" t="s">
        <v>102</v>
      </c>
      <c r="H5" s="407"/>
      <c r="I5" s="308"/>
      <c r="J5" s="162"/>
      <c r="K5" s="174" t="s">
        <v>807</v>
      </c>
    </row>
    <row r="6" spans="1:11" ht="75" customHeight="1">
      <c r="A6" s="190" t="s">
        <v>812</v>
      </c>
      <c r="B6" s="174" t="s">
        <v>813</v>
      </c>
      <c r="C6" s="267" t="s">
        <v>814</v>
      </c>
      <c r="D6" s="337" t="s">
        <v>815</v>
      </c>
      <c r="E6" s="234">
        <v>3</v>
      </c>
      <c r="F6" s="192"/>
      <c r="G6" s="234" t="s">
        <v>102</v>
      </c>
      <c r="H6" s="125"/>
      <c r="I6" s="338"/>
      <c r="J6" s="162"/>
      <c r="K6" s="410" t="s">
        <v>816</v>
      </c>
    </row>
    <row r="7" spans="1:11" ht="104.25" customHeight="1">
      <c r="A7" s="190" t="s">
        <v>817</v>
      </c>
      <c r="B7" s="411" t="s">
        <v>818</v>
      </c>
      <c r="C7" s="412" t="s">
        <v>819</v>
      </c>
      <c r="D7" s="408" t="s">
        <v>820</v>
      </c>
      <c r="E7" s="234">
        <v>3</v>
      </c>
      <c r="F7" s="192"/>
      <c r="G7" s="234" t="s">
        <v>102</v>
      </c>
      <c r="H7" s="407"/>
      <c r="I7" s="338"/>
      <c r="J7" s="162"/>
      <c r="K7" s="410" t="s">
        <v>816</v>
      </c>
    </row>
    <row r="8" spans="1:11" ht="84">
      <c r="A8" s="190" t="s">
        <v>821</v>
      </c>
      <c r="B8" s="411" t="s">
        <v>822</v>
      </c>
      <c r="C8" s="412" t="s">
        <v>823</v>
      </c>
      <c r="D8" s="408" t="s">
        <v>824</v>
      </c>
      <c r="E8" s="234">
        <v>3</v>
      </c>
      <c r="F8" s="192"/>
      <c r="G8" s="234" t="s">
        <v>102</v>
      </c>
      <c r="H8" s="426"/>
      <c r="I8" s="308"/>
      <c r="J8" s="162"/>
      <c r="K8" s="410" t="s">
        <v>816</v>
      </c>
    </row>
    <row r="9" spans="1:11" ht="96">
      <c r="A9" s="190" t="s">
        <v>825</v>
      </c>
      <c r="B9" s="411" t="s">
        <v>826</v>
      </c>
      <c r="C9" s="412" t="s">
        <v>827</v>
      </c>
      <c r="D9" s="408" t="s">
        <v>828</v>
      </c>
      <c r="E9" s="367">
        <v>3</v>
      </c>
      <c r="F9" s="192"/>
      <c r="G9" s="234" t="s">
        <v>102</v>
      </c>
      <c r="H9" s="410"/>
      <c r="I9" s="308"/>
      <c r="J9" s="162"/>
      <c r="K9" s="410" t="s">
        <v>816</v>
      </c>
    </row>
    <row r="10" spans="1:11" ht="107.25">
      <c r="A10" s="190" t="s">
        <v>829</v>
      </c>
      <c r="B10" s="411" t="s">
        <v>830</v>
      </c>
      <c r="C10" s="412" t="s">
        <v>831</v>
      </c>
      <c r="D10" s="408" t="s">
        <v>832</v>
      </c>
      <c r="E10" s="234">
        <v>3</v>
      </c>
      <c r="F10" s="192"/>
      <c r="G10" s="234" t="s">
        <v>102</v>
      </c>
      <c r="H10" s="410"/>
      <c r="I10" s="416"/>
      <c r="J10" s="162"/>
      <c r="K10" s="410" t="s">
        <v>816</v>
      </c>
    </row>
    <row r="11" spans="1:11" ht="84">
      <c r="A11" s="190" t="s">
        <v>833</v>
      </c>
      <c r="B11" s="413" t="s">
        <v>834</v>
      </c>
      <c r="C11" s="412" t="s">
        <v>835</v>
      </c>
      <c r="D11" s="408" t="s">
        <v>836</v>
      </c>
      <c r="E11" s="234">
        <v>5</v>
      </c>
      <c r="F11" s="192"/>
      <c r="G11" s="234" t="s">
        <v>102</v>
      </c>
      <c r="H11" s="407"/>
      <c r="I11" s="308"/>
      <c r="J11" s="162"/>
      <c r="K11" s="154" t="s">
        <v>837</v>
      </c>
    </row>
    <row r="12" spans="1:11" ht="130.5">
      <c r="A12" s="190" t="s">
        <v>838</v>
      </c>
      <c r="B12" s="364" t="s">
        <v>839</v>
      </c>
      <c r="C12" s="412" t="s">
        <v>840</v>
      </c>
      <c r="D12" s="408" t="s">
        <v>841</v>
      </c>
      <c r="E12" s="409">
        <v>8</v>
      </c>
      <c r="F12" s="192"/>
      <c r="G12" s="234" t="s">
        <v>102</v>
      </c>
      <c r="H12" s="407"/>
      <c r="I12" s="308"/>
      <c r="J12" s="162"/>
      <c r="K12" s="154" t="s">
        <v>842</v>
      </c>
    </row>
    <row r="13" spans="1:11" ht="190.5">
      <c r="A13" s="190" t="s">
        <v>843</v>
      </c>
      <c r="B13" s="413" t="s">
        <v>844</v>
      </c>
      <c r="C13" s="412" t="s">
        <v>845</v>
      </c>
      <c r="D13" s="408" t="s">
        <v>846</v>
      </c>
      <c r="E13" s="409">
        <v>8</v>
      </c>
      <c r="F13" s="192"/>
      <c r="G13" s="234" t="s">
        <v>102</v>
      </c>
      <c r="H13" s="407"/>
      <c r="I13" s="308"/>
      <c r="J13" s="162"/>
      <c r="K13" s="154" t="s">
        <v>842</v>
      </c>
    </row>
    <row r="14" spans="1:11" ht="130.5">
      <c r="A14" s="190" t="s">
        <v>847</v>
      </c>
      <c r="B14" s="364" t="s">
        <v>848</v>
      </c>
      <c r="C14" s="361" t="s">
        <v>849</v>
      </c>
      <c r="D14" s="408" t="s">
        <v>850</v>
      </c>
      <c r="E14" s="414">
        <v>10</v>
      </c>
      <c r="F14" s="192"/>
      <c r="G14" s="234" t="s">
        <v>102</v>
      </c>
      <c r="H14" s="407"/>
      <c r="I14" s="415"/>
      <c r="J14" s="162"/>
      <c r="K14" s="154" t="s">
        <v>842</v>
      </c>
    </row>
    <row r="15" spans="1:11" ht="178.5">
      <c r="A15" s="190" t="s">
        <v>851</v>
      </c>
      <c r="B15" s="364" t="s">
        <v>852</v>
      </c>
      <c r="C15" s="361" t="s">
        <v>853</v>
      </c>
      <c r="D15" s="408" t="s">
        <v>854</v>
      </c>
      <c r="E15" s="409">
        <v>9</v>
      </c>
      <c r="F15" s="192"/>
      <c r="G15" s="234" t="s">
        <v>102</v>
      </c>
      <c r="H15" s="407"/>
      <c r="I15" s="308"/>
      <c r="J15" s="162"/>
      <c r="K15" s="154" t="s">
        <v>842</v>
      </c>
    </row>
    <row r="16" spans="1:11" ht="142.5">
      <c r="A16" s="190" t="s">
        <v>855</v>
      </c>
      <c r="B16" s="364" t="s">
        <v>856</v>
      </c>
      <c r="C16" s="361" t="s">
        <v>857</v>
      </c>
      <c r="D16" s="408" t="s">
        <v>858</v>
      </c>
      <c r="E16" s="409">
        <v>13</v>
      </c>
      <c r="F16" s="191"/>
      <c r="G16" s="234" t="s">
        <v>102</v>
      </c>
      <c r="H16" s="407"/>
      <c r="I16" s="308"/>
      <c r="J16" s="162"/>
      <c r="K16" s="154" t="s">
        <v>842</v>
      </c>
    </row>
    <row r="17" spans="1:11" ht="48">
      <c r="A17" s="190" t="s">
        <v>859</v>
      </c>
      <c r="B17" s="174" t="s">
        <v>860</v>
      </c>
      <c r="C17" s="267" t="s">
        <v>861</v>
      </c>
      <c r="D17" s="174" t="s">
        <v>801</v>
      </c>
      <c r="E17" s="367">
        <v>2</v>
      </c>
      <c r="F17" s="192"/>
      <c r="G17" s="234" t="s">
        <v>102</v>
      </c>
      <c r="H17" s="125"/>
      <c r="I17" s="308"/>
      <c r="J17" s="162"/>
      <c r="K17" s="174" t="s">
        <v>802</v>
      </c>
    </row>
    <row r="18" spans="1:11" ht="48">
      <c r="A18" s="190" t="s">
        <v>862</v>
      </c>
      <c r="B18" s="174" t="s">
        <v>863</v>
      </c>
      <c r="C18" s="267" t="s">
        <v>864</v>
      </c>
      <c r="D18" s="174" t="s">
        <v>801</v>
      </c>
      <c r="E18" s="367">
        <v>2</v>
      </c>
      <c r="F18" s="191"/>
      <c r="G18" s="234" t="s">
        <v>102</v>
      </c>
      <c r="H18" s="94"/>
      <c r="I18" s="416"/>
      <c r="J18" s="162"/>
      <c r="K18" s="174" t="s">
        <v>802</v>
      </c>
    </row>
    <row r="19" spans="1:11" ht="48">
      <c r="A19" s="190" t="s">
        <v>865</v>
      </c>
      <c r="B19" s="174" t="s">
        <v>866</v>
      </c>
      <c r="C19" s="267" t="s">
        <v>867</v>
      </c>
      <c r="D19" s="174" t="s">
        <v>801</v>
      </c>
      <c r="E19" s="367">
        <v>2</v>
      </c>
      <c r="F19" s="191"/>
      <c r="G19" s="234" t="s">
        <v>102</v>
      </c>
      <c r="H19" s="94"/>
      <c r="I19" s="416"/>
      <c r="J19" s="162"/>
      <c r="K19" s="174" t="s">
        <v>802</v>
      </c>
    </row>
    <row r="20" spans="1:11" ht="48">
      <c r="A20" s="190" t="s">
        <v>868</v>
      </c>
      <c r="B20" s="174" t="s">
        <v>869</v>
      </c>
      <c r="C20" s="267" t="s">
        <v>870</v>
      </c>
      <c r="D20" s="174" t="s">
        <v>801</v>
      </c>
      <c r="E20" s="367">
        <v>2</v>
      </c>
      <c r="F20" s="192"/>
      <c r="G20" s="234" t="s">
        <v>102</v>
      </c>
      <c r="H20" s="94"/>
      <c r="I20" s="417"/>
      <c r="J20" s="154"/>
      <c r="K20" s="174" t="s">
        <v>802</v>
      </c>
    </row>
    <row r="21" spans="1:11" ht="48">
      <c r="A21" s="190" t="s">
        <v>871</v>
      </c>
      <c r="B21" s="174" t="s">
        <v>872</v>
      </c>
      <c r="C21" s="267" t="s">
        <v>873</v>
      </c>
      <c r="D21" s="174" t="s">
        <v>801</v>
      </c>
      <c r="E21" s="367">
        <v>2</v>
      </c>
      <c r="F21" s="192"/>
      <c r="G21" s="234" t="s">
        <v>102</v>
      </c>
      <c r="H21" s="94"/>
      <c r="I21" s="154"/>
      <c r="J21" s="154"/>
      <c r="K21" s="174" t="s">
        <v>802</v>
      </c>
    </row>
    <row r="22" spans="1:11" ht="48">
      <c r="A22" s="190" t="s">
        <v>874</v>
      </c>
      <c r="B22" s="174" t="s">
        <v>875</v>
      </c>
      <c r="C22" s="267" t="s">
        <v>876</v>
      </c>
      <c r="D22" s="174" t="s">
        <v>801</v>
      </c>
      <c r="E22" s="367">
        <v>2</v>
      </c>
      <c r="F22" s="192"/>
      <c r="G22" s="234" t="s">
        <v>102</v>
      </c>
      <c r="H22" s="94"/>
      <c r="I22" s="154"/>
      <c r="J22" s="154"/>
      <c r="K22" s="174" t="s">
        <v>802</v>
      </c>
    </row>
    <row r="23" spans="1:11" ht="36">
      <c r="A23" s="190" t="s">
        <v>877</v>
      </c>
      <c r="B23" s="174" t="s">
        <v>878</v>
      </c>
      <c r="C23" s="267" t="s">
        <v>879</v>
      </c>
      <c r="D23" s="174" t="s">
        <v>801</v>
      </c>
      <c r="E23" s="367">
        <v>2</v>
      </c>
      <c r="F23" s="279"/>
      <c r="G23" s="234" t="s">
        <v>102</v>
      </c>
      <c r="H23" s="94"/>
      <c r="I23" s="154"/>
      <c r="J23" s="154"/>
      <c r="K23" s="174" t="s">
        <v>802</v>
      </c>
    </row>
    <row r="24" spans="1:11" ht="48">
      <c r="A24" s="190" t="s">
        <v>880</v>
      </c>
      <c r="B24" s="174" t="s">
        <v>881</v>
      </c>
      <c r="C24" s="267" t="s">
        <v>882</v>
      </c>
      <c r="D24" s="174" t="s">
        <v>801</v>
      </c>
      <c r="E24" s="367">
        <v>2</v>
      </c>
      <c r="F24" s="279"/>
      <c r="G24" s="234" t="s">
        <v>102</v>
      </c>
      <c r="H24" s="94"/>
      <c r="I24" s="418"/>
      <c r="J24" s="154"/>
      <c r="K24" s="174" t="s">
        <v>802</v>
      </c>
    </row>
    <row r="25" spans="1:11" ht="48">
      <c r="A25" s="190" t="s">
        <v>883</v>
      </c>
      <c r="B25" s="174" t="s">
        <v>884</v>
      </c>
      <c r="C25" s="267" t="s">
        <v>885</v>
      </c>
      <c r="D25" s="174" t="s">
        <v>801</v>
      </c>
      <c r="E25" s="367">
        <v>2</v>
      </c>
      <c r="F25" s="192"/>
      <c r="G25" s="234" t="s">
        <v>102</v>
      </c>
      <c r="H25" s="94"/>
      <c r="I25" s="418"/>
      <c r="J25" s="154"/>
      <c r="K25" s="174" t="s">
        <v>802</v>
      </c>
    </row>
    <row r="26" spans="1:11" ht="48">
      <c r="A26" s="190" t="s">
        <v>886</v>
      </c>
      <c r="B26" s="174" t="s">
        <v>887</v>
      </c>
      <c r="C26" s="267" t="s">
        <v>888</v>
      </c>
      <c r="D26" s="174" t="s">
        <v>801</v>
      </c>
      <c r="E26" s="367">
        <v>2</v>
      </c>
      <c r="F26" s="192"/>
      <c r="G26" s="234" t="s">
        <v>102</v>
      </c>
      <c r="H26" s="94"/>
      <c r="I26" s="418"/>
      <c r="J26" s="154"/>
      <c r="K26" s="174" t="s">
        <v>802</v>
      </c>
    </row>
    <row r="27" spans="1:11" ht="48">
      <c r="A27" s="190" t="s">
        <v>889</v>
      </c>
      <c r="B27" s="174" t="s">
        <v>890</v>
      </c>
      <c r="C27" s="267" t="s">
        <v>891</v>
      </c>
      <c r="D27" s="174" t="s">
        <v>801</v>
      </c>
      <c r="E27" s="367">
        <v>2</v>
      </c>
      <c r="F27" s="192"/>
      <c r="G27" s="234" t="s">
        <v>102</v>
      </c>
      <c r="H27" s="125"/>
      <c r="I27" s="417"/>
      <c r="J27" s="154"/>
      <c r="K27" s="174" t="s">
        <v>802</v>
      </c>
    </row>
    <row r="28" spans="1:11" ht="48">
      <c r="A28" s="190" t="s">
        <v>892</v>
      </c>
      <c r="B28" s="174" t="s">
        <v>893</v>
      </c>
      <c r="C28" s="267" t="s">
        <v>894</v>
      </c>
      <c r="D28" s="174" t="s">
        <v>801</v>
      </c>
      <c r="E28" s="367">
        <v>2</v>
      </c>
      <c r="F28" s="192"/>
      <c r="G28" s="234" t="s">
        <v>102</v>
      </c>
      <c r="H28" s="94"/>
      <c r="I28" s="417"/>
      <c r="J28" s="154"/>
      <c r="K28" s="174" t="s">
        <v>802</v>
      </c>
    </row>
    <row r="29" spans="1:11" ht="48">
      <c r="A29" s="190" t="s">
        <v>895</v>
      </c>
      <c r="B29" s="174" t="s">
        <v>896</v>
      </c>
      <c r="C29" s="267" t="s">
        <v>897</v>
      </c>
      <c r="D29" s="174" t="s">
        <v>801</v>
      </c>
      <c r="E29" s="367">
        <v>2</v>
      </c>
      <c r="F29" s="192"/>
      <c r="G29" s="234" t="s">
        <v>102</v>
      </c>
      <c r="H29" s="94"/>
      <c r="I29" s="418"/>
      <c r="J29" s="154"/>
      <c r="K29" s="174" t="s">
        <v>802</v>
      </c>
    </row>
    <row r="30" spans="1:11" ht="48">
      <c r="A30" s="190" t="s">
        <v>898</v>
      </c>
      <c r="B30" s="174" t="s">
        <v>899</v>
      </c>
      <c r="C30" s="267" t="s">
        <v>900</v>
      </c>
      <c r="D30" s="174" t="s">
        <v>801</v>
      </c>
      <c r="E30" s="367">
        <v>2</v>
      </c>
      <c r="F30" s="192"/>
      <c r="G30" s="234" t="s">
        <v>102</v>
      </c>
      <c r="H30" s="94"/>
      <c r="I30" s="418"/>
      <c r="J30" s="154"/>
      <c r="K30" s="174" t="s">
        <v>802</v>
      </c>
    </row>
    <row r="31" spans="1:11" ht="48">
      <c r="A31" s="190" t="s">
        <v>901</v>
      </c>
      <c r="B31" s="174" t="s">
        <v>902</v>
      </c>
      <c r="C31" s="267" t="s">
        <v>903</v>
      </c>
      <c r="D31" s="174" t="s">
        <v>801</v>
      </c>
      <c r="E31" s="367">
        <v>2</v>
      </c>
      <c r="F31" s="192"/>
      <c r="G31" s="234" t="s">
        <v>102</v>
      </c>
      <c r="H31" s="94"/>
      <c r="I31" s="418"/>
      <c r="J31" s="154"/>
      <c r="K31" s="174" t="s">
        <v>802</v>
      </c>
    </row>
    <row r="32" spans="1:11" ht="48">
      <c r="A32" s="190" t="s">
        <v>904</v>
      </c>
      <c r="B32" s="174" t="s">
        <v>905</v>
      </c>
      <c r="C32" s="267" t="s">
        <v>906</v>
      </c>
      <c r="D32" s="174" t="s">
        <v>801</v>
      </c>
      <c r="E32" s="367">
        <v>2</v>
      </c>
      <c r="F32" s="192"/>
      <c r="G32" s="234" t="s">
        <v>102</v>
      </c>
      <c r="H32" s="94"/>
      <c r="I32" s="418"/>
      <c r="J32" s="154"/>
      <c r="K32" s="174" t="s">
        <v>802</v>
      </c>
    </row>
    <row r="33" spans="1:11" ht="96">
      <c r="A33" s="190" t="s">
        <v>907</v>
      </c>
      <c r="B33" s="196" t="s">
        <v>908</v>
      </c>
      <c r="C33" s="267" t="s">
        <v>795</v>
      </c>
      <c r="D33" s="337" t="s">
        <v>796</v>
      </c>
      <c r="E33" s="234">
        <v>8</v>
      </c>
      <c r="F33" s="192"/>
      <c r="G33" s="234" t="s">
        <v>102</v>
      </c>
      <c r="H33" s="94"/>
      <c r="I33" s="418"/>
      <c r="J33" s="154"/>
      <c r="K33" s="174" t="s">
        <v>797</v>
      </c>
    </row>
    <row r="34" spans="1:11" ht="96">
      <c r="A34" s="190" t="s">
        <v>909</v>
      </c>
      <c r="B34" s="196" t="s">
        <v>910</v>
      </c>
      <c r="C34" s="267" t="s">
        <v>795</v>
      </c>
      <c r="D34" s="337" t="s">
        <v>796</v>
      </c>
      <c r="E34" s="234">
        <v>8</v>
      </c>
      <c r="F34" s="192"/>
      <c r="G34" s="234" t="s">
        <v>102</v>
      </c>
      <c r="H34" s="94"/>
      <c r="I34" s="418"/>
      <c r="J34" s="154"/>
      <c r="K34" s="174" t="s">
        <v>797</v>
      </c>
    </row>
    <row r="35" spans="1:11" ht="96">
      <c r="A35" s="190" t="s">
        <v>911</v>
      </c>
      <c r="B35" s="196" t="s">
        <v>912</v>
      </c>
      <c r="C35" s="267" t="s">
        <v>795</v>
      </c>
      <c r="D35" s="337" t="s">
        <v>796</v>
      </c>
      <c r="E35" s="234">
        <v>8</v>
      </c>
      <c r="F35" s="279"/>
      <c r="G35" s="234" t="s">
        <v>102</v>
      </c>
      <c r="H35" s="94"/>
      <c r="I35" s="154"/>
      <c r="J35" s="154"/>
      <c r="K35" s="174" t="s">
        <v>797</v>
      </c>
    </row>
    <row r="36" spans="1:11" ht="96">
      <c r="A36" s="190" t="s">
        <v>913</v>
      </c>
      <c r="B36" s="196" t="s">
        <v>914</v>
      </c>
      <c r="C36" s="267" t="s">
        <v>795</v>
      </c>
      <c r="D36" s="337" t="s">
        <v>796</v>
      </c>
      <c r="E36" s="234">
        <v>8</v>
      </c>
      <c r="F36" s="192"/>
      <c r="G36" s="234" t="s">
        <v>102</v>
      </c>
      <c r="H36" s="94"/>
      <c r="I36" s="418"/>
      <c r="J36" s="154"/>
      <c r="K36" s="174" t="s">
        <v>797</v>
      </c>
    </row>
    <row r="37" spans="1:11" ht="96">
      <c r="A37" s="190" t="s">
        <v>915</v>
      </c>
      <c r="B37" s="196" t="s">
        <v>916</v>
      </c>
      <c r="C37" s="267" t="s">
        <v>795</v>
      </c>
      <c r="D37" s="337" t="s">
        <v>796</v>
      </c>
      <c r="E37" s="234">
        <v>8</v>
      </c>
      <c r="F37" s="192"/>
      <c r="G37" s="234" t="s">
        <v>102</v>
      </c>
      <c r="H37" s="94"/>
      <c r="I37" s="174"/>
      <c r="J37" s="154"/>
      <c r="K37" s="174" t="s">
        <v>797</v>
      </c>
    </row>
    <row r="38" spans="1:11" ht="96">
      <c r="A38" s="190" t="s">
        <v>917</v>
      </c>
      <c r="B38" s="196" t="s">
        <v>918</v>
      </c>
      <c r="C38" s="267" t="s">
        <v>795</v>
      </c>
      <c r="D38" s="337" t="s">
        <v>796</v>
      </c>
      <c r="E38" s="234">
        <v>8</v>
      </c>
      <c r="F38" s="192"/>
      <c r="G38" s="234" t="s">
        <v>102</v>
      </c>
      <c r="H38" s="94"/>
      <c r="I38" s="154"/>
      <c r="J38" s="154"/>
      <c r="K38" s="174" t="s">
        <v>797</v>
      </c>
    </row>
    <row r="39" spans="1:11" ht="84">
      <c r="A39" s="190" t="s">
        <v>919</v>
      </c>
      <c r="B39" s="196" t="s">
        <v>920</v>
      </c>
      <c r="C39" s="412" t="s">
        <v>921</v>
      </c>
      <c r="D39" s="408" t="s">
        <v>922</v>
      </c>
      <c r="E39" s="234">
        <v>5</v>
      </c>
      <c r="F39" s="279"/>
      <c r="G39" s="234" t="s">
        <v>102</v>
      </c>
      <c r="H39" s="94"/>
      <c r="I39" s="154"/>
      <c r="J39" s="154"/>
      <c r="K39" s="154" t="s">
        <v>837</v>
      </c>
    </row>
    <row r="40" spans="1:11" ht="107.25">
      <c r="A40" s="190" t="s">
        <v>923</v>
      </c>
      <c r="B40" s="174" t="s">
        <v>924</v>
      </c>
      <c r="C40" s="406" t="s">
        <v>925</v>
      </c>
      <c r="D40" s="408" t="s">
        <v>926</v>
      </c>
      <c r="E40" s="191">
        <v>6</v>
      </c>
      <c r="F40" s="192"/>
      <c r="G40" s="191" t="s">
        <v>102</v>
      </c>
      <c r="H40" s="94"/>
      <c r="I40" s="417"/>
      <c r="J40" s="154"/>
      <c r="K40" s="154" t="s">
        <v>842</v>
      </c>
    </row>
    <row r="41" spans="1:11" ht="60">
      <c r="A41" s="190" t="s">
        <v>927</v>
      </c>
      <c r="B41" s="174" t="s">
        <v>928</v>
      </c>
      <c r="C41" s="427" t="s">
        <v>929</v>
      </c>
      <c r="D41" s="408" t="s">
        <v>930</v>
      </c>
      <c r="E41" s="191">
        <v>5</v>
      </c>
      <c r="F41" s="192"/>
      <c r="G41" s="191" t="s">
        <v>102</v>
      </c>
      <c r="H41" s="94"/>
      <c r="I41" s="428"/>
      <c r="J41" s="154"/>
      <c r="K41" s="154" t="s">
        <v>842</v>
      </c>
    </row>
    <row r="42" spans="1:11" ht="24">
      <c r="A42" s="190" t="s">
        <v>931</v>
      </c>
      <c r="B42" s="410" t="s">
        <v>932</v>
      </c>
      <c r="C42" s="165" t="s">
        <v>933</v>
      </c>
      <c r="D42" s="410" t="s">
        <v>934</v>
      </c>
      <c r="E42" s="191">
        <v>2</v>
      </c>
      <c r="F42" s="192"/>
      <c r="G42" s="191" t="s">
        <v>102</v>
      </c>
      <c r="H42" s="94"/>
      <c r="I42" s="154"/>
      <c r="J42" s="154"/>
      <c r="K42" s="154" t="s">
        <v>935</v>
      </c>
    </row>
    <row r="43" spans="1:11" ht="24">
      <c r="A43" s="190" t="s">
        <v>936</v>
      </c>
      <c r="B43" s="410" t="s">
        <v>937</v>
      </c>
      <c r="C43" s="165" t="s">
        <v>938</v>
      </c>
      <c r="D43" s="154" t="s">
        <v>939</v>
      </c>
      <c r="E43" s="191">
        <v>2</v>
      </c>
      <c r="F43" s="192"/>
      <c r="G43" s="191" t="s">
        <v>102</v>
      </c>
      <c r="H43" s="125"/>
      <c r="I43" s="407"/>
      <c r="J43" s="154"/>
      <c r="K43" s="154" t="s">
        <v>935</v>
      </c>
    </row>
    <row r="44" spans="1:11" ht="24">
      <c r="A44" s="190" t="s">
        <v>940</v>
      </c>
      <c r="B44" s="174" t="s">
        <v>941</v>
      </c>
      <c r="C44" s="165" t="s">
        <v>933</v>
      </c>
      <c r="D44" s="410" t="s">
        <v>934</v>
      </c>
      <c r="E44" s="191">
        <v>2</v>
      </c>
      <c r="F44" s="192"/>
      <c r="G44" s="191" t="s">
        <v>102</v>
      </c>
      <c r="H44" s="94"/>
      <c r="I44" s="154"/>
      <c r="J44" s="154"/>
      <c r="K44" s="154" t="s">
        <v>942</v>
      </c>
    </row>
    <row r="45" spans="1:11" ht="24">
      <c r="A45" s="190" t="s">
        <v>943</v>
      </c>
      <c r="B45" s="174" t="s">
        <v>944</v>
      </c>
      <c r="C45" s="165" t="s">
        <v>938</v>
      </c>
      <c r="D45" s="154" t="s">
        <v>939</v>
      </c>
      <c r="E45" s="191">
        <v>2</v>
      </c>
      <c r="F45" s="279"/>
      <c r="G45" s="191" t="s">
        <v>102</v>
      </c>
      <c r="H45" s="94"/>
      <c r="I45" s="154"/>
      <c r="J45" s="154"/>
      <c r="K45" s="154" t="s">
        <v>942</v>
      </c>
    </row>
    <row r="46" spans="1:11" ht="24">
      <c r="A46" s="190" t="s">
        <v>945</v>
      </c>
      <c r="B46" s="174" t="s">
        <v>946</v>
      </c>
      <c r="C46" s="165" t="s">
        <v>933</v>
      </c>
      <c r="D46" s="410" t="s">
        <v>934</v>
      </c>
      <c r="E46" s="191">
        <v>2</v>
      </c>
      <c r="F46" s="279"/>
      <c r="G46" s="191" t="s">
        <v>102</v>
      </c>
      <c r="H46" s="94"/>
      <c r="I46" s="154"/>
      <c r="J46" s="154"/>
      <c r="K46" s="154" t="s">
        <v>947</v>
      </c>
    </row>
    <row r="47" spans="1:11" ht="24">
      <c r="A47" s="190" t="s">
        <v>948</v>
      </c>
      <c r="B47" s="174" t="s">
        <v>949</v>
      </c>
      <c r="C47" s="165" t="s">
        <v>938</v>
      </c>
      <c r="D47" s="154" t="s">
        <v>939</v>
      </c>
      <c r="E47" s="191">
        <v>2</v>
      </c>
      <c r="F47" s="192"/>
      <c r="G47" s="191" t="s">
        <v>102</v>
      </c>
      <c r="H47" s="125"/>
      <c r="I47" s="407"/>
      <c r="J47" s="154"/>
      <c r="K47" s="154" t="s">
        <v>947</v>
      </c>
    </row>
    <row r="48" spans="1:11" ht="24">
      <c r="A48" s="190" t="s">
        <v>950</v>
      </c>
      <c r="B48" s="174" t="s">
        <v>951</v>
      </c>
      <c r="C48" s="165" t="s">
        <v>933</v>
      </c>
      <c r="D48" s="410" t="s">
        <v>934</v>
      </c>
      <c r="E48" s="191">
        <v>2</v>
      </c>
      <c r="F48" s="192"/>
      <c r="G48" s="191" t="s">
        <v>102</v>
      </c>
      <c r="H48" s="419"/>
      <c r="I48" s="154"/>
      <c r="J48" s="154"/>
      <c r="K48" s="154" t="s">
        <v>952</v>
      </c>
    </row>
    <row r="49" spans="1:11" ht="24">
      <c r="A49" s="190" t="s">
        <v>953</v>
      </c>
      <c r="B49" s="174" t="s">
        <v>954</v>
      </c>
      <c r="C49" s="165" t="s">
        <v>938</v>
      </c>
      <c r="D49" s="154" t="s">
        <v>939</v>
      </c>
      <c r="E49" s="191">
        <v>2</v>
      </c>
      <c r="F49" s="192"/>
      <c r="G49" s="191" t="s">
        <v>102</v>
      </c>
      <c r="H49" s="94"/>
      <c r="I49" s="154"/>
      <c r="J49" s="154"/>
      <c r="K49" s="154" t="s">
        <v>952</v>
      </c>
    </row>
    <row r="50" spans="1:11" ht="24">
      <c r="A50" s="190" t="s">
        <v>955</v>
      </c>
      <c r="B50" s="174" t="s">
        <v>956</v>
      </c>
      <c r="C50" s="165" t="s">
        <v>933</v>
      </c>
      <c r="D50" s="410" t="s">
        <v>934</v>
      </c>
      <c r="E50" s="191">
        <v>2</v>
      </c>
      <c r="F50" s="192"/>
      <c r="G50" s="191" t="s">
        <v>102</v>
      </c>
      <c r="H50" s="94"/>
      <c r="I50" s="154"/>
      <c r="J50" s="154"/>
      <c r="K50" s="154" t="s">
        <v>957</v>
      </c>
    </row>
    <row r="51" spans="1:11" ht="24">
      <c r="A51" s="190" t="s">
        <v>958</v>
      </c>
      <c r="B51" s="174" t="s">
        <v>959</v>
      </c>
      <c r="C51" s="165" t="s">
        <v>938</v>
      </c>
      <c r="D51" s="154" t="s">
        <v>939</v>
      </c>
      <c r="E51" s="191">
        <v>2</v>
      </c>
      <c r="F51" s="192"/>
      <c r="G51" s="191" t="s">
        <v>102</v>
      </c>
      <c r="H51" s="94"/>
      <c r="I51" s="154"/>
      <c r="J51" s="154"/>
      <c r="K51" s="154" t="s">
        <v>957</v>
      </c>
    </row>
    <row r="52" spans="1:11" ht="24">
      <c r="A52" s="190" t="s">
        <v>960</v>
      </c>
      <c r="B52" s="174" t="s">
        <v>961</v>
      </c>
      <c r="C52" s="165" t="s">
        <v>933</v>
      </c>
      <c r="D52" s="410" t="s">
        <v>934</v>
      </c>
      <c r="E52" s="191">
        <v>2</v>
      </c>
      <c r="F52" s="192"/>
      <c r="G52" s="191" t="s">
        <v>102</v>
      </c>
      <c r="H52" s="94"/>
      <c r="I52" s="154"/>
      <c r="J52" s="154"/>
      <c r="K52" s="154" t="s">
        <v>962</v>
      </c>
    </row>
    <row r="53" spans="1:11" ht="24">
      <c r="A53" s="190" t="s">
        <v>963</v>
      </c>
      <c r="B53" s="174" t="s">
        <v>964</v>
      </c>
      <c r="C53" s="165" t="s">
        <v>938</v>
      </c>
      <c r="D53" s="154" t="s">
        <v>939</v>
      </c>
      <c r="E53" s="191">
        <v>2</v>
      </c>
      <c r="F53" s="192"/>
      <c r="G53" s="191" t="s">
        <v>102</v>
      </c>
      <c r="H53" s="429"/>
      <c r="I53" s="418"/>
      <c r="J53" s="154"/>
      <c r="K53" s="154" t="s">
        <v>962</v>
      </c>
    </row>
    <row r="54" spans="1:11" ht="48">
      <c r="A54" s="186" t="s">
        <v>965</v>
      </c>
      <c r="B54" s="174" t="s">
        <v>966</v>
      </c>
      <c r="C54" s="113" t="s">
        <v>967</v>
      </c>
      <c r="D54" s="440" t="s">
        <v>968</v>
      </c>
      <c r="E54" s="188">
        <v>4</v>
      </c>
      <c r="F54" s="189"/>
      <c r="G54" s="188" t="s">
        <v>102</v>
      </c>
      <c r="H54" s="422"/>
      <c r="I54" s="423"/>
      <c r="J54" s="172"/>
      <c r="K54" s="172" t="s">
        <v>969</v>
      </c>
    </row>
    <row r="55" spans="1:11" ht="154.5">
      <c r="A55" s="186" t="s">
        <v>970</v>
      </c>
      <c r="B55" s="174" t="s">
        <v>971</v>
      </c>
      <c r="C55" s="361" t="s">
        <v>972</v>
      </c>
      <c r="D55" s="408" t="s">
        <v>973</v>
      </c>
      <c r="E55" s="420">
        <v>10</v>
      </c>
      <c r="F55" s="189"/>
      <c r="G55" s="188" t="s">
        <v>102</v>
      </c>
      <c r="H55" s="422"/>
      <c r="I55" s="423"/>
      <c r="J55" s="172"/>
      <c r="K55" s="154" t="s">
        <v>974</v>
      </c>
    </row>
    <row r="56" spans="1:11" ht="130.5">
      <c r="A56" s="186" t="s">
        <v>975</v>
      </c>
      <c r="B56" s="174" t="s">
        <v>976</v>
      </c>
      <c r="C56" s="361" t="s">
        <v>977</v>
      </c>
      <c r="D56" s="408" t="s">
        <v>978</v>
      </c>
      <c r="E56" s="420">
        <v>9</v>
      </c>
      <c r="F56" s="189"/>
      <c r="G56" s="188" t="s">
        <v>102</v>
      </c>
      <c r="H56" s="173"/>
      <c r="I56" s="172"/>
      <c r="J56" s="172"/>
      <c r="K56" s="154" t="s">
        <v>974</v>
      </c>
    </row>
    <row r="57" spans="1:11" ht="36">
      <c r="A57" s="186" t="s">
        <v>979</v>
      </c>
      <c r="B57" s="174" t="s">
        <v>980</v>
      </c>
      <c r="C57" s="113" t="s">
        <v>981</v>
      </c>
      <c r="D57" s="440" t="s">
        <v>982</v>
      </c>
      <c r="E57" s="188">
        <v>4</v>
      </c>
      <c r="F57" s="189"/>
      <c r="G57" s="188" t="s">
        <v>102</v>
      </c>
      <c r="H57" s="173"/>
      <c r="I57" s="425"/>
      <c r="J57" s="172"/>
      <c r="K57" s="154" t="s">
        <v>983</v>
      </c>
    </row>
    <row r="58" spans="1:11" ht="36">
      <c r="A58" s="186" t="s">
        <v>984</v>
      </c>
      <c r="B58" s="174" t="s">
        <v>985</v>
      </c>
      <c r="C58" s="113" t="s">
        <v>981</v>
      </c>
      <c r="D58" s="440" t="s">
        <v>982</v>
      </c>
      <c r="E58" s="188">
        <v>4</v>
      </c>
      <c r="F58" s="189"/>
      <c r="G58" s="188" t="s">
        <v>102</v>
      </c>
      <c r="H58" s="173"/>
      <c r="I58" s="172"/>
      <c r="J58" s="172"/>
      <c r="K58" s="172" t="s">
        <v>986</v>
      </c>
    </row>
    <row r="59" spans="1:11" ht="118.5">
      <c r="A59" s="186" t="s">
        <v>987</v>
      </c>
      <c r="B59" s="174" t="s">
        <v>988</v>
      </c>
      <c r="C59" s="113" t="s">
        <v>989</v>
      </c>
      <c r="D59" s="440" t="s">
        <v>990</v>
      </c>
      <c r="E59" s="188">
        <v>10</v>
      </c>
      <c r="F59" s="189"/>
      <c r="G59" s="188" t="s">
        <v>102</v>
      </c>
      <c r="H59" s="173"/>
      <c r="I59" s="172"/>
      <c r="J59" s="172"/>
      <c r="K59" s="172" t="s">
        <v>991</v>
      </c>
    </row>
    <row r="60" spans="1:11" ht="12.75">
      <c r="A60" s="324"/>
      <c r="B60" s="2"/>
    </row>
    <row r="61" spans="1:11" ht="12.75">
      <c r="A61" s="324"/>
      <c r="B61" s="2"/>
    </row>
    <row r="62" spans="1:11" ht="12.75">
      <c r="A62" s="324"/>
      <c r="B62" s="2"/>
    </row>
    <row r="63" spans="1:11" ht="12.75">
      <c r="A63" s="324"/>
      <c r="B63" s="2"/>
    </row>
    <row r="64" spans="1:11" ht="12.75">
      <c r="A64" s="324"/>
      <c r="B64" s="2"/>
      <c r="I64" s="327"/>
    </row>
    <row r="65" spans="1:9" ht="12.75">
      <c r="A65" s="324"/>
      <c r="B65" s="2"/>
    </row>
    <row r="66" spans="1:9" ht="12.75">
      <c r="A66" s="324"/>
      <c r="B66" s="2"/>
      <c r="C66" s="424"/>
    </row>
    <row r="67" spans="1:9">
      <c r="A67" s="324"/>
      <c r="B67" s="2"/>
      <c r="C67" s="325"/>
    </row>
    <row r="68" spans="1:9">
      <c r="A68" s="324"/>
      <c r="B68" s="2"/>
      <c r="C68" s="325"/>
    </row>
    <row r="69" spans="1:9">
      <c r="A69" s="324"/>
      <c r="B69" s="2"/>
      <c r="C69" s="325"/>
    </row>
    <row r="70" spans="1:9">
      <c r="A70" s="324"/>
      <c r="B70" s="2"/>
      <c r="C70" s="325"/>
    </row>
    <row r="71" spans="1:9">
      <c r="A71" s="324"/>
      <c r="B71" s="2"/>
      <c r="C71" s="325"/>
      <c r="I71" s="326"/>
    </row>
    <row r="72" spans="1:9">
      <c r="A72" s="324"/>
      <c r="B72" s="2"/>
      <c r="C72" s="328"/>
    </row>
    <row r="73" spans="1:9">
      <c r="A73" s="324"/>
      <c r="B73" s="2"/>
      <c r="C73" s="2"/>
      <c r="I73" s="327"/>
    </row>
    <row r="74" spans="1:9">
      <c r="A74" s="324"/>
      <c r="B74" s="2"/>
      <c r="C74" s="328"/>
      <c r="I74" s="327"/>
    </row>
    <row r="75" spans="1:9">
      <c r="A75" s="324"/>
      <c r="B75" s="2"/>
      <c r="C75" s="2"/>
      <c r="I75" s="327"/>
    </row>
    <row r="76" spans="1:9">
      <c r="A76" s="324"/>
      <c r="B76" s="2"/>
      <c r="C76" s="328"/>
    </row>
    <row r="77" spans="1:9">
      <c r="A77" s="324"/>
      <c r="B77" s="2"/>
      <c r="C77" s="328"/>
      <c r="I77" s="327"/>
    </row>
    <row r="78" spans="1:9">
      <c r="A78" s="324"/>
      <c r="C78" s="328"/>
      <c r="I78" s="327"/>
    </row>
    <row r="79" spans="1:9">
      <c r="A79" s="324"/>
      <c r="C79" s="328"/>
    </row>
    <row r="80" spans="1:9">
      <c r="A80" s="324"/>
      <c r="C80" s="328"/>
      <c r="D80" s="330"/>
      <c r="E80" s="323"/>
      <c r="F80" s="323"/>
      <c r="G80" s="331"/>
      <c r="H80" s="332"/>
    </row>
    <row r="81" spans="1:9">
      <c r="A81" s="324"/>
      <c r="C81" s="328"/>
    </row>
    <row r="82" spans="1:9">
      <c r="A82" s="324"/>
      <c r="C82" s="328"/>
      <c r="D82" s="330"/>
      <c r="E82" s="323"/>
      <c r="F82" s="323"/>
      <c r="G82" s="331"/>
    </row>
    <row r="83" spans="1:9">
      <c r="A83" s="324"/>
      <c r="C83" s="328"/>
    </row>
    <row r="84" spans="1:9">
      <c r="A84" s="324"/>
      <c r="C84" s="328"/>
    </row>
    <row r="85" spans="1:9">
      <c r="A85" s="324"/>
      <c r="C85" s="328"/>
    </row>
    <row r="86" spans="1:9">
      <c r="A86" s="324"/>
      <c r="C86" s="328"/>
    </row>
    <row r="87" spans="1:9">
      <c r="A87" s="324"/>
      <c r="C87" s="328"/>
    </row>
    <row r="88" spans="1:9">
      <c r="A88" s="324"/>
      <c r="C88" s="328"/>
    </row>
    <row r="89" spans="1:9">
      <c r="A89" s="324"/>
      <c r="C89" s="2"/>
      <c r="I89" s="329"/>
    </row>
    <row r="90" spans="1:9">
      <c r="A90" s="324"/>
      <c r="C90" s="328"/>
    </row>
    <row r="91" spans="1:9" ht="12.75"/>
    <row r="92" spans="1:9" ht="12.75"/>
    <row r="93" spans="1:9" ht="12.75"/>
    <row r="94" spans="1:9" ht="12.75"/>
    <row r="95" spans="1:9" ht="12.75"/>
    <row r="96" spans="1:9" ht="12.75"/>
    <row r="97" ht="12.75"/>
    <row r="98" ht="12.75"/>
    <row r="99" ht="12.75"/>
    <row r="101" ht="12.75"/>
    <row r="102" ht="12.75"/>
    <row r="103" ht="12.75"/>
    <row r="107" ht="12.75"/>
    <row r="113" ht="12.75"/>
    <row r="127" ht="12.75"/>
  </sheetData>
  <autoFilter ref="A1:K1" xr:uid="{1A11A539-3A9E-4C6D-B38B-62A292B61864}"/>
  <phoneticPr fontId="5" type="noConversion"/>
  <conditionalFormatting sqref="A2:A90 B2:B6 G2:G39">
    <cfRule type="expression" dxfId="213" priority="91" stopIfTrue="1">
      <formula>($G2="Fail")</formula>
    </cfRule>
    <cfRule type="expression" dxfId="212" priority="92" stopIfTrue="1">
      <formula>($G2="Pass")</formula>
    </cfRule>
  </conditionalFormatting>
  <conditionalFormatting sqref="D4">
    <cfRule type="expression" dxfId="211" priority="41" stopIfTrue="1">
      <formula>($G4="Fail")</formula>
    </cfRule>
    <cfRule type="expression" dxfId="210" priority="42" stopIfTrue="1">
      <formula>($G4="Pass")</formula>
    </cfRule>
  </conditionalFormatting>
  <conditionalFormatting sqref="D5">
    <cfRule type="expression" dxfId="209" priority="37" stopIfTrue="1">
      <formula>($G5="Fail")</formula>
    </cfRule>
    <cfRule type="expression" dxfId="208" priority="38" stopIfTrue="1">
      <formula>($G5="Pass")</formula>
    </cfRule>
  </conditionalFormatting>
  <conditionalFormatting sqref="D7:D12">
    <cfRule type="expression" dxfId="207" priority="35" stopIfTrue="1">
      <formula>($G7="Fail")</formula>
    </cfRule>
    <cfRule type="expression" dxfId="206" priority="36" stopIfTrue="1">
      <formula>($G7="Pass")</formula>
    </cfRule>
  </conditionalFormatting>
  <conditionalFormatting sqref="D13">
    <cfRule type="expression" dxfId="205" priority="33" stopIfTrue="1">
      <formula>($G13="Fail")</formula>
    </cfRule>
    <cfRule type="expression" dxfId="204" priority="34" stopIfTrue="1">
      <formula>($G13="Pass")</formula>
    </cfRule>
  </conditionalFormatting>
  <conditionalFormatting sqref="D14:D16">
    <cfRule type="expression" dxfId="203" priority="29" stopIfTrue="1">
      <formula>($G14="Fail")</formula>
    </cfRule>
    <cfRule type="expression" dxfId="202" priority="30" stopIfTrue="1">
      <formula>($G14="Pass")</formula>
    </cfRule>
  </conditionalFormatting>
  <conditionalFormatting sqref="B14:B16">
    <cfRule type="expression" dxfId="201" priority="27" stopIfTrue="1">
      <formula>($G14="Fail")</formula>
    </cfRule>
    <cfRule type="expression" dxfId="200" priority="28" stopIfTrue="1">
      <formula>($G14="Pass")</formula>
    </cfRule>
  </conditionalFormatting>
  <conditionalFormatting sqref="B18">
    <cfRule type="expression" dxfId="199" priority="23" stopIfTrue="1">
      <formula>($G18="Fail")</formula>
    </cfRule>
    <cfRule type="expression" dxfId="198" priority="24" stopIfTrue="1">
      <formula>($G18="Pass")</formula>
    </cfRule>
  </conditionalFormatting>
  <conditionalFormatting sqref="B19">
    <cfRule type="expression" dxfId="197" priority="21" stopIfTrue="1">
      <formula>($G19="Fail")</formula>
    </cfRule>
    <cfRule type="expression" dxfId="196" priority="22" stopIfTrue="1">
      <formula>($G19="Pass")</formula>
    </cfRule>
  </conditionalFormatting>
  <conditionalFormatting sqref="B20:B32">
    <cfRule type="expression" dxfId="195" priority="19" stopIfTrue="1">
      <formula>($G20="Fail")</formula>
    </cfRule>
    <cfRule type="expression" dxfId="194" priority="20" stopIfTrue="1">
      <formula>($G20="Pass")</formula>
    </cfRule>
  </conditionalFormatting>
  <conditionalFormatting sqref="B17">
    <cfRule type="expression" dxfId="193" priority="17" stopIfTrue="1">
      <formula>($G17="Fail")</formula>
    </cfRule>
    <cfRule type="expression" dxfId="192" priority="18" stopIfTrue="1">
      <formula>($G17="Pass")</formula>
    </cfRule>
  </conditionalFormatting>
  <conditionalFormatting sqref="B33:B39">
    <cfRule type="expression" dxfId="191" priority="15" stopIfTrue="1">
      <formula>($G33="Fail")</formula>
    </cfRule>
    <cfRule type="expression" dxfId="190" priority="16" stopIfTrue="1">
      <formula>($G33="Pass")</formula>
    </cfRule>
  </conditionalFormatting>
  <conditionalFormatting sqref="D39">
    <cfRule type="expression" dxfId="189" priority="13" stopIfTrue="1">
      <formula>($G39="Fail")</formula>
    </cfRule>
    <cfRule type="expression" dxfId="188" priority="14" stopIfTrue="1">
      <formula>($G39="Pass")</formula>
    </cfRule>
  </conditionalFormatting>
  <conditionalFormatting sqref="D40">
    <cfRule type="expression" dxfId="187" priority="11" stopIfTrue="1">
      <formula>($G40="Fail")</formula>
    </cfRule>
    <cfRule type="expression" dxfId="186" priority="12" stopIfTrue="1">
      <formula>($G40="Pass")</formula>
    </cfRule>
  </conditionalFormatting>
  <conditionalFormatting sqref="D41">
    <cfRule type="expression" dxfId="185" priority="9" stopIfTrue="1">
      <formula>($G41="Fail")</formula>
    </cfRule>
    <cfRule type="expression" dxfId="184" priority="10" stopIfTrue="1">
      <formula>($G41="Pass")</formula>
    </cfRule>
  </conditionalFormatting>
  <conditionalFormatting sqref="D55">
    <cfRule type="expression" dxfId="183" priority="7" stopIfTrue="1">
      <formula>($G55="Fail")</formula>
    </cfRule>
    <cfRule type="expression" dxfId="182" priority="8" stopIfTrue="1">
      <formula>($G55="Pass")</formula>
    </cfRule>
  </conditionalFormatting>
  <conditionalFormatting sqref="D56">
    <cfRule type="expression" dxfId="181" priority="3" stopIfTrue="1">
      <formula>($G56="Fail")</formula>
    </cfRule>
    <cfRule type="expression" dxfId="180" priority="4" stopIfTrue="1">
      <formula>($G56="Pass")</formula>
    </cfRule>
  </conditionalFormatting>
  <dataValidations count="1">
    <dataValidation type="list" allowBlank="1" showInputMessage="1" showErrorMessage="1" sqref="G81 G83:G65478 G1:G79"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L80"/>
  <sheetViews>
    <sheetView zoomScale="85" zoomScaleNormal="85" workbookViewId="0">
      <selection activeCell="D8" sqref="D8"/>
    </sheetView>
  </sheetViews>
  <sheetFormatPr defaultColWidth="8.7109375" defaultRowHeight="13.15"/>
  <cols>
    <col min="1" max="1" width="11.140625" style="57" customWidth="1"/>
    <col min="2" max="2" width="37.140625" style="71" customWidth="1"/>
    <col min="3" max="3" width="44.28515625" style="49" customWidth="1"/>
    <col min="4" max="4" width="45.85546875" style="48" customWidth="1"/>
    <col min="5" max="5" width="10.42578125" style="72" bestFit="1" customWidth="1"/>
    <col min="6" max="6" width="11.85546875" style="73" customWidth="1"/>
    <col min="7" max="7" width="10.8554687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2" ht="39.75" customHeight="1">
      <c r="A1" s="67" t="s">
        <v>106</v>
      </c>
      <c r="B1" s="68" t="s">
        <v>107</v>
      </c>
      <c r="C1" s="68" t="s">
        <v>108</v>
      </c>
      <c r="D1" s="68" t="s">
        <v>109</v>
      </c>
      <c r="E1" s="67" t="s">
        <v>110</v>
      </c>
      <c r="F1" s="69" t="s">
        <v>111</v>
      </c>
      <c r="G1" s="68" t="s">
        <v>112</v>
      </c>
      <c r="H1" s="70" t="s">
        <v>113</v>
      </c>
      <c r="I1" s="305" t="s">
        <v>114</v>
      </c>
      <c r="J1" s="333" t="s">
        <v>115</v>
      </c>
      <c r="K1" s="305" t="s">
        <v>116</v>
      </c>
    </row>
    <row r="2" spans="1:12" ht="75.75" customHeight="1">
      <c r="A2" s="307" t="s">
        <v>992</v>
      </c>
      <c r="B2" s="351" t="s">
        <v>26</v>
      </c>
      <c r="C2" s="267" t="s">
        <v>993</v>
      </c>
      <c r="D2" s="337" t="s">
        <v>994</v>
      </c>
      <c r="E2" s="191">
        <v>5</v>
      </c>
      <c r="F2" s="66"/>
      <c r="G2" s="52" t="s">
        <v>102</v>
      </c>
      <c r="H2" s="65"/>
      <c r="I2" s="60"/>
      <c r="J2" s="61"/>
      <c r="K2" s="354" t="s">
        <v>25</v>
      </c>
    </row>
    <row r="3" spans="1:12" ht="65.25" customHeight="1">
      <c r="A3" s="349" t="s">
        <v>995</v>
      </c>
      <c r="B3" s="351" t="s">
        <v>26</v>
      </c>
      <c r="C3" s="267" t="s">
        <v>996</v>
      </c>
      <c r="D3" s="337" t="s">
        <v>997</v>
      </c>
      <c r="E3" s="191">
        <v>5</v>
      </c>
      <c r="F3" s="66"/>
      <c r="G3" s="52" t="s">
        <v>102</v>
      </c>
      <c r="H3" s="65"/>
      <c r="I3" s="60"/>
      <c r="J3" s="61"/>
      <c r="K3" s="354" t="s">
        <v>25</v>
      </c>
    </row>
    <row r="4" spans="1:12" ht="32.25" customHeight="1">
      <c r="A4" s="349" t="s">
        <v>998</v>
      </c>
      <c r="B4" s="174" t="s">
        <v>999</v>
      </c>
      <c r="C4" s="350" t="s">
        <v>1000</v>
      </c>
      <c r="D4" s="337" t="s">
        <v>1001</v>
      </c>
      <c r="E4" s="191">
        <v>2</v>
      </c>
      <c r="F4" s="66"/>
      <c r="G4" s="52" t="s">
        <v>102</v>
      </c>
      <c r="H4" s="65"/>
      <c r="I4" s="60"/>
      <c r="J4" s="61"/>
      <c r="K4" s="354" t="s">
        <v>22</v>
      </c>
    </row>
    <row r="5" spans="1:12" ht="36">
      <c r="A5" s="349" t="s">
        <v>1002</v>
      </c>
      <c r="B5" s="174" t="s">
        <v>1003</v>
      </c>
      <c r="C5" s="350" t="s">
        <v>1004</v>
      </c>
      <c r="D5" s="165" t="s">
        <v>1005</v>
      </c>
      <c r="E5" s="200">
        <v>3</v>
      </c>
      <c r="F5" s="66"/>
      <c r="G5" s="52" t="s">
        <v>102</v>
      </c>
      <c r="H5" s="65"/>
      <c r="I5" s="60"/>
      <c r="J5" s="355"/>
      <c r="K5" s="354" t="s">
        <v>22</v>
      </c>
    </row>
    <row r="6" spans="1:12" ht="36">
      <c r="A6" s="349" t="s">
        <v>1006</v>
      </c>
      <c r="B6" s="253" t="s">
        <v>1007</v>
      </c>
      <c r="C6" s="350" t="s">
        <v>1008</v>
      </c>
      <c r="D6" s="51" t="s">
        <v>1009</v>
      </c>
      <c r="E6" s="52">
        <v>3</v>
      </c>
      <c r="F6" s="66"/>
      <c r="G6" s="52" t="s">
        <v>102</v>
      </c>
      <c r="H6" s="65"/>
      <c r="I6" s="60"/>
      <c r="J6" s="355"/>
      <c r="K6" s="354" t="s">
        <v>22</v>
      </c>
    </row>
    <row r="7" spans="1:12" ht="36">
      <c r="A7" s="349" t="s">
        <v>1010</v>
      </c>
      <c r="B7" s="253" t="s">
        <v>1011</v>
      </c>
      <c r="C7" s="350" t="s">
        <v>1008</v>
      </c>
      <c r="D7" s="51" t="s">
        <v>1012</v>
      </c>
      <c r="E7" s="52">
        <v>3</v>
      </c>
      <c r="F7" s="66"/>
      <c r="G7" s="52" t="s">
        <v>102</v>
      </c>
      <c r="H7" s="65"/>
      <c r="I7" s="60"/>
      <c r="J7" s="355"/>
      <c r="K7" s="354" t="s">
        <v>22</v>
      </c>
    </row>
    <row r="8" spans="1:12" ht="24">
      <c r="A8" s="349" t="s">
        <v>1013</v>
      </c>
      <c r="B8" s="174" t="s">
        <v>1014</v>
      </c>
      <c r="C8" s="350" t="s">
        <v>1015</v>
      </c>
      <c r="D8" s="337" t="s">
        <v>1001</v>
      </c>
      <c r="E8" s="191">
        <v>2</v>
      </c>
      <c r="F8" s="66"/>
      <c r="G8" s="52" t="s">
        <v>102</v>
      </c>
      <c r="H8" s="65"/>
      <c r="I8" s="60"/>
      <c r="J8" s="61"/>
      <c r="K8" s="354" t="s">
        <v>22</v>
      </c>
    </row>
    <row r="9" spans="1:12">
      <c r="A9" s="206"/>
      <c r="B9" s="50"/>
      <c r="C9" s="51"/>
      <c r="D9" s="51"/>
      <c r="E9" s="52"/>
      <c r="F9" s="66"/>
      <c r="G9" s="52"/>
      <c r="H9" s="167"/>
      <c r="I9" s="60"/>
      <c r="J9" s="61"/>
      <c r="K9" s="61"/>
    </row>
    <row r="10" spans="1:12">
      <c r="A10" s="206"/>
      <c r="B10" s="50"/>
      <c r="C10" s="131"/>
      <c r="D10" s="207"/>
      <c r="E10" s="52"/>
      <c r="F10" s="66"/>
      <c r="G10" s="52"/>
      <c r="H10" s="65"/>
      <c r="I10" s="60"/>
      <c r="J10" s="61"/>
      <c r="K10" s="61"/>
    </row>
    <row r="11" spans="1:12">
      <c r="A11" s="206"/>
      <c r="B11" s="50"/>
      <c r="C11" s="131"/>
      <c r="D11" s="51"/>
      <c r="E11" s="52"/>
      <c r="F11" s="66"/>
      <c r="G11" s="52"/>
      <c r="H11" s="65"/>
      <c r="I11" s="60"/>
      <c r="J11" s="61"/>
      <c r="K11" s="61"/>
    </row>
    <row r="12" spans="1:12">
      <c r="A12" s="206"/>
      <c r="B12" s="50"/>
      <c r="C12" s="131"/>
      <c r="D12" s="208"/>
      <c r="E12" s="52"/>
      <c r="F12" s="66"/>
      <c r="G12" s="52"/>
      <c r="H12" s="65"/>
      <c r="I12" s="60"/>
      <c r="J12" s="61"/>
      <c r="K12" s="61"/>
    </row>
    <row r="13" spans="1:12">
      <c r="A13" s="206"/>
      <c r="B13" s="50"/>
      <c r="C13" s="51"/>
      <c r="D13" s="207"/>
      <c r="E13" s="52"/>
      <c r="F13" s="66"/>
      <c r="G13" s="52"/>
      <c r="H13" s="65"/>
      <c r="I13" s="60"/>
      <c r="J13" s="61"/>
      <c r="K13" s="61"/>
    </row>
    <row r="14" spans="1:12">
      <c r="A14" s="206"/>
      <c r="B14" s="50"/>
      <c r="C14" s="51"/>
      <c r="D14" s="51"/>
      <c r="E14" s="52"/>
      <c r="F14" s="66"/>
      <c r="G14" s="52"/>
      <c r="H14" s="65"/>
      <c r="I14" s="60"/>
      <c r="J14" s="61"/>
      <c r="K14" s="61"/>
    </row>
    <row r="15" spans="1:12">
      <c r="A15" s="206"/>
      <c r="B15" s="50"/>
      <c r="C15" s="209"/>
      <c r="D15" s="210"/>
      <c r="E15" s="52"/>
      <c r="F15" s="66"/>
      <c r="G15" s="52"/>
      <c r="H15" s="65"/>
      <c r="I15" s="60"/>
      <c r="J15" s="61"/>
      <c r="K15" s="61"/>
      <c r="L15" s="143"/>
    </row>
    <row r="16" spans="1:12" ht="14.45">
      <c r="A16" s="206"/>
      <c r="B16" s="211"/>
      <c r="C16" s="212"/>
      <c r="D16" s="213"/>
      <c r="E16" s="115"/>
      <c r="F16" s="66"/>
      <c r="G16" s="52"/>
      <c r="H16" s="65"/>
      <c r="I16" s="60"/>
      <c r="J16" s="61"/>
      <c r="K16" s="61"/>
    </row>
    <row r="17" spans="1:12">
      <c r="A17" s="206"/>
      <c r="B17" s="50"/>
      <c r="C17" s="214"/>
      <c r="D17" s="215"/>
      <c r="E17" s="52"/>
      <c r="F17" s="66"/>
      <c r="G17" s="52"/>
      <c r="H17" s="65"/>
      <c r="I17" s="60"/>
      <c r="J17" s="61"/>
      <c r="K17" s="61"/>
    </row>
    <row r="18" spans="1:12">
      <c r="A18" s="206"/>
      <c r="B18" s="50"/>
      <c r="C18" s="51"/>
      <c r="D18" s="51"/>
      <c r="E18" s="52"/>
      <c r="F18" s="66"/>
      <c r="G18" s="52"/>
      <c r="H18" s="65"/>
      <c r="I18" s="60"/>
      <c r="J18" s="61"/>
      <c r="K18" s="61"/>
    </row>
    <row r="19" spans="1:12">
      <c r="A19" s="206"/>
      <c r="B19" s="50"/>
      <c r="C19" s="51"/>
      <c r="D19" s="51"/>
      <c r="E19" s="52"/>
      <c r="F19" s="66"/>
      <c r="G19" s="52"/>
      <c r="H19" s="65"/>
      <c r="I19" s="60"/>
      <c r="J19" s="61"/>
      <c r="K19" s="61"/>
    </row>
    <row r="20" spans="1:12">
      <c r="A20" s="206"/>
      <c r="B20" s="50"/>
      <c r="C20" s="51"/>
      <c r="D20" s="47"/>
      <c r="E20" s="52"/>
      <c r="F20" s="66"/>
      <c r="G20" s="52"/>
      <c r="H20" s="216"/>
      <c r="I20" s="60"/>
      <c r="J20" s="61"/>
      <c r="K20" s="61"/>
    </row>
    <row r="21" spans="1:12">
      <c r="A21" s="47"/>
      <c r="B21" s="50"/>
      <c r="C21" s="51"/>
      <c r="D21" s="50"/>
      <c r="E21" s="52"/>
      <c r="F21" s="66"/>
      <c r="G21" s="75"/>
      <c r="H21" s="217"/>
      <c r="I21" s="63"/>
      <c r="J21" s="61"/>
      <c r="K21" s="61"/>
      <c r="L21" s="143"/>
    </row>
    <row r="22" spans="1:12">
      <c r="A22" s="47"/>
      <c r="B22" s="50"/>
      <c r="C22" s="53"/>
      <c r="D22" s="207"/>
      <c r="E22" s="52"/>
      <c r="F22" s="66"/>
      <c r="G22" s="168"/>
      <c r="H22" s="217"/>
      <c r="I22" s="155"/>
      <c r="J22" s="61"/>
      <c r="K22" s="61"/>
      <c r="L22" s="143"/>
    </row>
    <row r="23" spans="1:12">
      <c r="A23" s="47"/>
      <c r="B23" s="50"/>
      <c r="C23" s="51"/>
      <c r="D23" s="47"/>
      <c r="E23" s="52"/>
      <c r="F23" s="66"/>
      <c r="G23" s="75"/>
      <c r="H23" s="217"/>
      <c r="I23" s="63"/>
      <c r="J23" s="61"/>
      <c r="K23" s="61"/>
      <c r="L23" s="143"/>
    </row>
    <row r="24" spans="1:12">
      <c r="A24" s="47"/>
      <c r="B24" s="50"/>
      <c r="C24" s="127"/>
      <c r="D24" s="218"/>
      <c r="E24" s="52"/>
      <c r="F24" s="66"/>
      <c r="G24" s="168"/>
      <c r="H24" s="217"/>
      <c r="I24" s="155"/>
      <c r="J24" s="61"/>
      <c r="K24" s="61"/>
      <c r="L24" s="143"/>
    </row>
    <row r="25" spans="1:12">
      <c r="A25" s="47"/>
      <c r="B25" s="101"/>
      <c r="C25" s="218"/>
      <c r="D25" s="218"/>
      <c r="E25" s="52"/>
      <c r="F25" s="66"/>
      <c r="G25" s="168"/>
      <c r="H25" s="219"/>
      <c r="I25" s="155"/>
      <c r="J25" s="61"/>
      <c r="K25" s="61"/>
    </row>
    <row r="26" spans="1:12">
      <c r="A26" s="47"/>
      <c r="B26" s="50"/>
      <c r="C26" s="220"/>
      <c r="D26" s="207"/>
      <c r="E26" s="52"/>
      <c r="F26" s="66"/>
      <c r="G26" s="52"/>
      <c r="H26" s="221"/>
      <c r="I26" s="60"/>
      <c r="J26" s="61"/>
      <c r="K26" s="61"/>
      <c r="L26" s="143"/>
    </row>
    <row r="27" spans="1:12">
      <c r="A27" s="47"/>
      <c r="B27" s="50"/>
      <c r="C27" s="51"/>
      <c r="D27" s="207"/>
      <c r="E27" s="52"/>
      <c r="F27" s="66"/>
      <c r="G27" s="52"/>
      <c r="H27" s="65"/>
      <c r="I27" s="60"/>
      <c r="J27" s="61"/>
      <c r="K27" s="61"/>
      <c r="L27" s="143"/>
    </row>
    <row r="28" spans="1:12" ht="14.45">
      <c r="A28" s="47"/>
      <c r="B28" s="222"/>
      <c r="C28" s="218"/>
      <c r="D28" s="218"/>
      <c r="E28" s="52"/>
      <c r="F28" s="66"/>
      <c r="G28" s="52"/>
      <c r="H28" s="64"/>
      <c r="I28" s="60"/>
      <c r="J28" s="61"/>
      <c r="K28" s="61"/>
    </row>
    <row r="29" spans="1:12">
      <c r="A29" s="47"/>
      <c r="B29" s="127"/>
      <c r="C29" s="51"/>
      <c r="D29" s="131"/>
      <c r="E29" s="52"/>
      <c r="F29" s="66"/>
      <c r="G29" s="52"/>
      <c r="H29" s="64"/>
      <c r="I29" s="60"/>
      <c r="J29" s="61"/>
      <c r="K29" s="61"/>
    </row>
    <row r="30" spans="1:12" ht="14.45">
      <c r="A30" s="47"/>
      <c r="B30" s="222"/>
      <c r="C30" s="51"/>
      <c r="D30" s="51"/>
      <c r="E30" s="52"/>
      <c r="F30" s="66"/>
      <c r="G30" s="52"/>
      <c r="H30" s="64"/>
      <c r="I30" s="154"/>
      <c r="J30" s="61"/>
      <c r="K30" s="61"/>
    </row>
    <row r="31" spans="1:12">
      <c r="A31" s="47"/>
      <c r="B31" s="50"/>
      <c r="C31" s="218"/>
      <c r="D31" s="51"/>
      <c r="E31" s="52"/>
      <c r="F31" s="66"/>
      <c r="G31" s="52"/>
      <c r="H31" s="143"/>
      <c r="I31" s="60"/>
      <c r="J31" s="61"/>
      <c r="K31" s="61"/>
    </row>
    <row r="32" spans="1:12">
      <c r="A32" s="47"/>
      <c r="B32" s="174"/>
      <c r="C32" s="51"/>
      <c r="D32" s="207"/>
      <c r="E32" s="52"/>
      <c r="F32" s="66"/>
      <c r="G32" s="52"/>
      <c r="H32" s="64"/>
      <c r="I32" s="60"/>
      <c r="J32" s="61"/>
      <c r="K32" s="61"/>
    </row>
    <row r="33" spans="1:12">
      <c r="A33" s="47"/>
      <c r="B33" s="50"/>
      <c r="C33" s="51"/>
      <c r="D33" s="51"/>
      <c r="E33" s="52"/>
      <c r="F33" s="66"/>
      <c r="G33" s="52"/>
      <c r="H33" s="64"/>
      <c r="I33" s="60"/>
      <c r="J33" s="61"/>
      <c r="K33" s="61"/>
    </row>
    <row r="34" spans="1:12">
      <c r="A34" s="47"/>
      <c r="B34" s="50"/>
      <c r="C34" s="127"/>
      <c r="D34" s="218"/>
      <c r="E34" s="52"/>
      <c r="F34" s="66"/>
      <c r="G34" s="52"/>
      <c r="H34" s="64"/>
      <c r="I34" s="60"/>
      <c r="J34" s="61"/>
      <c r="K34" s="61"/>
    </row>
    <row r="35" spans="1:12" ht="14.45">
      <c r="A35" s="175"/>
      <c r="B35" s="222"/>
      <c r="C35" s="223"/>
      <c r="D35" s="175"/>
      <c r="E35" s="224"/>
      <c r="F35" s="177"/>
      <c r="G35" s="225"/>
      <c r="H35" s="226"/>
      <c r="I35" s="60"/>
      <c r="J35" s="61"/>
      <c r="K35" s="61"/>
      <c r="L35" s="143"/>
    </row>
    <row r="36" spans="1:12" ht="14.45">
      <c r="A36" s="186"/>
      <c r="B36" s="227"/>
      <c r="C36" s="228"/>
      <c r="D36" s="186"/>
      <c r="E36" s="229"/>
      <c r="F36" s="230"/>
      <c r="G36" s="191"/>
      <c r="H36" s="227"/>
      <c r="I36" s="155"/>
      <c r="J36" s="61"/>
      <c r="K36" s="61"/>
      <c r="L36" s="143"/>
    </row>
    <row r="37" spans="1:12" ht="14.45">
      <c r="A37" s="186"/>
      <c r="B37" s="227"/>
      <c r="C37" s="228"/>
      <c r="D37" s="186"/>
      <c r="E37" s="188"/>
      <c r="F37" s="189"/>
      <c r="G37" s="191"/>
      <c r="H37" s="227"/>
      <c r="I37" s="155"/>
      <c r="J37" s="61"/>
      <c r="K37" s="61"/>
      <c r="L37" s="143"/>
    </row>
    <row r="38" spans="1:12" ht="14.45">
      <c r="A38" s="186"/>
      <c r="B38" s="227"/>
      <c r="C38" s="231"/>
      <c r="D38" s="232"/>
      <c r="E38" s="188"/>
      <c r="F38" s="189"/>
      <c r="G38" s="191"/>
      <c r="H38" s="227"/>
      <c r="I38" s="60"/>
      <c r="J38" s="61"/>
      <c r="K38" s="61"/>
      <c r="L38" s="143"/>
    </row>
    <row r="39" spans="1:12" customFormat="1" ht="14.45">
      <c r="A39" s="190"/>
      <c r="B39" s="227"/>
      <c r="C39" s="220"/>
      <c r="D39" s="233"/>
      <c r="E39" s="191"/>
      <c r="F39" s="192"/>
      <c r="G39" s="234"/>
      <c r="H39" s="235"/>
      <c r="I39" s="107"/>
      <c r="J39" s="62"/>
      <c r="K39" s="62"/>
      <c r="L39" s="143"/>
    </row>
    <row r="40" spans="1:12">
      <c r="A40" s="236"/>
      <c r="B40" s="237"/>
      <c r="C40" s="238"/>
      <c r="D40" s="239"/>
      <c r="E40" s="240"/>
      <c r="F40" s="241"/>
      <c r="G40" s="242"/>
      <c r="H40" s="243"/>
      <c r="I40" s="107"/>
      <c r="J40" s="61"/>
      <c r="K40" s="61"/>
      <c r="L40" s="143"/>
    </row>
    <row r="41" spans="1:12">
      <c r="A41" s="181"/>
      <c r="B41" s="187"/>
      <c r="C41" s="220"/>
      <c r="D41" s="233"/>
      <c r="E41" s="188"/>
      <c r="F41" s="189"/>
      <c r="G41" s="224"/>
      <c r="H41" s="173"/>
      <c r="I41" s="155"/>
      <c r="J41" s="61"/>
      <c r="K41" s="61"/>
    </row>
    <row r="42" spans="1:12">
      <c r="A42" s="181"/>
      <c r="B42" s="187"/>
      <c r="C42" s="220"/>
      <c r="D42" s="233"/>
      <c r="E42" s="188"/>
      <c r="F42" s="189"/>
      <c r="G42" s="224"/>
      <c r="H42" s="173"/>
      <c r="I42" s="155"/>
      <c r="J42" s="61"/>
      <c r="K42" s="61"/>
    </row>
    <row r="43" spans="1:12">
      <c r="A43" s="244"/>
      <c r="B43" s="50"/>
      <c r="C43" s="220"/>
      <c r="D43" s="207"/>
      <c r="E43" s="184"/>
      <c r="F43" s="185"/>
      <c r="G43" s="245"/>
      <c r="H43" s="152"/>
      <c r="I43" s="246"/>
      <c r="J43" s="247"/>
      <c r="K43" s="248"/>
    </row>
    <row r="44" spans="1:12">
      <c r="A44" s="172"/>
      <c r="B44" s="187"/>
      <c r="C44" s="231"/>
      <c r="D44" s="249"/>
      <c r="E44" s="188"/>
      <c r="F44" s="189"/>
      <c r="G44" s="229"/>
      <c r="H44" s="173"/>
      <c r="I44" s="172"/>
      <c r="J44" s="172"/>
      <c r="K44" s="172"/>
    </row>
    <row r="45" spans="1:12">
      <c r="A45" s="172"/>
      <c r="B45" s="187"/>
      <c r="C45" s="231"/>
      <c r="D45" s="249"/>
      <c r="E45" s="188"/>
      <c r="F45" s="189"/>
      <c r="G45" s="229"/>
      <c r="H45" s="173"/>
      <c r="I45" s="172"/>
      <c r="J45" s="172"/>
      <c r="K45" s="172"/>
    </row>
    <row r="46" spans="1:12">
      <c r="A46" s="172"/>
      <c r="B46" s="50"/>
      <c r="C46" s="51"/>
      <c r="D46" s="51"/>
      <c r="E46" s="188"/>
      <c r="F46" s="189"/>
      <c r="G46" s="229"/>
      <c r="H46" s="146"/>
      <c r="I46" s="172"/>
      <c r="J46" s="172"/>
      <c r="K46" s="172"/>
    </row>
    <row r="47" spans="1:12">
      <c r="A47" s="172"/>
      <c r="B47" s="50"/>
      <c r="C47" s="220"/>
      <c r="D47" s="233"/>
      <c r="E47" s="188"/>
      <c r="F47" s="189"/>
      <c r="G47" s="229"/>
      <c r="H47" s="97"/>
      <c r="I47" s="172"/>
      <c r="J47" s="172"/>
      <c r="K47" s="172"/>
    </row>
    <row r="48" spans="1:12">
      <c r="A48" s="172"/>
      <c r="B48" s="50"/>
      <c r="C48" s="231"/>
      <c r="D48" s="250"/>
      <c r="E48" s="188"/>
      <c r="F48" s="189"/>
      <c r="G48" s="229"/>
      <c r="H48" s="143"/>
      <c r="I48" s="172"/>
      <c r="J48" s="172"/>
      <c r="K48" s="172"/>
    </row>
    <row r="49" spans="1:12">
      <c r="A49" s="180"/>
      <c r="B49" s="251"/>
      <c r="C49" s="209"/>
      <c r="D49" s="209"/>
      <c r="E49" s="184"/>
      <c r="F49" s="185"/>
      <c r="G49" s="252"/>
      <c r="H49" s="179"/>
      <c r="I49" s="172"/>
      <c r="J49" s="172"/>
      <c r="K49" s="172"/>
    </row>
    <row r="50" spans="1:12">
      <c r="A50" s="172"/>
      <c r="B50" s="253"/>
      <c r="C50" s="254"/>
      <c r="D50" s="254"/>
      <c r="E50" s="188"/>
      <c r="F50" s="189"/>
      <c r="G50" s="229"/>
      <c r="H50" s="235"/>
      <c r="I50" s="255"/>
      <c r="J50" s="180"/>
      <c r="K50" s="180"/>
    </row>
    <row r="51" spans="1:12">
      <c r="A51" s="256"/>
      <c r="B51" s="257"/>
      <c r="C51" s="258"/>
      <c r="D51" s="259"/>
      <c r="E51" s="240"/>
      <c r="F51" s="241"/>
      <c r="G51" s="260"/>
      <c r="H51" s="243"/>
      <c r="I51" s="172"/>
      <c r="J51" s="172"/>
      <c r="K51" s="172"/>
    </row>
    <row r="52" spans="1:12">
      <c r="A52" s="172"/>
      <c r="B52" s="50"/>
      <c r="C52" s="231"/>
      <c r="D52" s="249"/>
      <c r="E52" s="188"/>
      <c r="F52" s="189"/>
      <c r="G52" s="188"/>
      <c r="H52" s="173"/>
      <c r="I52" s="172"/>
      <c r="J52" s="172"/>
      <c r="K52" s="172"/>
    </row>
    <row r="53" spans="1:12">
      <c r="A53" s="172"/>
      <c r="B53" s="50"/>
      <c r="C53" s="231"/>
      <c r="D53" s="233"/>
      <c r="E53" s="188"/>
      <c r="F53" s="189"/>
      <c r="G53" s="188"/>
      <c r="H53" s="173"/>
      <c r="I53" s="172"/>
      <c r="J53" s="172"/>
      <c r="K53" s="172"/>
    </row>
    <row r="54" spans="1:12">
      <c r="A54" s="172"/>
      <c r="B54" s="127"/>
      <c r="C54" s="231"/>
      <c r="D54" s="233"/>
      <c r="E54" s="188"/>
      <c r="F54" s="189"/>
      <c r="G54" s="188"/>
      <c r="H54" s="98"/>
      <c r="I54" s="172"/>
      <c r="J54" s="172"/>
      <c r="K54" s="172"/>
    </row>
    <row r="55" spans="1:12">
      <c r="A55" s="172"/>
      <c r="B55" s="50"/>
      <c r="C55" s="231"/>
      <c r="D55" s="233"/>
      <c r="E55" s="188"/>
      <c r="F55" s="189"/>
      <c r="G55" s="188"/>
      <c r="H55" s="179"/>
      <c r="I55" s="172"/>
      <c r="J55" s="172"/>
      <c r="K55" s="172"/>
    </row>
    <row r="56" spans="1:12">
      <c r="A56" s="180"/>
      <c r="B56" s="261"/>
      <c r="C56" s="262"/>
      <c r="D56" s="263"/>
      <c r="E56" s="184"/>
      <c r="F56" s="185"/>
      <c r="G56" s="264"/>
      <c r="H56" s="265"/>
      <c r="I56" s="266"/>
      <c r="J56" s="172"/>
      <c r="K56" s="172"/>
    </row>
    <row r="57" spans="1:12" ht="14.45">
      <c r="A57" s="172"/>
      <c r="B57" s="227"/>
      <c r="C57" s="267"/>
      <c r="D57" s="268"/>
      <c r="E57" s="188"/>
      <c r="F57" s="189"/>
      <c r="G57" s="191"/>
      <c r="H57" s="227"/>
      <c r="I57" s="60"/>
      <c r="J57" s="172"/>
      <c r="K57" s="172"/>
      <c r="L57" s="143"/>
    </row>
    <row r="58" spans="1:12" ht="14.45">
      <c r="A58" s="256"/>
      <c r="B58" s="269"/>
      <c r="C58" s="270"/>
      <c r="D58" s="271"/>
      <c r="E58" s="240"/>
      <c r="F58" s="241"/>
      <c r="G58" s="272"/>
      <c r="H58" s="269"/>
      <c r="I58" s="155"/>
      <c r="J58" s="172"/>
      <c r="K58" s="172"/>
      <c r="L58" s="143"/>
    </row>
    <row r="59" spans="1:12" ht="14.45">
      <c r="A59" s="172"/>
      <c r="B59" s="197"/>
      <c r="C59" s="273"/>
      <c r="D59" s="274"/>
      <c r="E59" s="234"/>
      <c r="F59" s="234"/>
      <c r="G59" s="201"/>
      <c r="H59" s="203"/>
      <c r="I59" s="203"/>
      <c r="J59" s="172"/>
      <c r="K59" s="172"/>
    </row>
    <row r="60" spans="1:12" ht="14.45">
      <c r="A60" s="275"/>
      <c r="B60" s="196"/>
      <c r="C60" s="276"/>
      <c r="D60" s="277"/>
      <c r="E60" s="278"/>
      <c r="F60" s="279"/>
      <c r="G60" s="201"/>
      <c r="H60" s="203"/>
      <c r="I60" s="203"/>
      <c r="J60" s="172"/>
      <c r="K60" s="172"/>
    </row>
    <row r="61" spans="1:12" ht="14.45">
      <c r="A61" s="172"/>
      <c r="B61" s="280"/>
      <c r="C61" s="281"/>
      <c r="D61" s="282"/>
      <c r="E61" s="234"/>
      <c r="F61" s="234"/>
      <c r="G61" s="201"/>
      <c r="H61" s="283"/>
      <c r="I61" s="203"/>
      <c r="J61" s="172"/>
      <c r="K61" s="172"/>
    </row>
    <row r="62" spans="1:12" ht="14.45">
      <c r="A62" s="172"/>
      <c r="B62" s="284"/>
      <c r="C62" s="285"/>
      <c r="D62" s="277"/>
      <c r="E62" s="234"/>
      <c r="F62" s="234"/>
      <c r="G62" s="201"/>
      <c r="H62" s="203"/>
      <c r="I62" s="203"/>
      <c r="J62" s="172"/>
      <c r="K62" s="172"/>
    </row>
    <row r="63" spans="1:12" ht="14.45">
      <c r="A63" s="172"/>
      <c r="B63" s="196"/>
      <c r="C63" s="285"/>
      <c r="D63" s="277"/>
      <c r="E63" s="234"/>
      <c r="F63" s="279"/>
      <c r="G63" s="201"/>
      <c r="H63" s="203"/>
      <c r="I63" s="203"/>
      <c r="J63" s="172"/>
      <c r="K63" s="172"/>
    </row>
    <row r="64" spans="1:12" ht="14.45">
      <c r="A64" s="172"/>
      <c r="B64" s="196"/>
      <c r="C64" s="285"/>
      <c r="D64" s="277"/>
      <c r="E64" s="234"/>
      <c r="F64" s="234"/>
      <c r="G64" s="201"/>
      <c r="H64" s="286"/>
      <c r="I64" s="287"/>
      <c r="J64" s="172"/>
      <c r="K64" s="172"/>
    </row>
    <row r="65" spans="1:11" ht="14.45">
      <c r="A65" s="172"/>
      <c r="B65" s="196"/>
      <c r="C65" s="285"/>
      <c r="D65" s="277"/>
      <c r="E65" s="234"/>
      <c r="F65" s="234"/>
      <c r="G65" s="201"/>
      <c r="H65" s="288"/>
      <c r="I65" s="287"/>
      <c r="J65" s="172"/>
      <c r="K65" s="172"/>
    </row>
    <row r="66" spans="1:11" ht="14.45">
      <c r="A66" s="172"/>
      <c r="B66" s="196"/>
      <c r="C66" s="285"/>
      <c r="D66" s="277"/>
      <c r="E66" s="234"/>
      <c r="F66" s="234"/>
      <c r="G66" s="201"/>
      <c r="H66" s="283"/>
      <c r="I66" s="287"/>
      <c r="J66" s="172"/>
      <c r="K66" s="172"/>
    </row>
    <row r="67" spans="1:11" ht="14.45">
      <c r="A67" s="172"/>
      <c r="B67" s="284"/>
      <c r="C67" s="285"/>
      <c r="D67" s="277"/>
      <c r="E67" s="234"/>
      <c r="F67" s="234"/>
      <c r="G67" s="201"/>
      <c r="H67" s="283"/>
      <c r="I67" s="287"/>
      <c r="J67" s="172"/>
      <c r="K67" s="172"/>
    </row>
    <row r="68" spans="1:11" ht="14.45">
      <c r="A68" s="172"/>
      <c r="B68" s="196"/>
      <c r="C68" s="285"/>
      <c r="D68" s="277"/>
      <c r="E68" s="289"/>
      <c r="F68" s="234"/>
      <c r="G68" s="201"/>
      <c r="H68" s="283"/>
      <c r="I68" s="287"/>
      <c r="J68" s="180"/>
      <c r="K68" s="180"/>
    </row>
    <row r="69" spans="1:11" ht="14.45">
      <c r="A69" s="180"/>
      <c r="B69" s="182"/>
      <c r="C69" s="290"/>
      <c r="D69" s="291"/>
      <c r="E69" s="184"/>
      <c r="F69" s="292"/>
      <c r="G69" s="293"/>
      <c r="H69" s="294"/>
      <c r="I69" s="180"/>
      <c r="J69" s="180"/>
      <c r="K69" s="180"/>
    </row>
    <row r="70" spans="1:11" ht="13.9">
      <c r="A70" s="172"/>
      <c r="B70" s="187"/>
      <c r="C70" s="295"/>
      <c r="D70" s="295"/>
      <c r="E70" s="188"/>
      <c r="F70" s="189"/>
      <c r="G70" s="201"/>
      <c r="H70" s="296"/>
      <c r="I70" s="172"/>
      <c r="J70" s="172"/>
      <c r="K70" s="172"/>
    </row>
    <row r="71" spans="1:11" ht="14.45">
      <c r="A71" s="182"/>
      <c r="B71" s="226"/>
      <c r="C71" s="297"/>
      <c r="D71" s="210"/>
      <c r="E71" s="225"/>
      <c r="F71" s="298"/>
      <c r="G71" s="289"/>
      <c r="H71" s="299"/>
      <c r="I71" s="172"/>
      <c r="J71" s="172"/>
      <c r="K71" s="172"/>
    </row>
    <row r="72" spans="1:11" ht="14.45">
      <c r="A72" s="300"/>
      <c r="B72" s="226"/>
      <c r="C72" s="301"/>
      <c r="D72" s="302"/>
      <c r="E72" s="184"/>
      <c r="F72" s="185"/>
      <c r="G72" s="184"/>
      <c r="H72" s="299"/>
      <c r="I72" s="172"/>
      <c r="J72" s="172"/>
      <c r="K72" s="172"/>
    </row>
    <row r="73" spans="1:11" ht="14.45">
      <c r="A73" s="174"/>
      <c r="B73" s="227"/>
      <c r="C73" s="231"/>
      <c r="D73" s="303"/>
      <c r="E73" s="188"/>
      <c r="F73" s="189"/>
      <c r="G73" s="201"/>
      <c r="H73" s="296"/>
      <c r="I73" s="172"/>
      <c r="J73" s="172"/>
      <c r="K73" s="172"/>
    </row>
    <row r="74" spans="1:11" ht="13.9">
      <c r="A74" s="300"/>
      <c r="B74" s="182"/>
      <c r="C74" s="262"/>
      <c r="D74" s="263"/>
      <c r="E74" s="184"/>
      <c r="F74" s="185"/>
      <c r="G74" s="201"/>
      <c r="H74" s="299"/>
      <c r="I74" s="172"/>
      <c r="J74" s="172"/>
      <c r="K74" s="172"/>
    </row>
    <row r="75" spans="1:11">
      <c r="A75" s="174"/>
      <c r="B75" s="187"/>
      <c r="C75" s="231"/>
      <c r="D75" s="233"/>
      <c r="E75" s="188"/>
      <c r="F75" s="189"/>
      <c r="G75" s="188"/>
      <c r="H75" s="296"/>
      <c r="I75" s="172"/>
      <c r="J75" s="172"/>
      <c r="K75" s="172"/>
    </row>
    <row r="76" spans="1:11">
      <c r="A76" s="300"/>
      <c r="B76" s="182"/>
      <c r="C76" s="262"/>
      <c r="D76" s="263"/>
      <c r="E76" s="184"/>
      <c r="F76" s="185"/>
      <c r="G76" s="184"/>
      <c r="H76" s="299"/>
      <c r="I76" s="172"/>
      <c r="J76" s="172"/>
      <c r="K76" s="172"/>
    </row>
    <row r="77" spans="1:11">
      <c r="A77" s="174"/>
      <c r="B77" s="187"/>
      <c r="C77" s="231"/>
      <c r="D77" s="233"/>
      <c r="E77" s="188"/>
      <c r="F77" s="189"/>
      <c r="G77" s="188"/>
      <c r="H77" s="296"/>
      <c r="I77" s="172"/>
      <c r="J77" s="172"/>
      <c r="K77" s="172"/>
    </row>
    <row r="78" spans="1:11">
      <c r="A78" s="174"/>
      <c r="B78" s="187"/>
      <c r="C78" s="231"/>
      <c r="D78" s="249"/>
      <c r="E78" s="188"/>
      <c r="F78" s="189"/>
      <c r="G78" s="184"/>
      <c r="H78" s="299"/>
      <c r="I78" s="172"/>
      <c r="J78" s="172"/>
      <c r="K78" s="172"/>
    </row>
    <row r="79" spans="1:11">
      <c r="A79" s="174"/>
      <c r="B79" s="187"/>
      <c r="C79" s="231"/>
      <c r="D79" s="233"/>
      <c r="E79" s="188"/>
      <c r="F79" s="304"/>
      <c r="G79" s="188"/>
      <c r="H79" s="173"/>
      <c r="I79" s="255"/>
      <c r="J79" s="180"/>
      <c r="K79" s="180"/>
    </row>
    <row r="80" spans="1:11">
      <c r="A80" s="172"/>
      <c r="B80" s="187"/>
      <c r="C80" s="231"/>
      <c r="D80" s="233"/>
      <c r="E80" s="188"/>
      <c r="F80" s="304"/>
      <c r="G80" s="234"/>
      <c r="H80" s="296"/>
      <c r="I80" s="275"/>
      <c r="J80" s="172"/>
      <c r="K80" s="172"/>
    </row>
  </sheetData>
  <autoFilter ref="A1:O80" xr:uid="{CA0B6D8C-3C89-4F27-A2C4-A70DDCEF53BD}"/>
  <phoneticPr fontId="6" type="noConversion"/>
  <conditionalFormatting sqref="B9:F15 C21:F21 A9:A21">
    <cfRule type="expression" dxfId="179" priority="177" stopIfTrue="1">
      <formula>($G9="Fail")</formula>
    </cfRule>
    <cfRule type="expression" dxfId="178" priority="178" stopIfTrue="1">
      <formula>($G9="Pass")</formula>
    </cfRule>
  </conditionalFormatting>
  <conditionalFormatting sqref="B25">
    <cfRule type="expression" dxfId="177" priority="51" stopIfTrue="1">
      <formula>($G25="Fail")</formula>
    </cfRule>
    <cfRule type="expression" dxfId="176" priority="52" stopIfTrue="1">
      <formula>($G25="Pass")</formula>
    </cfRule>
  </conditionalFormatting>
  <conditionalFormatting sqref="B31">
    <cfRule type="expression" dxfId="175" priority="121" stopIfTrue="1">
      <formula>($G31="Fail")</formula>
    </cfRule>
    <cfRule type="expression" dxfId="174" priority="122" stopIfTrue="1">
      <formula>($G31="Pass")</formula>
    </cfRule>
  </conditionalFormatting>
  <conditionalFormatting sqref="B34">
    <cfRule type="expression" dxfId="173" priority="109" stopIfTrue="1">
      <formula>($G34="Fail")</formula>
    </cfRule>
    <cfRule type="expression" dxfId="172" priority="110" stopIfTrue="1">
      <formula>($G34="Pass")</formula>
    </cfRule>
  </conditionalFormatting>
  <conditionalFormatting sqref="B40">
    <cfRule type="expression" dxfId="171" priority="103" stopIfTrue="1">
      <formula>($G40="Fail")</formula>
    </cfRule>
    <cfRule type="expression" dxfId="170" priority="104" stopIfTrue="1">
      <formula>($G40="Pass")</formula>
    </cfRule>
  </conditionalFormatting>
  <conditionalFormatting sqref="B43">
    <cfRule type="expression" dxfId="169" priority="97" stopIfTrue="1">
      <formula>($G43="Fail")</formula>
    </cfRule>
    <cfRule type="expression" dxfId="168" priority="98" stopIfTrue="1">
      <formula>($G43="Pass")</formula>
    </cfRule>
  </conditionalFormatting>
  <conditionalFormatting sqref="B46:B53 B55:B56">
    <cfRule type="expression" dxfId="167" priority="75" stopIfTrue="1">
      <formula>($G46="Fail")</formula>
    </cfRule>
    <cfRule type="expression" dxfId="166" priority="76" stopIfTrue="1">
      <formula>($G46="Pass")</formula>
    </cfRule>
  </conditionalFormatting>
  <conditionalFormatting sqref="B33:D33">
    <cfRule type="expression" dxfId="165" priority="111" stopIfTrue="1">
      <formula>($G33="Fail")</formula>
    </cfRule>
    <cfRule type="expression" dxfId="164" priority="112" stopIfTrue="1">
      <formula>($G33="Pass")</formula>
    </cfRule>
  </conditionalFormatting>
  <conditionalFormatting sqref="C72">
    <cfRule type="expression" dxfId="163" priority="43" stopIfTrue="1">
      <formula>($G72="Fail")</formula>
    </cfRule>
    <cfRule type="expression" dxfId="162" priority="44" stopIfTrue="1">
      <formula>($G72="Pass")</formula>
    </cfRule>
  </conditionalFormatting>
  <conditionalFormatting sqref="C46:D46">
    <cfRule type="expression" dxfId="161" priority="91" stopIfTrue="1">
      <formula>($G46="Fail")</formula>
    </cfRule>
    <cfRule type="expression" dxfId="160" priority="92" stopIfTrue="1">
      <formula>($G46="Pass")</formula>
    </cfRule>
  </conditionalFormatting>
  <conditionalFormatting sqref="C50:D50">
    <cfRule type="expression" dxfId="159" priority="81" stopIfTrue="1">
      <formula>($G50="Fail")</formula>
    </cfRule>
    <cfRule type="expression" dxfId="158" priority="82" stopIfTrue="1">
      <formula>($G50="Pass")</formula>
    </cfRule>
  </conditionalFormatting>
  <conditionalFormatting sqref="C70:D70">
    <cfRule type="expression" dxfId="157" priority="45" stopIfTrue="1">
      <formula>($G70="Fail")</formula>
    </cfRule>
    <cfRule type="expression" dxfId="156" priority="46" stopIfTrue="1">
      <formula>($G70="Pass")</formula>
    </cfRule>
  </conditionalFormatting>
  <conditionalFormatting sqref="C29:E29">
    <cfRule type="expression" dxfId="155" priority="123" stopIfTrue="1">
      <formula>($G29="Fail")</formula>
    </cfRule>
    <cfRule type="expression" dxfId="154" priority="124" stopIfTrue="1">
      <formula>($G29="Pass")</formula>
    </cfRule>
  </conditionalFormatting>
  <conditionalFormatting sqref="D27">
    <cfRule type="expression" dxfId="153" priority="107" stopIfTrue="1">
      <formula>($G27="Fail")</formula>
    </cfRule>
    <cfRule type="expression" dxfId="152" priority="108" stopIfTrue="1">
      <formula>($G27="Pass")</formula>
    </cfRule>
  </conditionalFormatting>
  <conditionalFormatting sqref="D32">
    <cfRule type="expression" dxfId="151" priority="105" stopIfTrue="1">
      <formula>($G32="Fail")</formula>
    </cfRule>
    <cfRule type="expression" dxfId="150" priority="106" stopIfTrue="1">
      <formula>($G32="Pass")</formula>
    </cfRule>
  </conditionalFormatting>
  <conditionalFormatting sqref="E59 E63">
    <cfRule type="expression" dxfId="149" priority="74" stopIfTrue="1">
      <formula>($G59="Pass")</formula>
    </cfRule>
  </conditionalFormatting>
  <conditionalFormatting sqref="E59:E63">
    <cfRule type="expression" dxfId="148" priority="73" stopIfTrue="1">
      <formula>($G59="Fail")</formula>
    </cfRule>
  </conditionalFormatting>
  <conditionalFormatting sqref="E60:E63">
    <cfRule type="expression" dxfId="147" priority="72" stopIfTrue="1">
      <formula>($G60="Pass")</formula>
    </cfRule>
  </conditionalFormatting>
  <conditionalFormatting sqref="E64:F64 E68:F68">
    <cfRule type="expression" dxfId="146" priority="55" stopIfTrue="1">
      <formula>($G64="Pass")</formula>
    </cfRule>
  </conditionalFormatting>
  <conditionalFormatting sqref="E64:F68">
    <cfRule type="expression" dxfId="145" priority="54" stopIfTrue="1">
      <formula>($G64="Fail")</formula>
    </cfRule>
  </conditionalFormatting>
  <conditionalFormatting sqref="B16 D16:F16 B17:F19">
    <cfRule type="expression" dxfId="144" priority="139" stopIfTrue="1">
      <formula>($G16="Fail")</formula>
    </cfRule>
    <cfRule type="expression" dxfId="143" priority="140" stopIfTrue="1">
      <formula>($G16="Pass")</formula>
    </cfRule>
  </conditionalFormatting>
  <conditionalFormatting sqref="F61:F62">
    <cfRule type="expression" dxfId="142" priority="68" stopIfTrue="1">
      <formula>($G61="Fail")</formula>
    </cfRule>
    <cfRule type="expression" dxfId="141" priority="69" stopIfTrue="1">
      <formula>($G61="Pass")</formula>
    </cfRule>
  </conditionalFormatting>
  <conditionalFormatting sqref="F64:F67 E65:E68">
    <cfRule type="expression" dxfId="140" priority="53" stopIfTrue="1">
      <formula>($G64="Pass")</formula>
    </cfRule>
  </conditionalFormatting>
  <conditionalFormatting sqref="F69">
    <cfRule type="expression" dxfId="139" priority="49" stopIfTrue="1">
      <formula>($G69="Fail")</formula>
    </cfRule>
    <cfRule type="expression" dxfId="138" priority="50" stopIfTrue="1">
      <formula>($G69="Pass")</formula>
    </cfRule>
  </conditionalFormatting>
  <conditionalFormatting sqref="F59:G59">
    <cfRule type="expression" dxfId="137" priority="66" stopIfTrue="1">
      <formula>($G59="Fail")</formula>
    </cfRule>
    <cfRule type="expression" dxfId="136" priority="67" stopIfTrue="1">
      <formula>($G59="Pass")</formula>
    </cfRule>
  </conditionalFormatting>
  <conditionalFormatting sqref="G9:G21">
    <cfRule type="expression" dxfId="135" priority="137" stopIfTrue="1">
      <formula>($G9="Fail")</formula>
    </cfRule>
    <cfRule type="expression" dxfId="134" priority="138" stopIfTrue="1">
      <formula>($G9="Pass")</formula>
    </cfRule>
  </conditionalFormatting>
  <conditionalFormatting sqref="G23">
    <cfRule type="expression" dxfId="133" priority="41" stopIfTrue="1">
      <formula>($G23="Fail")</formula>
    </cfRule>
    <cfRule type="expression" dxfId="132" priority="42" stopIfTrue="1">
      <formula>($G23="Pass")</formula>
    </cfRule>
  </conditionalFormatting>
  <conditionalFormatting sqref="G27">
    <cfRule type="expression" dxfId="131" priority="39" stopIfTrue="1">
      <formula>($G27="Fail")</formula>
    </cfRule>
    <cfRule type="expression" dxfId="130" priority="40" stopIfTrue="1">
      <formula>($G27="Pass")</formula>
    </cfRule>
  </conditionalFormatting>
  <conditionalFormatting sqref="G60:G70">
    <cfRule type="expression" dxfId="129" priority="56" stopIfTrue="1">
      <formula>($G60="Fail")</formula>
    </cfRule>
    <cfRule type="expression" dxfId="128" priority="57" stopIfTrue="1">
      <formula>($G60="Pass")</formula>
    </cfRule>
  </conditionalFormatting>
  <conditionalFormatting sqref="G73:G74">
    <cfRule type="expression" dxfId="127" priority="37" stopIfTrue="1">
      <formula>($G73="Fail")</formula>
    </cfRule>
    <cfRule type="expression" dxfId="126" priority="38" stopIfTrue="1">
      <formula>($G73="Pass")</formula>
    </cfRule>
  </conditionalFormatting>
  <conditionalFormatting sqref="B7:F7 B5:B6 D5:F5 E6:F6 A2:A8">
    <cfRule type="expression" dxfId="125" priority="19" stopIfTrue="1">
      <formula>($G2="Fail")</formula>
    </cfRule>
    <cfRule type="expression" dxfId="124" priority="20" stopIfTrue="1">
      <formula>($G2="Pass")</formula>
    </cfRule>
  </conditionalFormatting>
  <conditionalFormatting sqref="B2:B3">
    <cfRule type="expression" dxfId="123" priority="13" stopIfTrue="1">
      <formula>($G2="Fail")</formula>
    </cfRule>
    <cfRule type="expression" dxfId="122" priority="14" stopIfTrue="1">
      <formula>($G2="Pass")</formula>
    </cfRule>
  </conditionalFormatting>
  <conditionalFormatting sqref="E4:E5">
    <cfRule type="expression" dxfId="121" priority="11" stopIfTrue="1">
      <formula>($G4="Fail")</formula>
    </cfRule>
    <cfRule type="expression" dxfId="120" priority="12" stopIfTrue="1">
      <formula>($G4="Pass")</formula>
    </cfRule>
  </conditionalFormatting>
  <conditionalFormatting sqref="F2:F5">
    <cfRule type="expression" dxfId="119" priority="17" stopIfTrue="1">
      <formula>($G2="Fail")</formula>
    </cfRule>
    <cfRule type="expression" dxfId="118" priority="18" stopIfTrue="1">
      <formula>($G2="Pass")</formula>
    </cfRule>
  </conditionalFormatting>
  <conditionalFormatting sqref="G2:G8">
    <cfRule type="expression" dxfId="117" priority="15" stopIfTrue="1">
      <formula>($G2="Fail")</formula>
    </cfRule>
    <cfRule type="expression" dxfId="116" priority="16" stopIfTrue="1">
      <formula>($G2="Pass")</formula>
    </cfRule>
  </conditionalFormatting>
  <conditionalFormatting sqref="D4:D5">
    <cfRule type="expression" dxfId="115" priority="9" stopIfTrue="1">
      <formula>($G4="Fail")</formula>
    </cfRule>
    <cfRule type="expression" dxfId="114" priority="10" stopIfTrue="1">
      <formula>($G4="Pass")</formula>
    </cfRule>
  </conditionalFormatting>
  <conditionalFormatting sqref="D6">
    <cfRule type="expression" dxfId="113" priority="7" stopIfTrue="1">
      <formula>($G6="Fail")</formula>
    </cfRule>
    <cfRule type="expression" dxfId="112" priority="8" stopIfTrue="1">
      <formula>($G6="Pass")</formula>
    </cfRule>
  </conditionalFormatting>
  <conditionalFormatting sqref="D8">
    <cfRule type="expression" dxfId="111" priority="5" stopIfTrue="1">
      <formula>($G8="Fail")</formula>
    </cfRule>
    <cfRule type="expression" dxfId="110" priority="6" stopIfTrue="1">
      <formula>($G8="Pass")</formula>
    </cfRule>
  </conditionalFormatting>
  <conditionalFormatting sqref="E8">
    <cfRule type="expression" dxfId="109" priority="1" stopIfTrue="1">
      <formula>($G8="Fail")</formula>
    </cfRule>
    <cfRule type="expression" dxfId="108" priority="2" stopIfTrue="1">
      <formula>($G8="Pass")</formula>
    </cfRule>
  </conditionalFormatting>
  <conditionalFormatting sqref="F8">
    <cfRule type="expression" dxfId="107" priority="3" stopIfTrue="1">
      <formula>($G8="Fail")</formula>
    </cfRule>
    <cfRule type="expression" dxfId="106" priority="4" stopIfTrue="1">
      <formula>($G8="Pass")</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6"/>
  <sheetViews>
    <sheetView topLeftCell="A25" zoomScale="70" zoomScaleNormal="70" workbookViewId="0">
      <selection activeCell="C36" sqref="C36"/>
    </sheetView>
  </sheetViews>
  <sheetFormatPr defaultColWidth="8.7109375" defaultRowHeight="13.15"/>
  <cols>
    <col min="1" max="1" width="11.140625" style="57" customWidth="1"/>
    <col min="2" max="2" width="34.28515625" style="71" customWidth="1"/>
    <col min="3" max="3" width="49.5703125" style="49" bestFit="1" customWidth="1"/>
    <col min="4" max="4" width="33.42578125" style="48" customWidth="1"/>
    <col min="5" max="5" width="10.42578125" style="72" bestFit="1" customWidth="1"/>
    <col min="6" max="6" width="11.85546875" style="73" customWidth="1"/>
    <col min="7" max="7" width="16.570312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1" ht="24">
      <c r="A1" s="67" t="s">
        <v>106</v>
      </c>
      <c r="B1" s="68" t="s">
        <v>107</v>
      </c>
      <c r="C1" s="68" t="s">
        <v>108</v>
      </c>
      <c r="D1" s="68" t="s">
        <v>109</v>
      </c>
      <c r="E1" s="67" t="s">
        <v>110</v>
      </c>
      <c r="F1" s="69" t="s">
        <v>111</v>
      </c>
      <c r="G1" s="68" t="s">
        <v>112</v>
      </c>
      <c r="H1" s="70" t="s">
        <v>113</v>
      </c>
      <c r="I1" s="305" t="s">
        <v>114</v>
      </c>
      <c r="J1" s="333" t="s">
        <v>115</v>
      </c>
      <c r="K1" s="305" t="s">
        <v>116</v>
      </c>
    </row>
    <row r="2" spans="1:11" ht="50.25" customHeight="1">
      <c r="A2" s="90" t="s">
        <v>1016</v>
      </c>
      <c r="B2" s="47" t="s">
        <v>1017</v>
      </c>
      <c r="C2" s="365" t="s">
        <v>1018</v>
      </c>
      <c r="D2" s="113" t="s">
        <v>1019</v>
      </c>
      <c r="E2" s="66">
        <v>3</v>
      </c>
      <c r="F2" s="66"/>
      <c r="G2" s="52" t="s">
        <v>102</v>
      </c>
      <c r="H2" s="64"/>
      <c r="I2" s="60"/>
      <c r="J2" s="61" t="s">
        <v>1020</v>
      </c>
      <c r="K2" s="154" t="s">
        <v>842</v>
      </c>
    </row>
    <row r="3" spans="1:11" ht="72">
      <c r="A3" s="89" t="s">
        <v>1021</v>
      </c>
      <c r="B3" s="47" t="s">
        <v>1022</v>
      </c>
      <c r="C3" s="183" t="s">
        <v>1023</v>
      </c>
      <c r="D3" s="113" t="s">
        <v>1024</v>
      </c>
      <c r="E3" s="66">
        <v>6</v>
      </c>
      <c r="F3" s="66"/>
      <c r="G3" s="52" t="s">
        <v>102</v>
      </c>
      <c r="H3" s="143"/>
      <c r="I3" s="60"/>
      <c r="J3" s="61" t="s">
        <v>1020</v>
      </c>
      <c r="K3" s="154" t="s">
        <v>842</v>
      </c>
    </row>
    <row r="4" spans="1:11" ht="60">
      <c r="A4" s="90" t="s">
        <v>1025</v>
      </c>
      <c r="B4" s="47" t="s">
        <v>1026</v>
      </c>
      <c r="C4" s="114" t="s">
        <v>1027</v>
      </c>
      <c r="D4" s="113" t="s">
        <v>1028</v>
      </c>
      <c r="E4" s="66">
        <v>4</v>
      </c>
      <c r="F4" s="66"/>
      <c r="G4" s="52" t="s">
        <v>102</v>
      </c>
      <c r="H4" s="64"/>
      <c r="I4" s="60"/>
      <c r="J4" s="448" t="s">
        <v>1020</v>
      </c>
      <c r="K4" s="154" t="s">
        <v>842</v>
      </c>
    </row>
    <row r="5" spans="1:11" ht="36">
      <c r="A5" s="89" t="s">
        <v>1029</v>
      </c>
      <c r="B5" s="47" t="s">
        <v>1030</v>
      </c>
      <c r="C5" s="365" t="s">
        <v>1018</v>
      </c>
      <c r="D5" s="165" t="s">
        <v>1031</v>
      </c>
      <c r="E5" s="66">
        <v>3</v>
      </c>
      <c r="F5" s="66"/>
      <c r="G5" s="52" t="s">
        <v>102</v>
      </c>
      <c r="H5" s="64"/>
      <c r="I5" s="442"/>
      <c r="J5" s="443" t="s">
        <v>1020</v>
      </c>
      <c r="K5" s="447" t="s">
        <v>842</v>
      </c>
    </row>
    <row r="6" spans="1:11" ht="66.75">
      <c r="A6" s="90" t="s">
        <v>1032</v>
      </c>
      <c r="B6" s="366" t="s">
        <v>1033</v>
      </c>
      <c r="C6" s="119" t="s">
        <v>1023</v>
      </c>
      <c r="D6" s="401" t="s">
        <v>1034</v>
      </c>
      <c r="E6" s="66">
        <v>6</v>
      </c>
      <c r="F6" s="66"/>
      <c r="G6" s="52" t="s">
        <v>102</v>
      </c>
      <c r="H6" s="65"/>
      <c r="I6" s="442"/>
      <c r="J6" s="163" t="s">
        <v>1020</v>
      </c>
      <c r="K6" s="447" t="s">
        <v>842</v>
      </c>
    </row>
    <row r="7" spans="1:11" ht="60">
      <c r="A7" s="89" t="s">
        <v>1035</v>
      </c>
      <c r="B7" s="366" t="s">
        <v>1036</v>
      </c>
      <c r="C7" s="183" t="s">
        <v>1037</v>
      </c>
      <c r="D7" s="396" t="s">
        <v>1038</v>
      </c>
      <c r="E7" s="66">
        <v>4</v>
      </c>
      <c r="F7" s="66"/>
      <c r="G7" s="52" t="s">
        <v>102</v>
      </c>
      <c r="H7" s="97"/>
      <c r="I7" s="442"/>
      <c r="J7" s="449" t="s">
        <v>1020</v>
      </c>
      <c r="K7" s="447" t="s">
        <v>842</v>
      </c>
    </row>
    <row r="8" spans="1:11" ht="48">
      <c r="A8" s="90" t="s">
        <v>1039</v>
      </c>
      <c r="B8" s="47" t="s">
        <v>1040</v>
      </c>
      <c r="C8" s="397" t="s">
        <v>1041</v>
      </c>
      <c r="D8" s="165" t="s">
        <v>1042</v>
      </c>
      <c r="E8" s="66">
        <v>4</v>
      </c>
      <c r="F8" s="66"/>
      <c r="G8" s="52" t="s">
        <v>102</v>
      </c>
      <c r="H8" s="97"/>
      <c r="I8" s="442"/>
      <c r="J8" s="449" t="s">
        <v>1020</v>
      </c>
      <c r="K8" s="447" t="s">
        <v>842</v>
      </c>
    </row>
    <row r="9" spans="1:11" ht="72">
      <c r="A9" s="89" t="s">
        <v>1043</v>
      </c>
      <c r="B9" s="101" t="s">
        <v>1044</v>
      </c>
      <c r="C9" s="365" t="s">
        <v>1045</v>
      </c>
      <c r="D9" s="117" t="s">
        <v>1046</v>
      </c>
      <c r="E9" s="66">
        <v>6</v>
      </c>
      <c r="F9" s="66"/>
      <c r="G9" s="52" t="s">
        <v>102</v>
      </c>
      <c r="H9" s="97"/>
      <c r="I9" s="442"/>
      <c r="J9" s="444" t="s">
        <v>1020</v>
      </c>
      <c r="K9" s="447" t="s">
        <v>842</v>
      </c>
    </row>
    <row r="10" spans="1:11" ht="66.75">
      <c r="A10" s="90" t="s">
        <v>1047</v>
      </c>
      <c r="B10" s="366" t="s">
        <v>1048</v>
      </c>
      <c r="C10" s="117" t="s">
        <v>1049</v>
      </c>
      <c r="D10" s="397" t="s">
        <v>1050</v>
      </c>
      <c r="E10" s="66">
        <v>5</v>
      </c>
      <c r="F10" s="66"/>
      <c r="G10" s="52" t="s">
        <v>102</v>
      </c>
      <c r="H10" s="97"/>
      <c r="I10" s="442"/>
      <c r="J10" s="445" t="s">
        <v>1051</v>
      </c>
      <c r="K10" s="447" t="s">
        <v>842</v>
      </c>
    </row>
    <row r="11" spans="1:11" ht="48">
      <c r="A11" s="89" t="s">
        <v>1052</v>
      </c>
      <c r="B11" s="374" t="s">
        <v>1053</v>
      </c>
      <c r="C11" s="391" t="s">
        <v>1054</v>
      </c>
      <c r="D11" s="376" t="s">
        <v>1055</v>
      </c>
      <c r="E11" s="66">
        <v>3</v>
      </c>
      <c r="F11" s="66"/>
      <c r="G11" s="52" t="s">
        <v>102</v>
      </c>
      <c r="H11" s="97"/>
      <c r="I11" s="442"/>
      <c r="J11" s="445" t="s">
        <v>1051</v>
      </c>
      <c r="K11" s="447" t="s">
        <v>842</v>
      </c>
    </row>
    <row r="12" spans="1:11" ht="60">
      <c r="A12" s="375" t="s">
        <v>1056</v>
      </c>
      <c r="B12" s="434" t="s">
        <v>1057</v>
      </c>
      <c r="C12" s="383" t="s">
        <v>1058</v>
      </c>
      <c r="D12" s="373" t="s">
        <v>1059</v>
      </c>
      <c r="E12" s="52">
        <v>5</v>
      </c>
      <c r="F12" s="66"/>
      <c r="G12" s="52" t="s">
        <v>102</v>
      </c>
      <c r="H12" s="97"/>
      <c r="I12" s="442"/>
      <c r="J12" s="445" t="s">
        <v>1051</v>
      </c>
      <c r="K12" s="447" t="s">
        <v>842</v>
      </c>
    </row>
    <row r="13" spans="1:11" ht="36">
      <c r="A13" s="89" t="s">
        <v>1060</v>
      </c>
      <c r="B13" s="237" t="s">
        <v>1061</v>
      </c>
      <c r="C13" s="365" t="s">
        <v>1018</v>
      </c>
      <c r="D13" s="165" t="s">
        <v>1062</v>
      </c>
      <c r="E13" s="52">
        <v>3</v>
      </c>
      <c r="F13" s="66"/>
      <c r="G13" s="52" t="s">
        <v>102</v>
      </c>
      <c r="H13" s="97"/>
      <c r="I13" s="442"/>
      <c r="J13" s="445" t="s">
        <v>1020</v>
      </c>
      <c r="K13" s="447" t="s">
        <v>842</v>
      </c>
    </row>
    <row r="14" spans="1:11" ht="72">
      <c r="A14" s="90" t="s">
        <v>1063</v>
      </c>
      <c r="B14" s="47" t="s">
        <v>1064</v>
      </c>
      <c r="C14" s="183" t="s">
        <v>1023</v>
      </c>
      <c r="D14" s="165" t="s">
        <v>1024</v>
      </c>
      <c r="E14" s="52">
        <v>6</v>
      </c>
      <c r="F14" s="66"/>
      <c r="G14" s="52" t="s">
        <v>102</v>
      </c>
      <c r="H14" s="97"/>
      <c r="I14" s="442"/>
      <c r="J14" s="445" t="s">
        <v>1020</v>
      </c>
      <c r="K14" s="447" t="s">
        <v>842</v>
      </c>
    </row>
    <row r="15" spans="1:11" ht="60">
      <c r="A15" s="89" t="s">
        <v>1065</v>
      </c>
      <c r="B15" s="47" t="s">
        <v>1066</v>
      </c>
      <c r="C15" s="114" t="s">
        <v>1027</v>
      </c>
      <c r="D15" s="113" t="s">
        <v>1067</v>
      </c>
      <c r="E15" s="52">
        <v>7</v>
      </c>
      <c r="F15" s="66"/>
      <c r="G15" s="52" t="s">
        <v>102</v>
      </c>
      <c r="H15" s="64"/>
      <c r="I15" s="442"/>
      <c r="J15" s="445" t="s">
        <v>1020</v>
      </c>
      <c r="K15" s="447" t="s">
        <v>842</v>
      </c>
    </row>
    <row r="16" spans="1:11" ht="48">
      <c r="A16" s="90" t="s">
        <v>1068</v>
      </c>
      <c r="B16" s="47" t="s">
        <v>1069</v>
      </c>
      <c r="C16" s="395" t="s">
        <v>1070</v>
      </c>
      <c r="D16" s="395" t="s">
        <v>1071</v>
      </c>
      <c r="E16" s="52">
        <v>3</v>
      </c>
      <c r="F16" s="66"/>
      <c r="G16" s="52" t="s">
        <v>102</v>
      </c>
      <c r="H16" s="65"/>
      <c r="I16" s="442"/>
      <c r="J16" s="445" t="s">
        <v>1020</v>
      </c>
      <c r="K16" s="447" t="s">
        <v>842</v>
      </c>
    </row>
    <row r="17" spans="1:11" ht="60">
      <c r="A17" s="89" t="s">
        <v>1072</v>
      </c>
      <c r="B17" s="101" t="s">
        <v>1073</v>
      </c>
      <c r="C17" s="380" t="s">
        <v>1074</v>
      </c>
      <c r="D17" s="381" t="s">
        <v>1075</v>
      </c>
      <c r="E17" s="52">
        <v>3</v>
      </c>
      <c r="F17" s="66"/>
      <c r="G17" s="52" t="s">
        <v>102</v>
      </c>
      <c r="H17" s="64"/>
      <c r="I17" s="442"/>
      <c r="J17" s="445" t="s">
        <v>1020</v>
      </c>
      <c r="K17" s="447" t="s">
        <v>842</v>
      </c>
    </row>
    <row r="18" spans="1:11" ht="60">
      <c r="A18" s="90" t="s">
        <v>1076</v>
      </c>
      <c r="B18" s="101" t="s">
        <v>1077</v>
      </c>
      <c r="C18" s="394" t="s">
        <v>1074</v>
      </c>
      <c r="D18" s="396" t="s">
        <v>1075</v>
      </c>
      <c r="E18" s="52">
        <v>3</v>
      </c>
      <c r="F18" s="66"/>
      <c r="G18" s="52" t="s">
        <v>102</v>
      </c>
      <c r="H18" s="64"/>
      <c r="I18" s="442"/>
      <c r="J18" s="445" t="s">
        <v>1020</v>
      </c>
      <c r="K18" s="447" t="s">
        <v>842</v>
      </c>
    </row>
    <row r="19" spans="1:11" ht="57.75">
      <c r="A19" s="89" t="s">
        <v>1078</v>
      </c>
      <c r="B19" s="377" t="s">
        <v>1079</v>
      </c>
      <c r="C19" s="394" t="s">
        <v>1041</v>
      </c>
      <c r="D19" s="396" t="s">
        <v>1080</v>
      </c>
      <c r="E19" s="379">
        <v>4</v>
      </c>
      <c r="F19" s="66"/>
      <c r="G19" s="52" t="s">
        <v>102</v>
      </c>
      <c r="H19" s="65"/>
      <c r="I19" s="442"/>
      <c r="J19" s="445" t="s">
        <v>1020</v>
      </c>
      <c r="K19" s="447" t="s">
        <v>842</v>
      </c>
    </row>
    <row r="20" spans="1:11" ht="101.25">
      <c r="A20" s="90" t="s">
        <v>1081</v>
      </c>
      <c r="B20" s="377" t="s">
        <v>1082</v>
      </c>
      <c r="C20" s="394" t="s">
        <v>1083</v>
      </c>
      <c r="D20" s="396" t="s">
        <v>1046</v>
      </c>
      <c r="E20" s="379">
        <v>6</v>
      </c>
      <c r="F20" s="66"/>
      <c r="G20" s="52" t="s">
        <v>102</v>
      </c>
      <c r="H20" s="65"/>
      <c r="I20" s="442"/>
      <c r="J20" s="445" t="s">
        <v>1020</v>
      </c>
      <c r="K20" s="447" t="s">
        <v>842</v>
      </c>
    </row>
    <row r="21" spans="1:11" ht="84">
      <c r="A21" s="89" t="s">
        <v>1084</v>
      </c>
      <c r="B21" s="392" t="s">
        <v>1085</v>
      </c>
      <c r="C21" s="368" t="s">
        <v>1086</v>
      </c>
      <c r="D21" s="385" t="s">
        <v>1087</v>
      </c>
      <c r="E21" s="52">
        <v>6</v>
      </c>
      <c r="F21" s="66"/>
      <c r="G21" s="52" t="s">
        <v>102</v>
      </c>
      <c r="H21" s="386" t="s">
        <v>1088</v>
      </c>
      <c r="I21" s="442"/>
      <c r="J21" s="445" t="s">
        <v>1051</v>
      </c>
      <c r="K21" s="447" t="s">
        <v>842</v>
      </c>
    </row>
    <row r="22" spans="1:11" ht="48">
      <c r="A22" s="90" t="s">
        <v>1089</v>
      </c>
      <c r="B22" s="187" t="s">
        <v>1090</v>
      </c>
      <c r="C22" s="390" t="s">
        <v>1091</v>
      </c>
      <c r="D22" s="51" t="s">
        <v>1092</v>
      </c>
      <c r="E22" s="52">
        <v>3</v>
      </c>
      <c r="F22" s="66"/>
      <c r="G22" s="52" t="s">
        <v>102</v>
      </c>
      <c r="H22" s="369" t="s">
        <v>1093</v>
      </c>
      <c r="I22" s="442"/>
      <c r="J22" s="445" t="s">
        <v>1051</v>
      </c>
      <c r="K22" s="447" t="s">
        <v>842</v>
      </c>
    </row>
    <row r="23" spans="1:11" ht="48">
      <c r="A23" s="89" t="s">
        <v>1094</v>
      </c>
      <c r="B23" s="187" t="s">
        <v>1095</v>
      </c>
      <c r="C23" s="390" t="s">
        <v>1096</v>
      </c>
      <c r="D23" s="51" t="s">
        <v>1097</v>
      </c>
      <c r="E23" s="52">
        <v>3</v>
      </c>
      <c r="F23" s="66"/>
      <c r="G23" s="52" t="s">
        <v>102</v>
      </c>
      <c r="H23" s="370" t="s">
        <v>1098</v>
      </c>
      <c r="I23" s="442"/>
      <c r="J23" s="445" t="s">
        <v>1051</v>
      </c>
      <c r="K23" s="447" t="s">
        <v>842</v>
      </c>
    </row>
    <row r="24" spans="1:11" ht="48">
      <c r="A24" s="375" t="s">
        <v>1099</v>
      </c>
      <c r="B24" s="187" t="s">
        <v>1100</v>
      </c>
      <c r="C24" s="390" t="s">
        <v>1101</v>
      </c>
      <c r="D24" s="51" t="s">
        <v>1102</v>
      </c>
      <c r="E24" s="52">
        <v>3</v>
      </c>
      <c r="F24" s="66"/>
      <c r="G24" s="52" t="s">
        <v>102</v>
      </c>
      <c r="H24" s="370" t="s">
        <v>1103</v>
      </c>
      <c r="I24" s="442"/>
      <c r="J24" s="445" t="s">
        <v>1051</v>
      </c>
      <c r="K24" s="447" t="s">
        <v>842</v>
      </c>
    </row>
    <row r="25" spans="1:11" ht="107.25">
      <c r="A25" s="389" t="s">
        <v>1104</v>
      </c>
      <c r="B25" s="187" t="s">
        <v>1105</v>
      </c>
      <c r="C25" s="390" t="s">
        <v>1106</v>
      </c>
      <c r="D25" s="51" t="s">
        <v>1107</v>
      </c>
      <c r="E25" s="52">
        <v>6</v>
      </c>
      <c r="F25" s="66"/>
      <c r="G25" s="52" t="s">
        <v>102</v>
      </c>
      <c r="H25" s="371" t="s">
        <v>1108</v>
      </c>
      <c r="I25" s="442"/>
      <c r="J25" s="445" t="s">
        <v>1051</v>
      </c>
      <c r="K25" s="447" t="s">
        <v>842</v>
      </c>
    </row>
    <row r="26" spans="1:11" ht="60">
      <c r="A26" s="375" t="s">
        <v>1109</v>
      </c>
      <c r="B26" s="187" t="s">
        <v>1110</v>
      </c>
      <c r="C26" s="390" t="s">
        <v>1111</v>
      </c>
      <c r="D26" s="51" t="s">
        <v>1112</v>
      </c>
      <c r="E26" s="52">
        <v>4</v>
      </c>
      <c r="F26" s="66"/>
      <c r="G26" s="52" t="s">
        <v>102</v>
      </c>
      <c r="H26" s="370" t="s">
        <v>1113</v>
      </c>
      <c r="I26" s="442"/>
      <c r="J26" s="445" t="s">
        <v>1051</v>
      </c>
      <c r="K26" s="447" t="s">
        <v>842</v>
      </c>
    </row>
    <row r="27" spans="1:11" ht="60">
      <c r="A27" s="181" t="s">
        <v>1114</v>
      </c>
      <c r="B27" s="187" t="s">
        <v>1115</v>
      </c>
      <c r="C27" s="391" t="s">
        <v>1116</v>
      </c>
      <c r="D27" s="51" t="s">
        <v>1117</v>
      </c>
      <c r="E27" s="52">
        <v>4</v>
      </c>
      <c r="F27" s="66"/>
      <c r="G27" s="52" t="s">
        <v>102</v>
      </c>
      <c r="H27" s="369" t="s">
        <v>1118</v>
      </c>
      <c r="I27" s="442"/>
      <c r="J27" s="445" t="s">
        <v>1051</v>
      </c>
      <c r="K27" s="447" t="s">
        <v>842</v>
      </c>
    </row>
    <row r="28" spans="1:11" ht="44.25">
      <c r="A28" s="181" t="s">
        <v>1119</v>
      </c>
      <c r="B28" s="393" t="s">
        <v>1120</v>
      </c>
      <c r="C28" s="372" t="s">
        <v>1121</v>
      </c>
      <c r="D28" s="384" t="s">
        <v>1122</v>
      </c>
      <c r="E28" s="52">
        <v>4</v>
      </c>
      <c r="F28" s="66"/>
      <c r="G28" s="52" t="s">
        <v>102</v>
      </c>
      <c r="H28" s="64"/>
      <c r="I28" s="442"/>
      <c r="J28" s="445" t="s">
        <v>1020</v>
      </c>
      <c r="K28" s="447" t="s">
        <v>842</v>
      </c>
    </row>
    <row r="29" spans="1:11" ht="55.5">
      <c r="A29" s="181" t="s">
        <v>1123</v>
      </c>
      <c r="B29" s="369" t="s">
        <v>1124</v>
      </c>
      <c r="C29" s="372" t="s">
        <v>1125</v>
      </c>
      <c r="D29" s="51" t="s">
        <v>1126</v>
      </c>
      <c r="E29" s="52">
        <v>4</v>
      </c>
      <c r="F29" s="66"/>
      <c r="G29" s="52" t="s">
        <v>102</v>
      </c>
      <c r="H29" s="64"/>
      <c r="I29" s="442"/>
      <c r="J29" s="445" t="s">
        <v>1020</v>
      </c>
      <c r="K29" s="447" t="s">
        <v>842</v>
      </c>
    </row>
    <row r="30" spans="1:11" ht="44.25">
      <c r="A30" s="47" t="s">
        <v>1127</v>
      </c>
      <c r="B30" s="378" t="s">
        <v>1128</v>
      </c>
      <c r="C30" s="372" t="s">
        <v>1121</v>
      </c>
      <c r="D30" s="373" t="s">
        <v>1122</v>
      </c>
      <c r="E30" s="52">
        <v>4</v>
      </c>
      <c r="F30" s="66"/>
      <c r="G30" s="52" t="s">
        <v>102</v>
      </c>
      <c r="H30" s="64"/>
      <c r="I30" s="442"/>
      <c r="J30" s="445" t="s">
        <v>1020</v>
      </c>
      <c r="K30" s="447" t="s">
        <v>842</v>
      </c>
    </row>
    <row r="31" spans="1:11" ht="44.25">
      <c r="A31" s="47" t="s">
        <v>1129</v>
      </c>
      <c r="B31" s="71" t="s">
        <v>1130</v>
      </c>
      <c r="C31" s="372" t="s">
        <v>1131</v>
      </c>
      <c r="D31" s="387" t="s">
        <v>1132</v>
      </c>
      <c r="E31" s="52">
        <v>4</v>
      </c>
      <c r="F31" s="66"/>
      <c r="G31" s="52" t="s">
        <v>102</v>
      </c>
      <c r="H31" s="64"/>
      <c r="I31" s="442"/>
      <c r="J31" s="445" t="s">
        <v>1020</v>
      </c>
      <c r="K31" s="447" t="s">
        <v>842</v>
      </c>
    </row>
    <row r="32" spans="1:11" ht="44.25">
      <c r="A32" s="47" t="s">
        <v>1133</v>
      </c>
      <c r="B32" s="382" t="s">
        <v>1134</v>
      </c>
      <c r="C32" s="372" t="s">
        <v>1135</v>
      </c>
      <c r="D32" s="388" t="s">
        <v>1132</v>
      </c>
      <c r="E32" s="52">
        <v>4</v>
      </c>
      <c r="F32" s="66"/>
      <c r="G32" s="52" t="s">
        <v>102</v>
      </c>
      <c r="H32" s="64"/>
      <c r="I32" s="442"/>
      <c r="J32" s="445" t="s">
        <v>1051</v>
      </c>
      <c r="K32" s="447" t="s">
        <v>842</v>
      </c>
    </row>
    <row r="33" spans="1:11" ht="44.25">
      <c r="A33" s="47" t="s">
        <v>1136</v>
      </c>
      <c r="B33" s="377" t="s">
        <v>1137</v>
      </c>
      <c r="C33" s="372" t="s">
        <v>1138</v>
      </c>
      <c r="D33" s="364" t="s">
        <v>1132</v>
      </c>
      <c r="E33" s="52">
        <v>4</v>
      </c>
      <c r="F33" s="66"/>
      <c r="G33" s="52" t="s">
        <v>102</v>
      </c>
      <c r="H33" s="64"/>
      <c r="I33" s="442"/>
      <c r="J33" s="445" t="s">
        <v>1020</v>
      </c>
      <c r="K33" s="447" t="s">
        <v>842</v>
      </c>
    </row>
    <row r="34" spans="1:11" ht="84">
      <c r="A34" s="47" t="s">
        <v>1139</v>
      </c>
      <c r="B34" s="101" t="s">
        <v>1140</v>
      </c>
      <c r="C34" s="383" t="s">
        <v>1141</v>
      </c>
      <c r="D34" s="376" t="s">
        <v>1142</v>
      </c>
      <c r="E34" s="52">
        <v>7</v>
      </c>
      <c r="F34" s="66"/>
      <c r="G34" s="52" t="s">
        <v>102</v>
      </c>
      <c r="H34" s="64"/>
      <c r="I34" s="442"/>
      <c r="J34" s="445" t="s">
        <v>1020</v>
      </c>
      <c r="K34" s="447" t="s">
        <v>842</v>
      </c>
    </row>
    <row r="35" spans="1:11" ht="60">
      <c r="A35" s="47" t="s">
        <v>1143</v>
      </c>
      <c r="B35" s="101" t="s">
        <v>1144</v>
      </c>
      <c r="C35" s="383" t="s">
        <v>1145</v>
      </c>
      <c r="D35" s="391" t="s">
        <v>1146</v>
      </c>
      <c r="E35" s="52">
        <v>5</v>
      </c>
      <c r="F35" s="66"/>
      <c r="G35" s="52" t="s">
        <v>102</v>
      </c>
      <c r="H35" s="64"/>
      <c r="I35" s="442"/>
      <c r="J35" s="445" t="s">
        <v>1020</v>
      </c>
      <c r="K35" s="447" t="s">
        <v>842</v>
      </c>
    </row>
    <row r="36" spans="1:11" ht="84">
      <c r="A36" s="47" t="s">
        <v>1147</v>
      </c>
      <c r="B36" s="101" t="s">
        <v>1148</v>
      </c>
      <c r="C36" s="383" t="s">
        <v>1149</v>
      </c>
      <c r="D36" s="376" t="s">
        <v>1150</v>
      </c>
      <c r="E36" s="52">
        <v>7</v>
      </c>
      <c r="F36" s="66"/>
      <c r="G36" s="52" t="s">
        <v>102</v>
      </c>
      <c r="H36" s="65"/>
      <c r="I36" s="442"/>
      <c r="J36" s="446" t="s">
        <v>1020</v>
      </c>
      <c r="K36" s="352" t="s">
        <v>842</v>
      </c>
    </row>
    <row r="37" spans="1:11" ht="12.75">
      <c r="A37" s="47"/>
      <c r="B37" s="47"/>
      <c r="C37" s="383"/>
      <c r="D37" s="373"/>
      <c r="E37" s="52"/>
      <c r="F37" s="66"/>
      <c r="G37" s="52"/>
      <c r="H37" s="65"/>
      <c r="I37" s="60"/>
      <c r="J37" s="360"/>
      <c r="K37" s="61"/>
    </row>
    <row r="38" spans="1:11" ht="12.75">
      <c r="A38" s="47"/>
      <c r="B38" s="47"/>
      <c r="C38" s="383"/>
      <c r="D38" s="373"/>
      <c r="E38" s="52"/>
      <c r="F38" s="66"/>
      <c r="G38" s="52"/>
      <c r="H38" s="65"/>
      <c r="I38" s="60"/>
      <c r="J38" s="61"/>
      <c r="K38" s="61"/>
    </row>
    <row r="39" spans="1:11" ht="12.75">
      <c r="A39" s="47"/>
      <c r="B39" s="47"/>
      <c r="C39" s="51"/>
      <c r="D39" s="53"/>
      <c r="E39" s="52"/>
      <c r="F39" s="66"/>
      <c r="G39" s="52"/>
      <c r="H39" s="65"/>
      <c r="I39" s="60"/>
      <c r="J39" s="61"/>
      <c r="K39" s="61"/>
    </row>
    <row r="40" spans="1:11" ht="12.75">
      <c r="A40" s="47"/>
    </row>
    <row r="41" spans="1:11" ht="12.75">
      <c r="A41" s="47"/>
    </row>
    <row r="42" spans="1:11" ht="12.75">
      <c r="A42" s="47"/>
    </row>
    <row r="43" spans="1:11" ht="12.75"/>
    <row r="44" spans="1:11" ht="12.75"/>
    <row r="45" spans="1:11" ht="12.75"/>
    <row r="46" spans="1:11" ht="12.75"/>
  </sheetData>
  <autoFilter ref="A1:K1" xr:uid="{DB0183D0-3854-4991-8222-E68BF8D8ACF3}"/>
  <phoneticPr fontId="2" type="noConversion"/>
  <conditionalFormatting sqref="B32 B28 H22:H27 A2:A9 G3:G35 B19:B21 C3:F11">
    <cfRule type="expression" dxfId="105" priority="65" stopIfTrue="1">
      <formula>($G2="Fail")</formula>
    </cfRule>
    <cfRule type="expression" dxfId="104" priority="66" stopIfTrue="1">
      <formula>($G2="Pass")</formula>
    </cfRule>
  </conditionalFormatting>
  <conditionalFormatting sqref="B2:B5 B8:B9 B13:B18">
    <cfRule type="expression" dxfId="103" priority="45" stopIfTrue="1">
      <formula>($G2="Fail")</formula>
    </cfRule>
    <cfRule type="expression" dxfId="102" priority="46" stopIfTrue="1">
      <formula>($G2="Pass")</formula>
    </cfRule>
  </conditionalFormatting>
  <conditionalFormatting sqref="F19">
    <cfRule type="expression" dxfId="101" priority="59" stopIfTrue="1">
      <formula>($G19="Fail")</formula>
    </cfRule>
  </conditionalFormatting>
  <conditionalFormatting sqref="C17:F17 C16 E12:F16">
    <cfRule type="expression" dxfId="100" priority="96" stopIfTrue="1">
      <formula>($G12="Pass")</formula>
    </cfRule>
  </conditionalFormatting>
  <conditionalFormatting sqref="C17:F17 C16 E12:F16">
    <cfRule type="expression" dxfId="99" priority="95" stopIfTrue="1">
      <formula>($G12="Fail")</formula>
    </cfRule>
  </conditionalFormatting>
  <conditionalFormatting sqref="C2:G2">
    <cfRule type="expression" dxfId="98" priority="33" stopIfTrue="1">
      <formula>($G2="Fail")</formula>
    </cfRule>
    <cfRule type="expression" dxfId="97" priority="34" stopIfTrue="1">
      <formula>($G2="Pass")</formula>
    </cfRule>
  </conditionalFormatting>
  <conditionalFormatting sqref="F19">
    <cfRule type="expression" dxfId="96" priority="90" stopIfTrue="1">
      <formula>($G19="Pass")</formula>
    </cfRule>
  </conditionalFormatting>
  <conditionalFormatting sqref="D12">
    <cfRule type="expression" dxfId="95" priority="25" stopIfTrue="1">
      <formula>($G12="Fail")</formula>
    </cfRule>
    <cfRule type="expression" dxfId="94" priority="26" stopIfTrue="1">
      <formula>($G12="Pass")</formula>
    </cfRule>
  </conditionalFormatting>
  <conditionalFormatting sqref="D37:D38">
    <cfRule type="expression" dxfId="93" priority="23" stopIfTrue="1">
      <formula>($G37="Fail")</formula>
    </cfRule>
    <cfRule type="expression" dxfId="92" priority="24" stopIfTrue="1">
      <formula>($G37="Pass")</formula>
    </cfRule>
  </conditionalFormatting>
  <conditionalFormatting sqref="C13:D14">
    <cfRule type="expression" dxfId="91" priority="21" stopIfTrue="1">
      <formula>($G13="Fail")</formula>
    </cfRule>
    <cfRule type="expression" dxfId="90" priority="22" stopIfTrue="1">
      <formula>($G13="Pass")</formula>
    </cfRule>
  </conditionalFormatting>
  <conditionalFormatting sqref="B29">
    <cfRule type="expression" dxfId="89" priority="282" stopIfTrue="1">
      <formula>($G31="Fail")</formula>
    </cfRule>
    <cfRule type="expression" dxfId="88" priority="283" stopIfTrue="1">
      <formula>($G31="Pass")</formula>
    </cfRule>
  </conditionalFormatting>
  <conditionalFormatting sqref="H27">
    <cfRule type="expression" dxfId="87" priority="19" stopIfTrue="1">
      <formula>($G29="Fail")</formula>
    </cfRule>
    <cfRule type="expression" dxfId="86" priority="20" stopIfTrue="1">
      <formula>($G29="Pass")</formula>
    </cfRule>
  </conditionalFormatting>
  <conditionalFormatting sqref="D28">
    <cfRule type="expression" dxfId="85" priority="17" stopIfTrue="1">
      <formula>($G28="Fail")</formula>
    </cfRule>
    <cfRule type="expression" dxfId="84" priority="18" stopIfTrue="1">
      <formula>($G28="Pass")</formula>
    </cfRule>
  </conditionalFormatting>
  <conditionalFormatting sqref="B30">
    <cfRule type="expression" dxfId="83" priority="13" stopIfTrue="1">
      <formula>($G30="Fail")</formula>
    </cfRule>
    <cfRule type="expression" dxfId="82" priority="14" stopIfTrue="1">
      <formula>($G30="Pass")</formula>
    </cfRule>
  </conditionalFormatting>
  <conditionalFormatting sqref="D30">
    <cfRule type="expression" dxfId="81" priority="15" stopIfTrue="1">
      <formula>($G30="Fail")</formula>
    </cfRule>
    <cfRule type="expression" dxfId="80" priority="16" stopIfTrue="1">
      <formula>($G30="Pass")</formula>
    </cfRule>
  </conditionalFormatting>
  <conditionalFormatting sqref="B33 D33">
    <cfRule type="expression" dxfId="79" priority="286" stopIfTrue="1">
      <formula>($G34="Fail")</formula>
    </cfRule>
    <cfRule type="expression" dxfId="78" priority="287" stopIfTrue="1">
      <formula>($G34="Pass")</formula>
    </cfRule>
  </conditionalFormatting>
  <conditionalFormatting sqref="D34:D35">
    <cfRule type="expression" dxfId="77" priority="11" stopIfTrue="1">
      <formula>($G34="Fail")</formula>
    </cfRule>
    <cfRule type="expression" dxfId="76" priority="12" stopIfTrue="1">
      <formula>($G34="Pass")</formula>
    </cfRule>
  </conditionalFormatting>
  <conditionalFormatting sqref="D15">
    <cfRule type="expression" dxfId="75" priority="7" stopIfTrue="1">
      <formula>($G15="Fail")</formula>
    </cfRule>
    <cfRule type="expression" dxfId="74" priority="8" stopIfTrue="1">
      <formula>($G15="Pass")</formula>
    </cfRule>
  </conditionalFormatting>
  <conditionalFormatting sqref="D16">
    <cfRule type="expression" dxfId="73" priority="5" stopIfTrue="1">
      <formula>($G16="Fail")</formula>
    </cfRule>
    <cfRule type="expression" dxfId="72" priority="6" stopIfTrue="1">
      <formula>($G16="Pass")</formula>
    </cfRule>
  </conditionalFormatting>
  <conditionalFormatting sqref="A11:A21">
    <cfRule type="expression" dxfId="71" priority="290" stopIfTrue="1">
      <formula>($G10="Fail")</formula>
    </cfRule>
    <cfRule type="expression" dxfId="70" priority="291" stopIfTrue="1">
      <formula>($G10="Pass")</formula>
    </cfRule>
  </conditionalFormatting>
  <conditionalFormatting sqref="A10 A22">
    <cfRule type="expression" dxfId="69" priority="302" stopIfTrue="1">
      <formula>(#REF!="Fail")</formula>
    </cfRule>
    <cfRule type="expression" dxfId="68" priority="303" stopIfTrue="1">
      <formula>(#REF!="Pass")</formula>
    </cfRule>
  </conditionalFormatting>
  <conditionalFormatting sqref="A23:A26">
    <cfRule type="expression" dxfId="67" priority="306" stopIfTrue="1">
      <formula>($G21="Fail")</formula>
    </cfRule>
    <cfRule type="expression" dxfId="66" priority="307" stopIfTrue="1">
      <formula>($G21="Pass")</formula>
    </cfRule>
  </conditionalFormatting>
  <conditionalFormatting sqref="D36">
    <cfRule type="expression" dxfId="65" priority="3" stopIfTrue="1">
      <formula>($G36="Fail")</formula>
    </cfRule>
    <cfRule type="expression" dxfId="64" priority="4" stopIfTrue="1">
      <formula>($G36="Pass")</formula>
    </cfRule>
  </conditionalFormatting>
  <conditionalFormatting sqref="C15">
    <cfRule type="expression" dxfId="63" priority="1" stopIfTrue="1">
      <formula>($G15="Fail")</formula>
    </cfRule>
    <cfRule type="expression" dxfId="62" priority="2" stopIfTrue="1">
      <formula>($G15="Pass")</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C9"/>
  <sheetViews>
    <sheetView workbookViewId="0">
      <selection activeCell="G40" sqref="G40"/>
    </sheetView>
  </sheetViews>
  <sheetFormatPr defaultRowHeight="13.15"/>
  <cols>
    <col min="1" max="1" width="26.7109375" customWidth="1"/>
  </cols>
  <sheetData>
    <row r="1" spans="1:3">
      <c r="A1" s="11" t="s">
        <v>96</v>
      </c>
      <c r="C1" t="s">
        <v>1151</v>
      </c>
    </row>
    <row r="2" spans="1:3">
      <c r="A2" s="11" t="s">
        <v>97</v>
      </c>
      <c r="C2" t="s">
        <v>1152</v>
      </c>
    </row>
    <row r="3" spans="1:3">
      <c r="A3" s="11" t="s">
        <v>98</v>
      </c>
      <c r="C3" t="s">
        <v>1153</v>
      </c>
    </row>
    <row r="4" spans="1:3">
      <c r="A4" s="54" t="s">
        <v>99</v>
      </c>
      <c r="C4" t="s">
        <v>1154</v>
      </c>
    </row>
    <row r="5" spans="1:3">
      <c r="A5" s="11" t="s">
        <v>100</v>
      </c>
      <c r="C5" t="s">
        <v>1155</v>
      </c>
    </row>
    <row r="6" spans="1:3">
      <c r="A6" s="11" t="s">
        <v>101</v>
      </c>
      <c r="C6" t="s">
        <v>1156</v>
      </c>
    </row>
    <row r="7" spans="1:3">
      <c r="A7" s="54" t="s">
        <v>1157</v>
      </c>
    </row>
    <row r="8" spans="1:3">
      <c r="A8" s="54" t="s">
        <v>1158</v>
      </c>
    </row>
    <row r="9" spans="1:3" ht="13.9" thickBot="1">
      <c r="A9" s="12" t="s">
        <v>102</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L1048576"/>
  <sheetViews>
    <sheetView zoomScale="80" zoomScaleNormal="80" workbookViewId="0">
      <pane ySplit="1" topLeftCell="B2" activePane="bottomLeft" state="frozen"/>
      <selection pane="bottomLeft" activeCell="B2" sqref="B2"/>
    </sheetView>
  </sheetViews>
  <sheetFormatPr defaultRowHeight="12.75" customHeight="1"/>
  <cols>
    <col min="2" max="2" width="12.140625" customWidth="1"/>
    <col min="3" max="3" width="31" style="2" customWidth="1"/>
    <col min="4" max="4" width="34.140625" style="2" customWidth="1"/>
    <col min="5" max="5" width="21.85546875" bestFit="1" customWidth="1"/>
    <col min="6" max="6" width="8.85546875" customWidth="1"/>
    <col min="7" max="7" width="10.85546875" style="136" bestFit="1" customWidth="1"/>
    <col min="8" max="8" width="11.140625" style="136" customWidth="1"/>
    <col min="9" max="9" width="13.140625" customWidth="1"/>
    <col min="10" max="10" width="11.7109375" style="2" customWidth="1"/>
    <col min="11" max="11" width="34.42578125" style="2" customWidth="1"/>
    <col min="12" max="12" width="27.140625" customWidth="1"/>
  </cols>
  <sheetData>
    <row r="1" spans="1:12" s="37" customFormat="1" ht="36">
      <c r="A1" s="36" t="s">
        <v>1159</v>
      </c>
      <c r="B1" s="36" t="s">
        <v>106</v>
      </c>
      <c r="C1" s="36" t="s">
        <v>1160</v>
      </c>
      <c r="D1" s="36" t="s">
        <v>1161</v>
      </c>
      <c r="E1" s="35" t="s">
        <v>1162</v>
      </c>
      <c r="F1" s="36" t="s">
        <v>1163</v>
      </c>
      <c r="G1" s="134" t="s">
        <v>1164</v>
      </c>
      <c r="H1" s="134" t="s">
        <v>1165</v>
      </c>
      <c r="I1" s="36" t="s">
        <v>1166</v>
      </c>
      <c r="J1" s="36" t="s">
        <v>112</v>
      </c>
      <c r="K1" s="36" t="s">
        <v>1167</v>
      </c>
      <c r="L1" s="36" t="s">
        <v>113</v>
      </c>
    </row>
    <row r="2" spans="1:12">
      <c r="A2" s="58">
        <v>1</v>
      </c>
      <c r="B2" s="58"/>
      <c r="C2" s="60"/>
      <c r="D2" s="60"/>
      <c r="E2" s="61"/>
      <c r="F2" s="61"/>
      <c r="G2" s="135"/>
      <c r="H2" s="135"/>
      <c r="I2" s="62"/>
      <c r="J2" s="60"/>
      <c r="K2" s="60"/>
      <c r="L2" s="61"/>
    </row>
    <row r="3" spans="1:12">
      <c r="A3" s="59">
        <v>2</v>
      </c>
      <c r="B3" s="47"/>
      <c r="C3" s="47"/>
      <c r="D3" s="60"/>
      <c r="E3" s="61"/>
      <c r="F3" s="61"/>
      <c r="G3" s="135"/>
      <c r="H3" s="135"/>
      <c r="I3" s="62"/>
      <c r="J3" s="63"/>
      <c r="K3" s="155"/>
      <c r="L3" s="61"/>
    </row>
    <row r="4" spans="1:12">
      <c r="A4" s="58">
        <v>3</v>
      </c>
      <c r="B4" s="47"/>
      <c r="C4" s="47"/>
      <c r="D4" s="60"/>
      <c r="E4" s="61"/>
      <c r="F4" s="61"/>
      <c r="G4" s="135"/>
      <c r="H4" s="135"/>
      <c r="I4" s="62"/>
      <c r="J4" s="63"/>
      <c r="K4" s="155"/>
      <c r="L4" s="60"/>
    </row>
    <row r="5" spans="1:12">
      <c r="A5" s="59">
        <v>4</v>
      </c>
      <c r="B5" s="190"/>
      <c r="C5" s="47"/>
      <c r="D5" s="80"/>
      <c r="E5" s="61"/>
      <c r="F5" s="61"/>
      <c r="G5" s="156"/>
      <c r="H5" s="157"/>
      <c r="I5" s="62"/>
      <c r="J5" s="63"/>
      <c r="K5" s="155"/>
      <c r="L5" s="63"/>
    </row>
    <row r="6" spans="1:12">
      <c r="A6" s="58">
        <v>5</v>
      </c>
      <c r="B6" s="47"/>
      <c r="C6" s="158"/>
      <c r="D6" s="159"/>
      <c r="E6" s="61"/>
      <c r="F6" s="61"/>
      <c r="G6" s="156"/>
      <c r="H6" s="157"/>
      <c r="I6" s="62"/>
      <c r="J6" s="63"/>
      <c r="K6" s="60"/>
      <c r="L6" s="63"/>
    </row>
    <row r="7" spans="1:12">
      <c r="A7" s="59">
        <v>6</v>
      </c>
      <c r="B7" s="47"/>
      <c r="C7" s="76"/>
      <c r="D7" s="80"/>
      <c r="E7" s="61"/>
      <c r="F7" s="61"/>
      <c r="G7" s="156"/>
      <c r="H7" s="157"/>
      <c r="I7" s="62"/>
      <c r="J7" s="63"/>
      <c r="K7" s="60"/>
      <c r="L7" s="63"/>
    </row>
    <row r="8" spans="1:12">
      <c r="A8" s="58">
        <v>7</v>
      </c>
      <c r="B8" s="47"/>
      <c r="C8" s="76"/>
      <c r="D8" s="76"/>
      <c r="E8" s="61"/>
      <c r="F8" s="61"/>
      <c r="G8" s="156"/>
      <c r="H8" s="157"/>
      <c r="I8" s="62"/>
      <c r="J8" s="63"/>
      <c r="K8" s="60"/>
      <c r="L8" s="63"/>
    </row>
    <row r="9" spans="1:12">
      <c r="A9" s="59">
        <v>8</v>
      </c>
      <c r="B9" s="47"/>
      <c r="C9" s="80"/>
      <c r="D9" s="80"/>
      <c r="E9" s="61"/>
      <c r="F9" s="61"/>
      <c r="G9" s="156"/>
      <c r="H9" s="157"/>
      <c r="I9" s="62"/>
      <c r="J9" s="63"/>
      <c r="K9" s="63"/>
      <c r="L9" s="63"/>
    </row>
    <row r="10" spans="1:12">
      <c r="A10" s="58">
        <v>9</v>
      </c>
      <c r="B10" s="47"/>
      <c r="C10" s="80"/>
      <c r="D10" s="80"/>
      <c r="E10" s="61"/>
      <c r="F10" s="61"/>
      <c r="G10" s="156"/>
      <c r="H10" s="157"/>
      <c r="I10" s="62"/>
      <c r="J10" s="63"/>
      <c r="K10" s="60"/>
      <c r="L10" s="63"/>
    </row>
    <row r="11" spans="1:12">
      <c r="A11" s="59">
        <v>10</v>
      </c>
      <c r="B11" s="47"/>
      <c r="C11" s="80"/>
      <c r="D11" s="80"/>
      <c r="E11" s="61"/>
      <c r="F11" s="61"/>
      <c r="G11" s="135"/>
      <c r="H11" s="157"/>
      <c r="I11" s="62"/>
      <c r="J11" s="63"/>
      <c r="K11" s="60"/>
      <c r="L11" s="63"/>
    </row>
    <row r="12" spans="1:12">
      <c r="A12" s="58">
        <v>11</v>
      </c>
      <c r="B12" s="47"/>
      <c r="C12" s="80"/>
      <c r="D12" s="80"/>
      <c r="E12" s="61"/>
      <c r="F12" s="61"/>
      <c r="G12" s="135"/>
      <c r="H12" s="157"/>
      <c r="I12" s="62"/>
      <c r="J12" s="63"/>
      <c r="K12" s="60"/>
      <c r="L12" s="63"/>
    </row>
    <row r="13" spans="1:12">
      <c r="A13" s="59">
        <v>12</v>
      </c>
      <c r="B13" s="47"/>
      <c r="C13" s="92"/>
      <c r="D13" s="92"/>
      <c r="E13" s="61"/>
      <c r="F13" s="61"/>
      <c r="G13" s="135"/>
      <c r="H13" s="157"/>
      <c r="I13" s="62"/>
      <c r="J13" s="63"/>
      <c r="K13" s="60"/>
      <c r="L13" s="63"/>
    </row>
    <row r="14" spans="1:12">
      <c r="A14" s="58">
        <v>13</v>
      </c>
      <c r="B14" s="58"/>
      <c r="C14" s="60"/>
      <c r="D14" s="160"/>
      <c r="E14" s="61"/>
      <c r="F14" s="61"/>
      <c r="G14" s="135"/>
      <c r="H14" s="157"/>
      <c r="I14" s="62"/>
      <c r="J14" s="63"/>
      <c r="K14" s="60"/>
      <c r="L14" s="63"/>
    </row>
    <row r="15" spans="1:12">
      <c r="A15" s="59">
        <v>14</v>
      </c>
      <c r="B15" s="59"/>
      <c r="C15" s="60"/>
      <c r="D15" s="160"/>
      <c r="E15" s="61"/>
      <c r="F15" s="61"/>
      <c r="G15" s="135"/>
      <c r="H15" s="157"/>
      <c r="I15" s="62"/>
      <c r="J15" s="63"/>
      <c r="K15" s="60"/>
      <c r="L15" s="63"/>
    </row>
    <row r="16" spans="1:12">
      <c r="A16" s="58">
        <v>15</v>
      </c>
      <c r="B16" s="58"/>
      <c r="C16" s="60"/>
      <c r="D16" s="160"/>
      <c r="E16" s="61"/>
      <c r="F16" s="61"/>
      <c r="G16" s="135"/>
      <c r="H16" s="157"/>
      <c r="I16" s="62"/>
      <c r="J16" s="63"/>
      <c r="K16" s="63"/>
      <c r="L16" s="63"/>
    </row>
    <row r="17" spans="1:12">
      <c r="A17" s="59">
        <v>16</v>
      </c>
      <c r="B17" s="59"/>
      <c r="C17" s="60"/>
      <c r="D17" s="160"/>
      <c r="E17" s="61"/>
      <c r="F17" s="61"/>
      <c r="G17" s="135"/>
      <c r="H17" s="157"/>
      <c r="I17" s="62"/>
      <c r="J17" s="63"/>
      <c r="K17" s="63"/>
      <c r="L17" s="63"/>
    </row>
    <row r="18" spans="1:12">
      <c r="A18" s="58">
        <v>17</v>
      </c>
      <c r="B18" s="58"/>
      <c r="C18" s="60"/>
      <c r="D18" s="60"/>
      <c r="E18" s="62"/>
      <c r="F18" s="61"/>
      <c r="G18" s="135"/>
      <c r="H18" s="157"/>
      <c r="I18" s="62"/>
      <c r="J18" s="63"/>
      <c r="K18" s="63"/>
      <c r="L18" s="63"/>
    </row>
    <row r="19" spans="1:12">
      <c r="A19" s="59">
        <v>18</v>
      </c>
      <c r="B19" s="59"/>
      <c r="C19" s="63"/>
      <c r="D19" s="63"/>
      <c r="E19" s="62"/>
      <c r="F19" s="61"/>
      <c r="G19" s="135"/>
      <c r="H19" s="157"/>
      <c r="I19" s="62"/>
      <c r="J19" s="63"/>
      <c r="K19" s="63"/>
      <c r="L19" s="63"/>
    </row>
    <row r="20" spans="1:12">
      <c r="A20" s="58">
        <v>19</v>
      </c>
      <c r="B20" s="161"/>
      <c r="C20" s="63"/>
      <c r="D20" s="63"/>
      <c r="E20" s="62"/>
      <c r="F20" s="61"/>
      <c r="G20" s="135"/>
      <c r="H20" s="157"/>
      <c r="I20" s="62"/>
      <c r="J20" s="63"/>
      <c r="K20" s="63"/>
      <c r="L20" s="63"/>
    </row>
    <row r="21" spans="1:12">
      <c r="A21" s="59">
        <v>20</v>
      </c>
      <c r="B21" s="58"/>
      <c r="C21" s="63"/>
      <c r="D21" s="63"/>
      <c r="E21" s="61"/>
      <c r="F21" s="61"/>
      <c r="G21" s="156"/>
      <c r="H21" s="157"/>
      <c r="I21" s="62"/>
      <c r="J21" s="63"/>
      <c r="K21" s="63"/>
      <c r="L21" s="63"/>
    </row>
    <row r="22" spans="1:12">
      <c r="A22" s="58">
        <v>21</v>
      </c>
      <c r="B22" s="58"/>
      <c r="C22" s="60"/>
      <c r="D22" s="60"/>
      <c r="E22" s="62"/>
      <c r="F22" s="61"/>
      <c r="G22" s="135"/>
      <c r="H22" s="157"/>
      <c r="I22" s="62"/>
      <c r="J22" s="63"/>
      <c r="K22" s="60"/>
      <c r="L22" s="63"/>
    </row>
    <row r="23" spans="1:12">
      <c r="A23" s="59">
        <v>22</v>
      </c>
      <c r="B23" s="59"/>
      <c r="C23" s="63"/>
      <c r="D23" s="60"/>
      <c r="E23" s="61"/>
      <c r="F23" s="61"/>
      <c r="G23" s="135"/>
      <c r="H23" s="135"/>
      <c r="I23" s="62"/>
      <c r="J23" s="63"/>
      <c r="K23" s="63"/>
      <c r="L23" s="63"/>
    </row>
    <row r="24" spans="1:12">
      <c r="A24" s="58">
        <v>23</v>
      </c>
      <c r="B24" s="58"/>
      <c r="C24" s="63"/>
      <c r="D24" s="146"/>
      <c r="E24" s="62"/>
      <c r="F24" s="62"/>
      <c r="G24" s="135"/>
      <c r="H24" s="135"/>
      <c r="I24" s="62"/>
      <c r="J24" s="63"/>
      <c r="K24" s="63"/>
      <c r="L24" s="162"/>
    </row>
    <row r="25" spans="1:12">
      <c r="A25" s="59">
        <v>24</v>
      </c>
      <c r="B25" s="59"/>
      <c r="C25" s="146"/>
      <c r="D25" s="63"/>
      <c r="E25" s="62"/>
      <c r="F25" s="62"/>
      <c r="G25" s="135"/>
      <c r="H25" s="157"/>
      <c r="I25" s="62"/>
      <c r="J25" s="63"/>
      <c r="K25" s="60"/>
      <c r="L25" s="62"/>
    </row>
    <row r="26" spans="1:12">
      <c r="A26" s="58">
        <v>25</v>
      </c>
      <c r="B26" s="58"/>
      <c r="C26" s="63"/>
      <c r="D26" s="63"/>
      <c r="E26" s="62"/>
      <c r="F26" s="62"/>
      <c r="G26" s="135"/>
      <c r="H26" s="135"/>
      <c r="I26" s="62"/>
      <c r="J26" s="63"/>
      <c r="K26" s="63"/>
      <c r="L26" s="62"/>
    </row>
    <row r="27" spans="1:12">
      <c r="A27" s="59">
        <v>26</v>
      </c>
      <c r="B27" s="59"/>
      <c r="C27" s="60"/>
      <c r="D27" s="60"/>
      <c r="E27" s="62"/>
      <c r="F27" s="62"/>
      <c r="G27" s="135"/>
      <c r="H27" s="135"/>
      <c r="I27" s="62"/>
      <c r="J27" s="63"/>
      <c r="K27" s="60"/>
      <c r="L27" s="62"/>
    </row>
    <row r="28" spans="1:12">
      <c r="A28" s="58">
        <v>27</v>
      </c>
      <c r="B28" s="58"/>
      <c r="C28" s="60"/>
      <c r="D28" s="60"/>
      <c r="E28" s="62"/>
      <c r="F28" s="61"/>
      <c r="G28" s="135"/>
      <c r="H28" s="135"/>
      <c r="I28" s="62"/>
      <c r="J28" s="60"/>
      <c r="K28" s="60"/>
      <c r="L28" s="62"/>
    </row>
    <row r="29" spans="1:12">
      <c r="A29" s="59">
        <v>28</v>
      </c>
      <c r="B29" s="59"/>
      <c r="C29" s="60"/>
      <c r="D29" s="60"/>
      <c r="E29" s="62"/>
      <c r="F29" s="61"/>
      <c r="G29" s="135"/>
      <c r="H29" s="135"/>
      <c r="I29" s="62"/>
      <c r="J29" s="60"/>
      <c r="K29" s="60"/>
      <c r="L29" s="62"/>
    </row>
    <row r="30" spans="1:12">
      <c r="A30" s="58">
        <v>29</v>
      </c>
      <c r="B30" s="58"/>
      <c r="C30" s="60"/>
      <c r="D30" s="60"/>
      <c r="E30" s="62"/>
      <c r="F30" s="61"/>
      <c r="G30" s="135"/>
      <c r="H30" s="135"/>
      <c r="I30" s="62"/>
      <c r="J30" s="63"/>
      <c r="K30" s="63"/>
      <c r="L30" s="62"/>
    </row>
    <row r="31" spans="1:12">
      <c r="A31" s="59">
        <v>30</v>
      </c>
      <c r="B31" s="59"/>
      <c r="C31" s="60"/>
      <c r="D31" s="60"/>
      <c r="E31" s="61"/>
      <c r="F31" s="61"/>
      <c r="G31" s="135"/>
      <c r="H31" s="135"/>
      <c r="I31" s="62"/>
      <c r="J31" s="60"/>
      <c r="K31" s="63"/>
      <c r="L31" s="163"/>
    </row>
    <row r="32" spans="1:12">
      <c r="A32" s="58">
        <v>31</v>
      </c>
      <c r="B32" s="58"/>
      <c r="C32" s="60"/>
      <c r="D32" s="60"/>
      <c r="E32" s="61"/>
      <c r="F32" s="61"/>
      <c r="G32" s="135"/>
      <c r="H32" s="135"/>
      <c r="I32" s="62"/>
      <c r="J32" s="60"/>
      <c r="K32" s="63"/>
      <c r="L32" s="62"/>
    </row>
    <row r="33" spans="1:12">
      <c r="A33" s="59">
        <v>32</v>
      </c>
      <c r="B33" s="59"/>
      <c r="C33" s="60"/>
      <c r="D33" s="60"/>
      <c r="E33" s="61"/>
      <c r="F33" s="61"/>
      <c r="G33" s="135"/>
      <c r="H33" s="135"/>
      <c r="I33" s="62"/>
      <c r="J33" s="63"/>
      <c r="K33" s="63"/>
      <c r="L33" s="62"/>
    </row>
    <row r="34" spans="1:12">
      <c r="A34" s="58">
        <v>33</v>
      </c>
      <c r="B34" s="58"/>
      <c r="C34" s="63"/>
      <c r="D34" s="63"/>
      <c r="E34" s="62"/>
      <c r="F34" s="62"/>
      <c r="G34" s="135"/>
      <c r="H34" s="135"/>
      <c r="I34" s="62"/>
      <c r="J34" s="63"/>
      <c r="K34" s="63"/>
      <c r="L34" s="163"/>
    </row>
    <row r="35" spans="1:12">
      <c r="A35" s="59">
        <v>34</v>
      </c>
      <c r="B35" s="59"/>
      <c r="C35" s="63"/>
      <c r="D35" s="63"/>
      <c r="E35" s="62"/>
      <c r="F35" s="62"/>
      <c r="G35" s="135"/>
      <c r="H35" s="135"/>
      <c r="I35" s="62"/>
      <c r="J35" s="63"/>
      <c r="K35" s="63"/>
      <c r="L35" s="62"/>
    </row>
    <row r="36" spans="1:12">
      <c r="A36" s="58">
        <v>35</v>
      </c>
      <c r="B36" s="58"/>
      <c r="C36" s="63"/>
      <c r="D36" s="63"/>
      <c r="E36" s="62"/>
      <c r="F36" s="62"/>
      <c r="G36" s="135"/>
      <c r="H36" s="135"/>
      <c r="I36" s="62"/>
      <c r="J36" s="63"/>
      <c r="K36" s="60"/>
      <c r="L36" s="60"/>
    </row>
    <row r="37" spans="1:12">
      <c r="A37" s="59">
        <v>36</v>
      </c>
      <c r="B37" s="59"/>
      <c r="C37" s="63"/>
      <c r="D37" s="63"/>
      <c r="E37" s="62"/>
      <c r="F37" s="62"/>
      <c r="G37" s="135"/>
      <c r="H37" s="135"/>
      <c r="I37" s="62"/>
      <c r="J37" s="60"/>
      <c r="K37" s="63"/>
      <c r="L37" s="163"/>
    </row>
    <row r="38" spans="1:12">
      <c r="A38" s="58">
        <v>37</v>
      </c>
      <c r="B38" s="58"/>
      <c r="C38" s="60"/>
      <c r="D38" s="63"/>
      <c r="E38" s="61"/>
      <c r="F38" s="62"/>
      <c r="G38" s="135"/>
      <c r="H38" s="135"/>
      <c r="I38" s="62"/>
      <c r="J38" s="60"/>
      <c r="K38" s="63"/>
      <c r="L38" s="62"/>
    </row>
    <row r="39" spans="1:12">
      <c r="A39" s="59">
        <v>38</v>
      </c>
      <c r="B39" s="59"/>
      <c r="C39" s="63"/>
      <c r="D39" s="63"/>
      <c r="E39" s="62"/>
      <c r="F39" s="62"/>
      <c r="G39" s="135"/>
      <c r="H39" s="135"/>
      <c r="I39" s="62"/>
      <c r="J39" s="60"/>
      <c r="K39" s="63"/>
      <c r="L39" s="163"/>
    </row>
    <row r="40" spans="1:12">
      <c r="A40" s="58">
        <v>39</v>
      </c>
      <c r="B40" s="58"/>
      <c r="C40" s="63"/>
      <c r="D40" s="64"/>
      <c r="E40" s="62"/>
      <c r="F40" s="62"/>
      <c r="G40" s="135"/>
      <c r="H40" s="135"/>
      <c r="I40" s="62"/>
      <c r="J40" s="60"/>
      <c r="K40" s="63"/>
      <c r="L40" s="61"/>
    </row>
    <row r="41" spans="1:12">
      <c r="A41" s="59">
        <v>40</v>
      </c>
      <c r="B41" s="59"/>
      <c r="C41" s="63"/>
      <c r="E41" s="62"/>
      <c r="F41" s="62"/>
      <c r="G41" s="135"/>
      <c r="H41" s="135"/>
      <c r="I41" s="62"/>
      <c r="J41" s="60"/>
      <c r="K41" s="63"/>
      <c r="L41" s="61"/>
    </row>
    <row r="42" spans="1:12">
      <c r="A42" s="58">
        <v>41</v>
      </c>
      <c r="B42" s="58"/>
      <c r="C42" s="63"/>
      <c r="D42" s="63"/>
      <c r="E42" s="62"/>
      <c r="F42" s="62"/>
      <c r="G42" s="135"/>
      <c r="H42" s="135"/>
      <c r="I42" s="62"/>
      <c r="J42" s="60"/>
      <c r="K42" s="63"/>
      <c r="L42" s="62"/>
    </row>
    <row r="43" spans="1:12">
      <c r="A43" s="59">
        <v>42</v>
      </c>
      <c r="B43" s="59"/>
      <c r="C43" s="60"/>
      <c r="D43" s="60"/>
      <c r="E43" s="61"/>
      <c r="F43" s="62"/>
      <c r="G43" s="135"/>
      <c r="H43" s="135"/>
      <c r="I43" s="62"/>
      <c r="J43" s="60"/>
      <c r="K43" s="63"/>
      <c r="L43" s="130"/>
    </row>
    <row r="44" spans="1:12">
      <c r="A44" s="58">
        <v>43</v>
      </c>
      <c r="B44" s="58"/>
      <c r="C44" s="63"/>
      <c r="D44" s="63"/>
      <c r="E44" s="62"/>
      <c r="F44" s="62"/>
      <c r="G44" s="135"/>
      <c r="H44" s="135"/>
      <c r="I44" s="62"/>
      <c r="J44" s="63"/>
      <c r="K44" s="63"/>
      <c r="L44" s="62"/>
    </row>
    <row r="45" spans="1:12">
      <c r="A45" s="59">
        <v>44</v>
      </c>
      <c r="B45" s="59"/>
      <c r="C45" s="63"/>
      <c r="D45" s="63"/>
      <c r="E45" s="62"/>
      <c r="F45" s="62"/>
      <c r="G45" s="135"/>
      <c r="H45" s="135"/>
      <c r="I45" s="62"/>
      <c r="J45" s="63"/>
      <c r="K45" s="63"/>
      <c r="L45" s="163"/>
    </row>
    <row r="46" spans="1:12">
      <c r="A46" s="58">
        <v>45</v>
      </c>
      <c r="B46" s="58"/>
      <c r="C46" s="63"/>
      <c r="D46" s="63"/>
      <c r="E46" s="62"/>
      <c r="F46" s="62"/>
      <c r="G46" s="135"/>
      <c r="H46" s="135"/>
      <c r="I46" s="62"/>
      <c r="J46" s="63"/>
      <c r="K46" s="63"/>
      <c r="L46" s="163"/>
    </row>
    <row r="47" spans="1:12">
      <c r="A47" s="59">
        <v>46</v>
      </c>
      <c r="B47" s="59"/>
      <c r="C47" s="63"/>
      <c r="D47" s="63"/>
      <c r="E47" s="62"/>
      <c r="F47" s="62"/>
      <c r="G47" s="135"/>
      <c r="H47" s="135"/>
      <c r="I47" s="62"/>
      <c r="J47" s="63"/>
      <c r="K47" s="63"/>
      <c r="L47" s="62"/>
    </row>
    <row r="48" spans="1:12">
      <c r="A48" s="58">
        <v>47</v>
      </c>
      <c r="B48" s="58"/>
      <c r="C48" s="63"/>
      <c r="D48" s="63"/>
      <c r="E48" s="62"/>
      <c r="F48" s="62"/>
      <c r="G48" s="135"/>
      <c r="H48" s="135"/>
      <c r="I48" s="62"/>
      <c r="J48" s="63"/>
      <c r="K48" s="63"/>
      <c r="L48" s="164"/>
    </row>
    <row r="49" spans="1:12">
      <c r="A49" s="59">
        <v>48</v>
      </c>
      <c r="B49" s="59"/>
      <c r="C49" s="63"/>
      <c r="D49" s="63"/>
      <c r="E49" s="62"/>
      <c r="F49" s="62"/>
      <c r="G49" s="135"/>
      <c r="H49" s="135"/>
      <c r="I49" s="62"/>
      <c r="J49" s="63"/>
      <c r="K49" s="63"/>
      <c r="L49" s="62"/>
    </row>
    <row r="50" spans="1:12">
      <c r="A50" s="58">
        <v>49</v>
      </c>
      <c r="B50" s="58"/>
      <c r="C50" s="63"/>
      <c r="D50" s="63"/>
      <c r="E50" s="62"/>
      <c r="F50" s="62"/>
      <c r="G50" s="135"/>
      <c r="H50" s="135"/>
      <c r="I50" s="62"/>
      <c r="J50" s="63"/>
      <c r="K50" s="63"/>
      <c r="L50" s="62"/>
    </row>
    <row r="51" spans="1:12">
      <c r="A51" s="59">
        <v>50</v>
      </c>
      <c r="B51" s="59"/>
      <c r="C51" s="63"/>
      <c r="D51" s="63"/>
      <c r="E51" s="62"/>
      <c r="F51" s="62"/>
      <c r="G51" s="135"/>
      <c r="H51" s="135"/>
      <c r="I51" s="62"/>
      <c r="J51" s="63"/>
      <c r="K51" s="63"/>
      <c r="L51" s="62"/>
    </row>
    <row r="52" spans="1:12">
      <c r="A52" s="58">
        <v>51</v>
      </c>
      <c r="B52" s="58"/>
      <c r="C52" s="63"/>
      <c r="D52" s="63"/>
      <c r="E52" s="62"/>
      <c r="F52" s="62"/>
      <c r="G52" s="135"/>
      <c r="H52" s="135"/>
      <c r="I52" s="62"/>
      <c r="J52" s="63"/>
      <c r="K52" s="63"/>
      <c r="L52" s="62"/>
    </row>
    <row r="53" spans="1:12">
      <c r="A53" s="59">
        <v>52</v>
      </c>
      <c r="B53" s="59"/>
      <c r="C53" s="63"/>
      <c r="D53" s="63"/>
      <c r="E53" s="62"/>
      <c r="F53" s="62"/>
      <c r="G53" s="135"/>
      <c r="H53" s="135"/>
      <c r="I53" s="62"/>
      <c r="J53" s="63"/>
      <c r="K53" s="63"/>
      <c r="L53" s="62"/>
    </row>
    <row r="54" spans="1:12">
      <c r="A54" s="58">
        <v>53</v>
      </c>
      <c r="B54" s="58"/>
      <c r="C54" s="63"/>
      <c r="D54" s="63"/>
      <c r="E54" s="62"/>
      <c r="F54" s="62"/>
      <c r="G54" s="135"/>
      <c r="H54" s="135"/>
      <c r="I54" s="62"/>
      <c r="J54" s="63"/>
      <c r="K54" s="63"/>
      <c r="L54" s="62"/>
    </row>
    <row r="55" spans="1:12">
      <c r="A55" s="59">
        <v>54</v>
      </c>
      <c r="B55" s="59"/>
      <c r="C55" s="63"/>
      <c r="D55" s="63"/>
      <c r="E55" s="62"/>
      <c r="F55" s="62"/>
      <c r="G55" s="135"/>
      <c r="H55" s="135"/>
      <c r="I55" s="62"/>
      <c r="J55" s="63"/>
      <c r="K55" s="63"/>
      <c r="L55" s="62"/>
    </row>
    <row r="56" spans="1:12">
      <c r="A56" s="58">
        <v>55</v>
      </c>
      <c r="B56" s="58"/>
      <c r="C56" s="63"/>
      <c r="D56" s="63"/>
      <c r="E56" s="62"/>
      <c r="F56" s="62"/>
      <c r="G56" s="135"/>
      <c r="H56" s="135"/>
      <c r="I56" s="62"/>
      <c r="J56" s="63"/>
      <c r="K56" s="63"/>
      <c r="L56" s="62"/>
    </row>
    <row r="57" spans="1:12">
      <c r="A57" s="59">
        <v>56</v>
      </c>
      <c r="B57" s="59"/>
      <c r="C57" s="63"/>
      <c r="D57" s="63"/>
      <c r="E57" s="62"/>
      <c r="F57" s="62"/>
      <c r="G57" s="135"/>
      <c r="H57" s="135"/>
      <c r="I57" s="62"/>
      <c r="J57" s="63"/>
      <c r="K57" s="63"/>
      <c r="L57" s="62"/>
    </row>
    <row r="58" spans="1:12">
      <c r="A58" s="58">
        <v>57</v>
      </c>
      <c r="B58" s="58"/>
      <c r="C58" s="63"/>
      <c r="D58" s="63"/>
      <c r="E58" s="62"/>
      <c r="F58" s="62"/>
      <c r="G58" s="135"/>
      <c r="H58" s="135"/>
      <c r="I58" s="62"/>
      <c r="J58" s="63"/>
      <c r="K58" s="63"/>
      <c r="L58" s="62"/>
    </row>
    <row r="59" spans="1:12">
      <c r="A59" s="59">
        <v>58</v>
      </c>
      <c r="B59" s="59"/>
      <c r="C59" s="63"/>
      <c r="D59" s="63"/>
      <c r="E59" s="62"/>
      <c r="F59" s="62"/>
      <c r="G59" s="135"/>
      <c r="H59" s="135"/>
      <c r="I59" s="62"/>
      <c r="J59" s="63"/>
      <c r="K59" s="63"/>
      <c r="L59" s="62"/>
    </row>
    <row r="60" spans="1:12">
      <c r="A60" s="58">
        <v>59</v>
      </c>
      <c r="B60" s="58"/>
      <c r="C60" s="63"/>
      <c r="D60" s="63"/>
      <c r="E60" s="62"/>
      <c r="F60" s="62"/>
      <c r="G60" s="135"/>
      <c r="H60" s="135"/>
      <c r="I60" s="62"/>
      <c r="J60" s="63"/>
      <c r="K60" s="63"/>
      <c r="L60" s="62"/>
    </row>
    <row r="61" spans="1:12">
      <c r="A61" s="59">
        <v>60</v>
      </c>
      <c r="B61" s="59"/>
      <c r="C61" s="63"/>
      <c r="D61" s="63"/>
      <c r="E61" s="62"/>
      <c r="F61" s="62"/>
      <c r="G61" s="135"/>
      <c r="H61" s="135"/>
      <c r="I61" s="62"/>
      <c r="J61" s="63"/>
      <c r="K61" s="63"/>
      <c r="L61" s="62"/>
    </row>
    <row r="62" spans="1:12">
      <c r="A62" s="58">
        <v>61</v>
      </c>
      <c r="B62" s="58"/>
      <c r="C62" s="63"/>
      <c r="D62" s="63"/>
      <c r="E62" s="62"/>
      <c r="F62" s="62"/>
      <c r="G62" s="135"/>
      <c r="H62" s="135"/>
      <c r="I62" s="62"/>
      <c r="J62" s="63"/>
      <c r="K62" s="63"/>
      <c r="L62" s="62"/>
    </row>
    <row r="63" spans="1:12">
      <c r="A63" s="59">
        <v>62</v>
      </c>
      <c r="B63" s="59"/>
      <c r="C63" s="63"/>
      <c r="D63" s="63"/>
      <c r="E63" s="62"/>
      <c r="F63" s="62"/>
      <c r="G63" s="135"/>
      <c r="H63" s="135"/>
      <c r="I63" s="62"/>
      <c r="J63" s="63"/>
      <c r="K63" s="63"/>
      <c r="L63" s="62"/>
    </row>
    <row r="64" spans="1:12">
      <c r="A64" s="58">
        <v>63</v>
      </c>
      <c r="B64" s="58"/>
      <c r="C64" s="63"/>
      <c r="D64" s="63"/>
      <c r="E64" s="62"/>
      <c r="F64" s="62"/>
      <c r="G64" s="135"/>
      <c r="H64" s="135"/>
      <c r="I64" s="62"/>
      <c r="J64" s="63"/>
      <c r="K64" s="63"/>
      <c r="L64" s="62"/>
    </row>
    <row r="65" spans="1:12">
      <c r="A65" s="59">
        <v>64</v>
      </c>
      <c r="B65" s="59"/>
      <c r="C65" s="63"/>
      <c r="D65" s="63"/>
      <c r="E65" s="62"/>
      <c r="F65" s="62"/>
      <c r="G65" s="135"/>
      <c r="H65" s="135"/>
      <c r="I65" s="62"/>
      <c r="J65" s="63"/>
      <c r="K65" s="63"/>
      <c r="L65" s="62"/>
    </row>
    <row r="66" spans="1:12">
      <c r="A66" s="58">
        <v>65</v>
      </c>
      <c r="B66" s="58"/>
      <c r="C66" s="63"/>
      <c r="D66" s="63"/>
      <c r="E66" s="62"/>
      <c r="F66" s="62"/>
      <c r="G66" s="135"/>
      <c r="H66" s="135"/>
      <c r="I66" s="62"/>
      <c r="J66" s="63"/>
      <c r="K66" s="63"/>
      <c r="L66" s="62"/>
    </row>
    <row r="67" spans="1:12">
      <c r="A67" s="59">
        <v>66</v>
      </c>
      <c r="B67" s="59"/>
      <c r="C67" s="63"/>
      <c r="D67" s="63"/>
      <c r="E67" s="62"/>
      <c r="F67" s="62"/>
      <c r="G67" s="135"/>
      <c r="H67" s="135"/>
      <c r="I67" s="62"/>
      <c r="J67" s="63"/>
      <c r="K67" s="63"/>
      <c r="L67" s="62"/>
    </row>
    <row r="68" spans="1:12">
      <c r="A68" s="58">
        <v>67</v>
      </c>
      <c r="B68" s="58"/>
      <c r="C68" s="63"/>
      <c r="D68" s="63"/>
      <c r="E68" s="62"/>
      <c r="F68" s="62"/>
      <c r="G68" s="135"/>
      <c r="H68" s="135"/>
      <c r="I68" s="62"/>
      <c r="J68" s="63"/>
      <c r="K68" s="63"/>
      <c r="L68" s="62"/>
    </row>
    <row r="69" spans="1:12">
      <c r="A69" s="59">
        <v>68</v>
      </c>
      <c r="B69" s="59"/>
      <c r="C69" s="63"/>
      <c r="D69" s="63"/>
      <c r="E69" s="62"/>
      <c r="F69" s="62"/>
      <c r="G69" s="135"/>
      <c r="H69" s="135"/>
      <c r="I69" s="62"/>
      <c r="J69" s="63"/>
      <c r="K69" s="63"/>
      <c r="L69" s="62"/>
    </row>
    <row r="70" spans="1:12">
      <c r="A70" s="58">
        <v>69</v>
      </c>
      <c r="B70" s="58"/>
      <c r="C70" s="63"/>
      <c r="D70" s="63"/>
      <c r="E70" s="62"/>
      <c r="F70" s="62"/>
      <c r="G70" s="135"/>
      <c r="H70" s="135"/>
      <c r="I70" s="62"/>
      <c r="J70" s="63"/>
      <c r="K70" s="63"/>
      <c r="L70" s="62"/>
    </row>
    <row r="71" spans="1:12">
      <c r="A71" s="59">
        <v>70</v>
      </c>
      <c r="B71" s="59"/>
      <c r="C71" s="63"/>
      <c r="D71" s="63"/>
      <c r="E71" s="62"/>
      <c r="F71" s="62"/>
      <c r="G71" s="135"/>
      <c r="H71" s="135"/>
      <c r="I71" s="62"/>
      <c r="J71" s="63"/>
      <c r="K71" s="63"/>
      <c r="L71" s="62"/>
    </row>
    <row r="72" spans="1:12">
      <c r="A72" s="58">
        <v>71</v>
      </c>
      <c r="B72" s="58"/>
      <c r="C72" s="63"/>
      <c r="D72" s="63"/>
      <c r="E72" s="62"/>
      <c r="F72" s="62"/>
      <c r="G72" s="135"/>
      <c r="H72" s="135"/>
      <c r="I72" s="62"/>
      <c r="J72" s="63"/>
      <c r="K72" s="63"/>
      <c r="L72" s="62"/>
    </row>
    <row r="73" spans="1:12">
      <c r="A73" s="59">
        <v>72</v>
      </c>
      <c r="B73" s="59"/>
      <c r="C73" s="63"/>
      <c r="D73" s="63"/>
      <c r="E73" s="62"/>
      <c r="F73" s="62"/>
      <c r="G73" s="135"/>
      <c r="H73" s="135"/>
      <c r="I73" s="62"/>
      <c r="J73" s="63"/>
      <c r="K73" s="63"/>
      <c r="L73" s="62"/>
    </row>
    <row r="74" spans="1:12">
      <c r="A74" s="58">
        <v>73</v>
      </c>
      <c r="B74" s="58"/>
      <c r="C74" s="63"/>
      <c r="D74" s="63"/>
      <c r="E74" s="62"/>
      <c r="F74" s="62"/>
      <c r="G74" s="135"/>
      <c r="H74" s="135"/>
      <c r="I74" s="62"/>
      <c r="J74" s="63"/>
      <c r="K74" s="63"/>
      <c r="L74" s="62"/>
    </row>
    <row r="75" spans="1:12">
      <c r="A75" s="59">
        <v>74</v>
      </c>
      <c r="B75" s="59"/>
      <c r="C75" s="63"/>
      <c r="D75" s="63"/>
      <c r="E75" s="62"/>
      <c r="F75" s="62"/>
      <c r="G75" s="135"/>
      <c r="H75" s="135"/>
      <c r="I75" s="62"/>
      <c r="J75" s="63"/>
      <c r="K75" s="63"/>
      <c r="L75" s="62"/>
    </row>
    <row r="76" spans="1:12">
      <c r="A76" s="58">
        <v>75</v>
      </c>
      <c r="B76" s="58"/>
      <c r="C76" s="63"/>
      <c r="D76" s="63"/>
      <c r="E76" s="62"/>
      <c r="F76" s="62"/>
      <c r="G76" s="135"/>
      <c r="H76" s="135"/>
      <c r="I76" s="62"/>
      <c r="J76" s="63"/>
      <c r="K76" s="63"/>
      <c r="L76" s="62"/>
    </row>
    <row r="77" spans="1:12">
      <c r="A77" s="59">
        <v>76</v>
      </c>
      <c r="B77" s="59"/>
      <c r="C77" s="63"/>
      <c r="D77" s="63"/>
      <c r="E77" s="62"/>
      <c r="F77" s="62"/>
      <c r="G77" s="135"/>
      <c r="H77" s="135"/>
      <c r="I77" s="62"/>
      <c r="J77" s="63"/>
      <c r="K77" s="63"/>
      <c r="L77" s="62"/>
    </row>
    <row r="78" spans="1:12">
      <c r="A78" s="58">
        <v>77</v>
      </c>
      <c r="B78" s="58"/>
      <c r="C78" s="63"/>
      <c r="D78" s="63"/>
      <c r="E78" s="62"/>
      <c r="F78" s="62"/>
      <c r="G78" s="135"/>
      <c r="H78" s="135"/>
      <c r="I78" s="62"/>
      <c r="J78" s="63"/>
      <c r="K78" s="63"/>
      <c r="L78" s="62"/>
    </row>
    <row r="79" spans="1:12">
      <c r="A79" s="59">
        <v>78</v>
      </c>
      <c r="B79" s="59"/>
      <c r="C79" s="63"/>
      <c r="D79" s="63"/>
      <c r="E79" s="62"/>
      <c r="F79" s="62"/>
      <c r="G79" s="135"/>
      <c r="H79" s="135"/>
      <c r="I79" s="62"/>
      <c r="J79" s="63"/>
      <c r="K79" s="63"/>
      <c r="L79" s="62"/>
    </row>
    <row r="80" spans="1:12">
      <c r="A80" s="58">
        <v>79</v>
      </c>
      <c r="B80" s="58"/>
      <c r="C80" s="63"/>
      <c r="D80" s="63"/>
      <c r="E80" s="62"/>
      <c r="F80" s="62"/>
      <c r="G80" s="135"/>
      <c r="H80" s="135"/>
      <c r="I80" s="62"/>
      <c r="J80" s="63"/>
      <c r="K80" s="63"/>
      <c r="L80" s="62"/>
    </row>
    <row r="81" spans="1:12">
      <c r="A81" s="59">
        <v>80</v>
      </c>
      <c r="B81" s="59"/>
      <c r="C81" s="63"/>
      <c r="D81" s="63"/>
      <c r="E81" s="62"/>
      <c r="F81" s="62"/>
      <c r="G81" s="135"/>
      <c r="H81" s="135"/>
      <c r="I81" s="62"/>
      <c r="J81" s="63"/>
      <c r="K81" s="63"/>
      <c r="L81" s="62"/>
    </row>
    <row r="82" spans="1:12">
      <c r="A82" s="58">
        <v>81</v>
      </c>
      <c r="B82" s="58"/>
      <c r="C82" s="63"/>
      <c r="D82" s="63"/>
      <c r="E82" s="62"/>
      <c r="F82" s="62"/>
      <c r="G82" s="135"/>
      <c r="H82" s="135"/>
      <c r="I82" s="62"/>
      <c r="J82" s="63"/>
      <c r="K82" s="63"/>
      <c r="L82" s="62"/>
    </row>
    <row r="83" spans="1:12">
      <c r="A83" s="59">
        <v>82</v>
      </c>
      <c r="B83" s="59"/>
      <c r="C83" s="63"/>
      <c r="D83" s="63"/>
      <c r="E83" s="62"/>
      <c r="F83" s="62"/>
      <c r="G83" s="135"/>
      <c r="H83" s="135"/>
      <c r="I83" s="62"/>
      <c r="J83" s="63"/>
      <c r="K83" s="63"/>
      <c r="L83" s="62"/>
    </row>
    <row r="84" spans="1:12">
      <c r="A84" s="58">
        <v>83</v>
      </c>
      <c r="B84" s="58"/>
      <c r="C84" s="63"/>
      <c r="D84" s="63"/>
      <c r="E84" s="62"/>
      <c r="F84" s="62"/>
      <c r="G84" s="135"/>
      <c r="H84" s="135"/>
      <c r="I84" s="62"/>
      <c r="J84" s="63"/>
      <c r="K84" s="63"/>
      <c r="L84" s="62"/>
    </row>
    <row r="85" spans="1:12">
      <c r="A85" s="59">
        <v>84</v>
      </c>
      <c r="B85" s="59"/>
      <c r="C85" s="63"/>
      <c r="D85" s="63"/>
      <c r="E85" s="62"/>
      <c r="F85" s="62"/>
      <c r="G85" s="135"/>
      <c r="H85" s="135"/>
      <c r="I85" s="62"/>
      <c r="J85" s="63"/>
      <c r="K85" s="63"/>
      <c r="L85" s="62"/>
    </row>
    <row r="86" spans="1:12">
      <c r="A86" s="58">
        <v>85</v>
      </c>
      <c r="B86" s="58"/>
      <c r="C86" s="63"/>
      <c r="D86" s="63"/>
      <c r="E86" s="62"/>
      <c r="F86" s="62"/>
      <c r="G86" s="135"/>
      <c r="H86" s="135"/>
      <c r="I86" s="62"/>
      <c r="J86" s="63"/>
      <c r="K86" s="63"/>
      <c r="L86" s="62"/>
    </row>
    <row r="87" spans="1:12">
      <c r="A87" s="59">
        <v>86</v>
      </c>
      <c r="B87" s="59"/>
      <c r="C87" s="63"/>
      <c r="D87" s="63"/>
      <c r="E87" s="62"/>
      <c r="F87" s="62"/>
      <c r="G87" s="135"/>
      <c r="H87" s="135"/>
      <c r="I87" s="62"/>
      <c r="J87" s="63"/>
      <c r="K87" s="63"/>
      <c r="L87" s="62"/>
    </row>
    <row r="88" spans="1:12">
      <c r="A88" s="58">
        <v>87</v>
      </c>
      <c r="B88" s="58"/>
      <c r="C88" s="63"/>
      <c r="D88" s="63"/>
      <c r="E88" s="62"/>
      <c r="F88" s="62"/>
      <c r="G88" s="135"/>
      <c r="H88" s="135"/>
      <c r="I88" s="62"/>
      <c r="J88" s="63"/>
      <c r="K88" s="63"/>
      <c r="L88" s="62"/>
    </row>
    <row r="89" spans="1:12">
      <c r="A89" s="59">
        <v>88</v>
      </c>
      <c r="B89" s="59"/>
      <c r="C89" s="63"/>
      <c r="D89" s="63"/>
      <c r="E89" s="62"/>
      <c r="F89" s="62"/>
      <c r="G89" s="135"/>
      <c r="H89" s="135"/>
      <c r="I89" s="62"/>
      <c r="J89" s="63"/>
      <c r="K89" s="63"/>
      <c r="L89" s="62"/>
    </row>
    <row r="90" spans="1:12">
      <c r="A90" s="58">
        <v>89</v>
      </c>
      <c r="B90" s="58"/>
      <c r="C90" s="63"/>
      <c r="D90" s="63"/>
      <c r="E90" s="62"/>
      <c r="F90" s="62"/>
      <c r="G90" s="135"/>
      <c r="H90" s="135"/>
      <c r="I90" s="62"/>
      <c r="J90" s="63"/>
      <c r="K90" s="63"/>
      <c r="L90" s="62"/>
    </row>
    <row r="91" spans="1:12">
      <c r="A91" s="59">
        <v>90</v>
      </c>
      <c r="B91" s="59"/>
      <c r="C91" s="63"/>
      <c r="D91" s="63"/>
      <c r="E91" s="62"/>
      <c r="F91" s="62"/>
      <c r="G91" s="135"/>
      <c r="H91" s="135"/>
      <c r="I91" s="62"/>
      <c r="J91" s="63"/>
      <c r="K91" s="63"/>
      <c r="L91" s="62"/>
    </row>
    <row r="92" spans="1:12">
      <c r="A92" s="58">
        <v>91</v>
      </c>
      <c r="B92" s="58"/>
      <c r="C92" s="63"/>
      <c r="D92" s="63"/>
      <c r="E92" s="62"/>
      <c r="F92" s="62"/>
      <c r="G92" s="135"/>
      <c r="H92" s="135"/>
      <c r="I92" s="62"/>
      <c r="J92" s="63"/>
      <c r="K92" s="63"/>
      <c r="L92" s="62"/>
    </row>
    <row r="93" spans="1:12">
      <c r="A93" s="59">
        <v>92</v>
      </c>
      <c r="B93" s="59"/>
      <c r="C93" s="63"/>
      <c r="D93" s="63"/>
      <c r="E93" s="62"/>
      <c r="F93" s="62"/>
      <c r="G93" s="135"/>
      <c r="H93" s="135"/>
      <c r="I93" s="62"/>
      <c r="J93" s="63"/>
      <c r="K93" s="63"/>
      <c r="L93" s="62"/>
    </row>
    <row r="94" spans="1:12">
      <c r="A94" s="58">
        <v>93</v>
      </c>
      <c r="B94" s="58"/>
      <c r="C94" s="63"/>
      <c r="D94" s="63"/>
      <c r="E94" s="62"/>
      <c r="F94" s="62"/>
      <c r="G94" s="135"/>
      <c r="H94" s="135"/>
      <c r="I94" s="62"/>
      <c r="J94" s="63"/>
      <c r="K94" s="63"/>
      <c r="L94" s="62"/>
    </row>
    <row r="95" spans="1:12">
      <c r="A95" s="59">
        <v>94</v>
      </c>
      <c r="B95" s="59"/>
      <c r="C95" s="63"/>
      <c r="D95" s="63"/>
      <c r="E95" s="62"/>
      <c r="F95" s="62"/>
      <c r="G95" s="135"/>
      <c r="H95" s="135"/>
      <c r="I95" s="62"/>
      <c r="J95" s="63"/>
      <c r="K95" s="63"/>
      <c r="L95" s="62"/>
    </row>
    <row r="96" spans="1:12">
      <c r="A96" s="58">
        <v>95</v>
      </c>
      <c r="B96" s="58"/>
      <c r="C96" s="63"/>
      <c r="D96" s="63"/>
      <c r="E96" s="62"/>
      <c r="F96" s="62"/>
      <c r="G96" s="135"/>
      <c r="H96" s="135"/>
      <c r="I96" s="62"/>
      <c r="J96" s="63"/>
      <c r="K96" s="63"/>
      <c r="L96" s="62"/>
    </row>
    <row r="97" spans="1:12">
      <c r="A97" s="59">
        <v>96</v>
      </c>
      <c r="B97" s="59"/>
      <c r="C97" s="63"/>
      <c r="D97" s="63"/>
      <c r="E97" s="62"/>
      <c r="F97" s="62"/>
      <c r="G97" s="135"/>
      <c r="H97" s="135"/>
      <c r="I97" s="62"/>
      <c r="J97" s="63"/>
      <c r="K97" s="63"/>
      <c r="L97" s="62"/>
    </row>
    <row r="98" spans="1:12">
      <c r="A98" s="58">
        <v>97</v>
      </c>
      <c r="B98" s="58"/>
      <c r="C98" s="63"/>
      <c r="D98" s="63"/>
      <c r="E98" s="62"/>
      <c r="F98" s="62"/>
      <c r="G98" s="135"/>
      <c r="H98" s="135"/>
      <c r="I98" s="62"/>
      <c r="J98" s="63"/>
      <c r="K98" s="63"/>
      <c r="L98" s="62"/>
    </row>
    <row r="99" spans="1:12">
      <c r="A99" s="59">
        <v>98</v>
      </c>
      <c r="B99" s="59"/>
      <c r="C99" s="63"/>
      <c r="D99" s="63"/>
      <c r="E99" s="62"/>
      <c r="F99" s="62"/>
      <c r="G99" s="135"/>
      <c r="H99" s="135"/>
      <c r="I99" s="62"/>
      <c r="J99" s="63"/>
      <c r="K99" s="63"/>
      <c r="L99" s="62"/>
    </row>
    <row r="100" spans="1:12">
      <c r="A100" s="59">
        <v>99</v>
      </c>
      <c r="B100" s="59"/>
      <c r="C100" s="63"/>
      <c r="D100" s="63"/>
      <c r="E100" s="62"/>
      <c r="F100" s="62"/>
      <c r="G100" s="135"/>
      <c r="H100" s="135"/>
      <c r="I100" s="62"/>
      <c r="J100" s="63"/>
      <c r="K100" s="63"/>
      <c r="L100" s="62"/>
    </row>
    <row r="1048576" spans="7:7">
      <c r="G1048576" s="135" t="s">
        <v>1168</v>
      </c>
    </row>
  </sheetData>
  <autoFilter ref="A1:L100" xr:uid="{6882EA6D-4A1F-4FE6-8B72-CFCB9535306D}"/>
  <conditionalFormatting sqref="B6:B13">
    <cfRule type="expression" dxfId="61" priority="3" stopIfTrue="1">
      <formula>($G6="Fail")</formula>
    </cfRule>
    <cfRule type="expression" dxfId="60" priority="4" stopIfTrue="1">
      <formula>($G6="Pass")</formula>
    </cfRule>
  </conditionalFormatting>
  <conditionalFormatting sqref="B3:C4 C5">
    <cfRule type="expression" dxfId="59" priority="5" stopIfTrue="1">
      <formula>($G3="Fail")</formula>
    </cfRule>
    <cfRule type="expression" dxfId="58" priority="6" stopIfTrue="1">
      <formula>($G3="Pass")</formula>
    </cfRule>
  </conditionalFormatting>
  <conditionalFormatting sqref="B5">
    <cfRule type="expression" dxfId="57" priority="1" stopIfTrue="1">
      <formula>($G5="Fail")</formula>
    </cfRule>
    <cfRule type="expression" dxfId="56" priority="2" stopIfTrue="1">
      <formula>($G5="Pass")</formula>
    </cfRule>
  </conditionalFormatting>
  <conditionalFormatting sqref="C6">
    <cfRule type="expression" dxfId="55" priority="230" stopIfTrue="1">
      <formula>(#REF!="Fail")</formula>
    </cfRule>
    <cfRule type="expression" dxfId="54" priority="231" stopIfTrue="1">
      <formula>(#REF!="Pass")</formula>
    </cfRule>
  </conditionalFormatting>
  <dataValidations count="1">
    <dataValidation type="list" allowBlank="1" showInputMessage="1" showErrorMessage="1" sqref="J1:J1048576" xr:uid="{EB90CB24-41CB-4920-82A3-447718E30BC7}">
      <formula1>defect</formula1>
    </dataValidation>
  </dataValidations>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15"/>
  <cols>
    <col min="1" max="1" width="8.7109375" style="138" bestFit="1" customWidth="1"/>
    <col min="2" max="2" width="26.5703125" bestFit="1" customWidth="1"/>
    <col min="3" max="3" width="26.5703125" customWidth="1"/>
    <col min="4" max="4" width="26.5703125" style="138" customWidth="1"/>
    <col min="5" max="5" width="26.28515625" bestFit="1" customWidth="1"/>
    <col min="6" max="7" width="26.28515625" customWidth="1"/>
    <col min="8" max="8" width="6.85546875" bestFit="1" customWidth="1"/>
    <col min="9" max="13" width="7" bestFit="1" customWidth="1"/>
  </cols>
  <sheetData>
    <row r="2" spans="1:13">
      <c r="B2" s="37" t="s">
        <v>1169</v>
      </c>
      <c r="C2" s="37"/>
      <c r="D2" s="144"/>
    </row>
    <row r="4" spans="1:13">
      <c r="C4" s="37"/>
    </row>
    <row r="5" spans="1:13">
      <c r="B5" s="37" t="s">
        <v>1170</v>
      </c>
      <c r="C5" s="37"/>
      <c r="D5" s="144"/>
      <c r="E5" s="37" t="s">
        <v>1171</v>
      </c>
      <c r="F5" s="37"/>
      <c r="G5" s="37"/>
      <c r="H5" s="37" t="s">
        <v>1172</v>
      </c>
      <c r="I5" s="37" t="s">
        <v>1173</v>
      </c>
      <c r="J5" s="37" t="s">
        <v>1174</v>
      </c>
      <c r="K5" s="37" t="s">
        <v>1175</v>
      </c>
      <c r="L5" s="37" t="s">
        <v>1176</v>
      </c>
      <c r="M5" s="37" t="s">
        <v>1177</v>
      </c>
    </row>
    <row r="6" spans="1:13" ht="52.5" hidden="1" customHeight="1">
      <c r="A6" s="139" t="s">
        <v>1178</v>
      </c>
      <c r="B6" s="145" t="s">
        <v>1179</v>
      </c>
      <c r="C6" s="37"/>
      <c r="D6" s="138" t="s">
        <v>1178</v>
      </c>
      <c r="E6" s="146" t="s">
        <v>1180</v>
      </c>
      <c r="G6" s="138" t="s">
        <v>1178</v>
      </c>
      <c r="H6" s="146" t="s">
        <v>1180</v>
      </c>
    </row>
    <row r="7" spans="1:13" ht="38.25" hidden="1" customHeight="1">
      <c r="A7" s="138" t="s">
        <v>1181</v>
      </c>
      <c r="B7" s="146" t="s">
        <v>1182</v>
      </c>
      <c r="C7" s="37"/>
      <c r="D7" s="138" t="s">
        <v>1178</v>
      </c>
      <c r="E7" s="146" t="s">
        <v>1183</v>
      </c>
      <c r="G7" s="138" t="s">
        <v>1178</v>
      </c>
      <c r="H7" s="146" t="s">
        <v>1183</v>
      </c>
    </row>
    <row r="8" spans="1:13" ht="54" hidden="1" customHeight="1">
      <c r="A8" s="138" t="s">
        <v>1181</v>
      </c>
      <c r="B8" s="146" t="s">
        <v>1184</v>
      </c>
      <c r="C8" s="37"/>
      <c r="D8" s="138" t="s">
        <v>1178</v>
      </c>
      <c r="E8" s="146" t="s">
        <v>1185</v>
      </c>
      <c r="G8" s="138" t="s">
        <v>1178</v>
      </c>
      <c r="H8" s="146" t="s">
        <v>1185</v>
      </c>
    </row>
    <row r="9" spans="1:13" ht="54" hidden="1" customHeight="1">
      <c r="A9" s="140" t="s">
        <v>1051</v>
      </c>
      <c r="B9" s="147" t="s">
        <v>1186</v>
      </c>
      <c r="C9" s="37"/>
      <c r="D9" s="138" t="s">
        <v>1178</v>
      </c>
      <c r="E9" s="146" t="s">
        <v>1187</v>
      </c>
      <c r="G9" s="138" t="s">
        <v>1178</v>
      </c>
      <c r="H9" s="146" t="s">
        <v>1187</v>
      </c>
    </row>
    <row r="10" spans="1:13" ht="54" hidden="1" customHeight="1">
      <c r="A10" s="140" t="s">
        <v>1188</v>
      </c>
      <c r="B10" s="147" t="s">
        <v>1189</v>
      </c>
      <c r="C10" s="37"/>
      <c r="D10" s="142" t="s">
        <v>1190</v>
      </c>
      <c r="E10" s="148" t="s">
        <v>1191</v>
      </c>
      <c r="H10" t="s">
        <v>1192</v>
      </c>
    </row>
    <row r="11" spans="1:13" ht="54" hidden="1" customHeight="1">
      <c r="A11" s="140" t="s">
        <v>1188</v>
      </c>
      <c r="B11" s="147" t="s">
        <v>1193</v>
      </c>
      <c r="C11" s="37"/>
      <c r="D11" s="140" t="s">
        <v>1178</v>
      </c>
      <c r="E11" s="147" t="s">
        <v>1194</v>
      </c>
      <c r="H11" t="s">
        <v>1195</v>
      </c>
    </row>
    <row r="12" spans="1:13" ht="28.5" hidden="1" customHeight="1">
      <c r="A12" s="140" t="s">
        <v>1178</v>
      </c>
      <c r="B12" s="147" t="s">
        <v>1196</v>
      </c>
      <c r="C12" s="37"/>
      <c r="D12" s="138" t="s">
        <v>1188</v>
      </c>
      <c r="E12" s="146" t="s">
        <v>1197</v>
      </c>
      <c r="G12" t="s">
        <v>1188</v>
      </c>
      <c r="H12" s="146" t="s">
        <v>1197</v>
      </c>
    </row>
    <row r="13" spans="1:13" ht="46.5" hidden="1" customHeight="1">
      <c r="A13" s="140" t="s">
        <v>1188</v>
      </c>
      <c r="B13" s="147" t="s">
        <v>1198</v>
      </c>
      <c r="C13" s="37"/>
      <c r="D13" s="138" t="s">
        <v>1188</v>
      </c>
      <c r="E13" s="146" t="s">
        <v>1199</v>
      </c>
      <c r="G13" t="s">
        <v>1188</v>
      </c>
      <c r="H13" s="146" t="s">
        <v>1199</v>
      </c>
    </row>
    <row r="14" spans="1:13" ht="53.25" hidden="1" customHeight="1">
      <c r="A14" s="140" t="s">
        <v>1190</v>
      </c>
      <c r="B14" s="147" t="s">
        <v>1200</v>
      </c>
      <c r="C14" s="37"/>
      <c r="D14" s="138" t="s">
        <v>1188</v>
      </c>
      <c r="E14" s="146" t="s">
        <v>1201</v>
      </c>
      <c r="G14" t="s">
        <v>1188</v>
      </c>
      <c r="H14" s="146" t="s">
        <v>1201</v>
      </c>
    </row>
    <row r="15" spans="1:13" ht="28.5" hidden="1" customHeight="1">
      <c r="A15" s="140" t="s">
        <v>1190</v>
      </c>
      <c r="B15" s="147" t="s">
        <v>1202</v>
      </c>
      <c r="C15" s="37"/>
      <c r="D15" s="138" t="s">
        <v>1051</v>
      </c>
      <c r="E15" s="146" t="s">
        <v>1203</v>
      </c>
      <c r="H15" t="s">
        <v>1204</v>
      </c>
    </row>
    <row r="16" spans="1:13" ht="87" hidden="1" customHeight="1">
      <c r="A16" s="140" t="s">
        <v>1178</v>
      </c>
      <c r="B16" s="147" t="s">
        <v>1205</v>
      </c>
      <c r="C16" s="37"/>
      <c r="D16" s="140" t="s">
        <v>1051</v>
      </c>
      <c r="E16" s="147" t="s">
        <v>1206</v>
      </c>
      <c r="H16" t="s">
        <v>1207</v>
      </c>
    </row>
    <row r="17" spans="1:9" ht="52.5" hidden="1" customHeight="1">
      <c r="A17" s="138" t="s">
        <v>1178</v>
      </c>
      <c r="B17" s="146" t="s">
        <v>1208</v>
      </c>
      <c r="C17" s="37"/>
      <c r="D17" s="140" t="s">
        <v>1178</v>
      </c>
      <c r="E17" s="147" t="s">
        <v>1209</v>
      </c>
      <c r="H17" t="s">
        <v>1210</v>
      </c>
    </row>
    <row r="18" spans="1:9" ht="67.5" hidden="1" customHeight="1">
      <c r="A18" s="141" t="s">
        <v>1211</v>
      </c>
      <c r="B18" s="146" t="s">
        <v>1212</v>
      </c>
      <c r="C18" s="37"/>
      <c r="D18" s="140" t="s">
        <v>1178</v>
      </c>
      <c r="E18" s="147" t="s">
        <v>1213</v>
      </c>
      <c r="H18" t="s">
        <v>1214</v>
      </c>
    </row>
    <row r="19" spans="1:9" ht="56.25" hidden="1" customHeight="1">
      <c r="A19" s="141" t="s">
        <v>1215</v>
      </c>
      <c r="B19" s="146" t="s">
        <v>1216</v>
      </c>
      <c r="C19" s="37"/>
      <c r="D19" s="140" t="s">
        <v>1190</v>
      </c>
      <c r="E19" s="147" t="s">
        <v>1217</v>
      </c>
      <c r="H19" t="s">
        <v>1218</v>
      </c>
      <c r="I19" t="s">
        <v>1219</v>
      </c>
    </row>
    <row r="20" spans="1:9" ht="56.25" hidden="1" customHeight="1">
      <c r="A20" s="140" t="s">
        <v>1190</v>
      </c>
      <c r="B20" s="147" t="s">
        <v>1220</v>
      </c>
      <c r="C20" s="37"/>
      <c r="D20" s="140" t="s">
        <v>1190</v>
      </c>
      <c r="E20" s="147" t="s">
        <v>1221</v>
      </c>
      <c r="H20" t="s">
        <v>1222</v>
      </c>
      <c r="I20" t="s">
        <v>1223</v>
      </c>
    </row>
    <row r="21" spans="1:9" ht="64.5" hidden="1" customHeight="1">
      <c r="A21" s="149" t="s">
        <v>1224</v>
      </c>
      <c r="B21" s="147" t="s">
        <v>1225</v>
      </c>
      <c r="C21" s="37"/>
      <c r="D21" s="140" t="s">
        <v>1190</v>
      </c>
      <c r="E21" s="147" t="s">
        <v>1226</v>
      </c>
      <c r="H21" t="s">
        <v>1227</v>
      </c>
    </row>
    <row r="22" spans="1:9" ht="57.75" hidden="1" customHeight="1">
      <c r="A22" s="140" t="s">
        <v>1190</v>
      </c>
      <c r="B22" s="147" t="s">
        <v>1228</v>
      </c>
      <c r="C22" s="37"/>
      <c r="D22" s="140" t="s">
        <v>1178</v>
      </c>
      <c r="E22" s="147" t="s">
        <v>1229</v>
      </c>
      <c r="H22" t="s">
        <v>1230</v>
      </c>
    </row>
    <row r="23" spans="1:9" ht="36" hidden="1" customHeight="1">
      <c r="A23" s="140" t="s">
        <v>1231</v>
      </c>
      <c r="B23" s="147" t="s">
        <v>1232</v>
      </c>
      <c r="C23" s="37"/>
      <c r="D23" s="140" t="s">
        <v>1190</v>
      </c>
      <c r="E23" s="147" t="s">
        <v>1233</v>
      </c>
      <c r="H23" t="s">
        <v>1234</v>
      </c>
    </row>
    <row r="24" spans="1:9" ht="30.75" hidden="1" customHeight="1">
      <c r="A24" s="140" t="s">
        <v>1231</v>
      </c>
      <c r="B24" s="147" t="s">
        <v>1235</v>
      </c>
      <c r="C24" s="37"/>
      <c r="D24" s="140" t="s">
        <v>1178</v>
      </c>
      <c r="E24" s="147" t="s">
        <v>1236</v>
      </c>
      <c r="H24" t="s">
        <v>1237</v>
      </c>
    </row>
    <row r="25" spans="1:9" ht="30.75" hidden="1" customHeight="1">
      <c r="A25" s="140" t="s">
        <v>1231</v>
      </c>
      <c r="B25" s="147" t="s">
        <v>1238</v>
      </c>
      <c r="C25" s="37"/>
      <c r="D25" s="140" t="s">
        <v>1190</v>
      </c>
      <c r="E25" s="147" t="s">
        <v>1239</v>
      </c>
      <c r="H25" t="s">
        <v>1240</v>
      </c>
    </row>
    <row r="26" spans="1:9" ht="30.75" hidden="1" customHeight="1">
      <c r="A26" s="140" t="s">
        <v>1231</v>
      </c>
      <c r="B26" s="147" t="s">
        <v>1241</v>
      </c>
      <c r="C26" s="37"/>
      <c r="D26" s="138" t="s">
        <v>1051</v>
      </c>
      <c r="E26" s="146" t="s">
        <v>1242</v>
      </c>
      <c r="G26" t="s">
        <v>1051</v>
      </c>
      <c r="H26" s="146" t="s">
        <v>1242</v>
      </c>
    </row>
    <row r="27" spans="1:9" ht="32.25" hidden="1" customHeight="1">
      <c r="A27" s="140" t="s">
        <v>1231</v>
      </c>
      <c r="B27" s="147" t="s">
        <v>1243</v>
      </c>
      <c r="C27" s="37"/>
      <c r="D27" s="140" t="s">
        <v>1188</v>
      </c>
      <c r="E27" s="147" t="s">
        <v>1244</v>
      </c>
      <c r="H27" s="146"/>
    </row>
    <row r="28" spans="1:9" ht="27.75" customHeight="1">
      <c r="A28" s="140" t="s">
        <v>1231</v>
      </c>
      <c r="B28" s="147" t="s">
        <v>1245</v>
      </c>
      <c r="C28" s="37"/>
      <c r="D28" s="140" t="s">
        <v>1231</v>
      </c>
      <c r="E28" s="147" t="s">
        <v>1246</v>
      </c>
    </row>
    <row r="29" spans="1:9" ht="29.25" customHeight="1">
      <c r="A29" s="140" t="s">
        <v>1247</v>
      </c>
      <c r="B29" s="147" t="s">
        <v>1248</v>
      </c>
      <c r="C29" s="37"/>
      <c r="D29" s="140" t="s">
        <v>1231</v>
      </c>
      <c r="E29" s="147" t="s">
        <v>1249</v>
      </c>
    </row>
    <row r="30" spans="1:9" ht="33.75" customHeight="1">
      <c r="A30" s="140" t="s">
        <v>1247</v>
      </c>
      <c r="B30" s="147" t="s">
        <v>1250</v>
      </c>
      <c r="C30" s="37"/>
      <c r="D30" s="140" t="s">
        <v>1231</v>
      </c>
      <c r="E30" s="147" t="s">
        <v>1251</v>
      </c>
    </row>
    <row r="31" spans="1:9" ht="37.5" customHeight="1">
      <c r="A31" s="140" t="s">
        <v>1247</v>
      </c>
      <c r="B31" s="147" t="s">
        <v>1252</v>
      </c>
      <c r="C31" s="37"/>
      <c r="D31" s="140" t="s">
        <v>1231</v>
      </c>
      <c r="E31" s="147" t="s">
        <v>1253</v>
      </c>
    </row>
    <row r="32" spans="1:9" ht="30" customHeight="1">
      <c r="A32" s="140" t="s">
        <v>1178</v>
      </c>
      <c r="B32" s="147" t="s">
        <v>1254</v>
      </c>
      <c r="C32" s="37"/>
      <c r="D32" s="140" t="s">
        <v>1231</v>
      </c>
      <c r="E32" s="147" t="s">
        <v>1255</v>
      </c>
    </row>
    <row r="33" spans="1:8" ht="36.75" customHeight="1">
      <c r="A33" s="140" t="s">
        <v>1178</v>
      </c>
      <c r="B33" s="147" t="s">
        <v>1256</v>
      </c>
      <c r="C33" s="37"/>
      <c r="D33" s="140" t="s">
        <v>1231</v>
      </c>
      <c r="E33" s="147" t="s">
        <v>1257</v>
      </c>
    </row>
    <row r="34" spans="1:8" ht="31.5" customHeight="1">
      <c r="A34" s="138" t="s">
        <v>1190</v>
      </c>
      <c r="B34" s="146" t="s">
        <v>1258</v>
      </c>
      <c r="C34" s="37"/>
      <c r="D34" s="140" t="s">
        <v>1231</v>
      </c>
      <c r="E34" s="147" t="s">
        <v>1259</v>
      </c>
    </row>
    <row r="35" spans="1:8" ht="31.5" customHeight="1">
      <c r="B35" s="150"/>
      <c r="C35" s="37"/>
      <c r="D35" s="140" t="s">
        <v>1231</v>
      </c>
      <c r="E35" s="147" t="s">
        <v>1260</v>
      </c>
    </row>
    <row r="36" spans="1:8" ht="31.5" customHeight="1">
      <c r="C36" s="37"/>
      <c r="D36" s="140" t="s">
        <v>1231</v>
      </c>
      <c r="E36" s="147" t="s">
        <v>1261</v>
      </c>
    </row>
    <row r="37" spans="1:8" ht="31.5" customHeight="1">
      <c r="D37" s="138" t="s">
        <v>1231</v>
      </c>
      <c r="E37" s="146" t="s">
        <v>1262</v>
      </c>
      <c r="G37" t="s">
        <v>1231</v>
      </c>
      <c r="H37" s="146" t="s">
        <v>1262</v>
      </c>
    </row>
    <row r="38" spans="1:8" ht="31.5" customHeight="1">
      <c r="D38" s="140" t="s">
        <v>1231</v>
      </c>
      <c r="E38" s="147" t="s">
        <v>1263</v>
      </c>
    </row>
    <row r="39" spans="1:8" ht="31.5" customHeight="1">
      <c r="D39" s="138" t="s">
        <v>1231</v>
      </c>
      <c r="E39" s="146" t="s">
        <v>1264</v>
      </c>
      <c r="G39" t="s">
        <v>1231</v>
      </c>
      <c r="H39" s="146" t="s">
        <v>1264</v>
      </c>
    </row>
    <row r="40" spans="1:8" ht="31.5" customHeight="1">
      <c r="D40" s="138" t="s">
        <v>1247</v>
      </c>
      <c r="E40" s="146" t="s">
        <v>1265</v>
      </c>
      <c r="G40" t="s">
        <v>1231</v>
      </c>
      <c r="H40" s="146" t="s">
        <v>1265</v>
      </c>
    </row>
    <row r="41" spans="1:8" ht="31.5" customHeight="1">
      <c r="D41" s="138" t="s">
        <v>1247</v>
      </c>
      <c r="E41" s="146" t="s">
        <v>1266</v>
      </c>
      <c r="G41" t="s">
        <v>1231</v>
      </c>
      <c r="H41" s="146" t="s">
        <v>1266</v>
      </c>
    </row>
    <row r="42" spans="1:8" ht="31.5" customHeight="1">
      <c r="D42" s="138" t="s">
        <v>1247</v>
      </c>
      <c r="E42" s="146" t="s">
        <v>1267</v>
      </c>
      <c r="G42" t="s">
        <v>1231</v>
      </c>
      <c r="H42" s="146" t="s">
        <v>1267</v>
      </c>
    </row>
    <row r="43" spans="1:8" ht="31.5" customHeight="1">
      <c r="D43" s="138" t="s">
        <v>1247</v>
      </c>
      <c r="E43" s="146" t="s">
        <v>1268</v>
      </c>
      <c r="G43" t="s">
        <v>1247</v>
      </c>
      <c r="H43" s="146" t="s">
        <v>1268</v>
      </c>
    </row>
    <row r="44" spans="1:8" ht="31.5" customHeight="1">
      <c r="D44" s="138" t="s">
        <v>1247</v>
      </c>
      <c r="E44" s="146" t="s">
        <v>1269</v>
      </c>
      <c r="G44" t="s">
        <v>1247</v>
      </c>
      <c r="H44" s="146" t="s">
        <v>1269</v>
      </c>
    </row>
    <row r="45" spans="1:8" ht="31.5" customHeight="1">
      <c r="D45" s="138" t="s">
        <v>1247</v>
      </c>
      <c r="E45" s="146" t="s">
        <v>1270</v>
      </c>
      <c r="G45" t="s">
        <v>1247</v>
      </c>
      <c r="H45" s="146" t="s">
        <v>1270</v>
      </c>
    </row>
    <row r="46" spans="1:8" ht="31.5" customHeight="1">
      <c r="D46" s="138" t="s">
        <v>1247</v>
      </c>
      <c r="E46" s="146" t="s">
        <v>1271</v>
      </c>
      <c r="G46" t="s">
        <v>1247</v>
      </c>
      <c r="H46" s="146" t="s">
        <v>1271</v>
      </c>
    </row>
    <row r="47" spans="1:8" ht="39.6">
      <c r="D47" s="140" t="s">
        <v>1051</v>
      </c>
      <c r="E47" s="147" t="s">
        <v>1182</v>
      </c>
    </row>
    <row r="48" spans="1:8" ht="39.6">
      <c r="D48" s="140" t="s">
        <v>1051</v>
      </c>
      <c r="E48" s="147" t="s">
        <v>1184</v>
      </c>
    </row>
    <row r="49" spans="4:8" ht="74.25" customHeight="1">
      <c r="D49" s="140" t="s">
        <v>1051</v>
      </c>
      <c r="E49" s="147" t="s">
        <v>1272</v>
      </c>
    </row>
    <row r="50" spans="4:8" ht="53.25" customHeight="1">
      <c r="D50" s="140" t="s">
        <v>1178</v>
      </c>
      <c r="E50" s="147" t="s">
        <v>1273</v>
      </c>
    </row>
    <row r="51" spans="4:8" ht="30.75" customHeight="1">
      <c r="D51" s="140" t="s">
        <v>1051</v>
      </c>
      <c r="E51" s="147" t="s">
        <v>1274</v>
      </c>
    </row>
    <row r="52" spans="4:8" ht="26.45">
      <c r="D52" s="140" t="s">
        <v>1190</v>
      </c>
      <c r="E52" s="151" t="s">
        <v>1275</v>
      </c>
    </row>
    <row r="53" spans="4:8" ht="26.45">
      <c r="D53" s="140" t="s">
        <v>1190</v>
      </c>
      <c r="E53" s="151" t="s">
        <v>1276</v>
      </c>
    </row>
    <row r="54" spans="4:8" ht="27" customHeight="1">
      <c r="D54" s="138" t="s">
        <v>1190</v>
      </c>
      <c r="E54" s="150" t="s">
        <v>1277</v>
      </c>
      <c r="H54" s="150" t="s">
        <v>1277</v>
      </c>
    </row>
    <row r="55" spans="4:8" ht="30.75" customHeight="1">
      <c r="D55" s="138" t="s">
        <v>1190</v>
      </c>
      <c r="E55" s="150" t="s">
        <v>1278</v>
      </c>
      <c r="H55" s="150" t="s">
        <v>1278</v>
      </c>
    </row>
    <row r="56" spans="4:8" ht="30.75" customHeight="1">
      <c r="D56" s="138" t="s">
        <v>1190</v>
      </c>
      <c r="E56" s="150" t="s">
        <v>1279</v>
      </c>
      <c r="H56" s="150" t="s">
        <v>1279</v>
      </c>
    </row>
    <row r="57" spans="4:8" ht="39.6">
      <c r="D57" s="140" t="s">
        <v>1178</v>
      </c>
      <c r="E57" s="147" t="s">
        <v>1280</v>
      </c>
    </row>
    <row r="58" spans="4:8" ht="26.45">
      <c r="D58" s="140" t="s">
        <v>1188</v>
      </c>
      <c r="E58" s="147" t="s">
        <v>1226</v>
      </c>
    </row>
    <row r="59" spans="4:8">
      <c r="D59" s="140" t="s">
        <v>1051</v>
      </c>
      <c r="E59" s="137" t="s">
        <v>1281</v>
      </c>
    </row>
    <row r="60" spans="4:8">
      <c r="D60" s="140" t="s">
        <v>1051</v>
      </c>
      <c r="E60" s="137" t="s">
        <v>1282</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E131"/>
  <sheetViews>
    <sheetView workbookViewId="0">
      <selection activeCell="H19" sqref="H19"/>
    </sheetView>
  </sheetViews>
  <sheetFormatPr defaultRowHeight="12.75" customHeight="1"/>
  <cols>
    <col min="2" max="2" width="20.5703125" customWidth="1"/>
    <col min="3" max="4" width="27" customWidth="1"/>
    <col min="6" max="6" width="12.28515625" customWidth="1"/>
    <col min="7" max="7" width="13.85546875" customWidth="1"/>
    <col min="8" max="8" width="27.5703125" customWidth="1"/>
    <col min="9" max="9" width="27.28515625" customWidth="1"/>
    <col min="10" max="11" width="18.85546875" customWidth="1"/>
  </cols>
  <sheetData>
    <row r="1" spans="1:31" ht="24">
      <c r="A1" s="67" t="s">
        <v>106</v>
      </c>
      <c r="B1" s="68" t="s">
        <v>107</v>
      </c>
      <c r="C1" s="68" t="s">
        <v>108</v>
      </c>
      <c r="D1" s="68" t="s">
        <v>109</v>
      </c>
      <c r="E1" s="67" t="s">
        <v>110</v>
      </c>
      <c r="F1" s="69" t="s">
        <v>111</v>
      </c>
      <c r="G1" s="68" t="s">
        <v>112</v>
      </c>
      <c r="H1" s="70" t="s">
        <v>113</v>
      </c>
      <c r="I1" s="305" t="s">
        <v>114</v>
      </c>
      <c r="J1" s="333" t="s">
        <v>115</v>
      </c>
      <c r="K1" s="305" t="s">
        <v>116</v>
      </c>
    </row>
    <row r="2" spans="1:31">
      <c r="A2" s="101"/>
      <c r="B2" s="76"/>
      <c r="C2" s="122"/>
      <c r="D2" s="81"/>
      <c r="E2" s="74"/>
      <c r="F2" s="105"/>
      <c r="G2" s="75"/>
      <c r="H2" s="123"/>
      <c r="I2" s="79"/>
      <c r="J2" s="62"/>
      <c r="K2" s="102"/>
    </row>
    <row r="3" spans="1:31">
      <c r="A3" s="101"/>
      <c r="B3" s="76"/>
      <c r="C3" s="122"/>
      <c r="D3" s="81"/>
      <c r="E3" s="74"/>
      <c r="F3" s="105"/>
      <c r="G3" s="124"/>
      <c r="H3" s="125"/>
      <c r="I3" s="103"/>
      <c r="J3" s="62"/>
      <c r="K3" s="102"/>
    </row>
    <row r="4" spans="1:31">
      <c r="A4" s="101"/>
      <c r="B4" s="76"/>
      <c r="C4" s="122"/>
      <c r="D4" s="81"/>
      <c r="E4" s="74"/>
      <c r="F4" s="105"/>
      <c r="G4" s="124"/>
      <c r="H4" s="125"/>
      <c r="I4" s="103"/>
      <c r="J4" s="62"/>
      <c r="K4" s="102"/>
    </row>
    <row r="5" spans="1:31">
      <c r="A5" s="101"/>
      <c r="B5" s="76"/>
      <c r="C5" s="122"/>
      <c r="D5" s="81"/>
      <c r="E5" s="74"/>
      <c r="F5" s="105"/>
      <c r="G5" s="124"/>
      <c r="H5" s="125"/>
      <c r="I5" s="103"/>
      <c r="J5" s="62"/>
      <c r="K5" s="102"/>
    </row>
    <row r="6" spans="1:31">
      <c r="A6" s="101"/>
      <c r="B6" s="76"/>
      <c r="C6" s="122"/>
      <c r="D6" s="81"/>
      <c r="E6" s="74"/>
      <c r="F6" s="105"/>
      <c r="G6" s="124"/>
      <c r="H6" s="125"/>
      <c r="I6" s="103"/>
      <c r="J6" s="62"/>
      <c r="K6" s="102"/>
    </row>
    <row r="7" spans="1:31">
      <c r="A7" s="101"/>
      <c r="B7" s="76"/>
      <c r="C7" s="122"/>
      <c r="D7" s="81"/>
      <c r="E7" s="74"/>
      <c r="F7" s="105"/>
      <c r="G7" s="126"/>
      <c r="H7" s="125"/>
      <c r="I7" s="103"/>
      <c r="J7" s="62"/>
      <c r="K7" s="102"/>
    </row>
    <row r="8" spans="1:31">
      <c r="A8" s="101"/>
      <c r="B8" s="76"/>
      <c r="C8" s="122"/>
      <c r="D8" s="81"/>
      <c r="E8" s="74"/>
      <c r="F8" s="105"/>
      <c r="G8" s="126"/>
      <c r="H8" s="125"/>
      <c r="I8" s="103"/>
      <c r="J8" s="62"/>
      <c r="K8" s="102"/>
    </row>
    <row r="9" spans="1:31">
      <c r="A9" s="101"/>
      <c r="B9" s="76"/>
      <c r="C9" s="122"/>
      <c r="D9" s="81"/>
      <c r="E9" s="74"/>
      <c r="F9" s="105"/>
      <c r="G9" s="126"/>
      <c r="H9" s="125"/>
      <c r="I9" s="106"/>
      <c r="J9" s="62"/>
      <c r="K9" s="102"/>
    </row>
    <row r="10" spans="1:31">
      <c r="A10" s="101"/>
      <c r="B10" s="76"/>
      <c r="C10" s="122"/>
      <c r="D10" s="81"/>
      <c r="E10" s="74"/>
      <c r="F10" s="74"/>
      <c r="G10" s="126"/>
      <c r="H10" s="125"/>
      <c r="I10" s="107"/>
      <c r="J10" s="62"/>
      <c r="K10" s="102"/>
    </row>
    <row r="11" spans="1:31">
      <c r="A11" s="101"/>
      <c r="B11" s="76"/>
      <c r="C11" s="104"/>
      <c r="D11" s="81"/>
      <c r="E11" s="74"/>
      <c r="F11" s="74"/>
      <c r="G11" s="126"/>
      <c r="H11" s="125"/>
      <c r="I11" s="95"/>
      <c r="J11" s="62"/>
      <c r="K11" s="102"/>
    </row>
    <row r="12" spans="1:31">
      <c r="A12" s="101"/>
      <c r="B12" s="76"/>
      <c r="C12" s="122"/>
      <c r="D12" s="81"/>
      <c r="E12" s="74"/>
      <c r="F12" s="105"/>
      <c r="G12" s="126"/>
      <c r="H12" s="125"/>
      <c r="I12" s="107"/>
      <c r="J12" s="62"/>
      <c r="K12" s="102"/>
      <c r="AE12">
        <f>COUNTIF('Alert Regression'!$G$2:$G$38,Summary!AC12)</f>
        <v>0</v>
      </c>
    </row>
    <row r="13" spans="1:31">
      <c r="A13" s="101"/>
      <c r="B13" s="101"/>
      <c r="C13" s="104"/>
      <c r="D13" s="127"/>
      <c r="E13" s="74"/>
      <c r="F13" s="74"/>
      <c r="G13" s="126"/>
      <c r="H13" s="93"/>
      <c r="I13" s="103"/>
      <c r="J13" s="62"/>
      <c r="K13" s="102"/>
    </row>
    <row r="14" spans="1:31">
      <c r="A14" s="101"/>
      <c r="B14" s="101"/>
      <c r="C14" s="104"/>
      <c r="D14" s="127"/>
      <c r="E14" s="74"/>
      <c r="F14" s="74"/>
      <c r="G14" s="126"/>
      <c r="H14" s="93"/>
      <c r="I14" s="107"/>
      <c r="J14" s="62"/>
      <c r="K14" s="102"/>
    </row>
    <row r="15" spans="1:31">
      <c r="A15" s="101"/>
      <c r="B15" s="101"/>
      <c r="C15" s="104"/>
      <c r="D15" s="127"/>
      <c r="E15" s="74"/>
      <c r="F15" s="74"/>
      <c r="G15" s="126"/>
      <c r="H15" s="94"/>
      <c r="I15" s="103"/>
      <c r="J15" s="62"/>
      <c r="K15" s="102"/>
    </row>
    <row r="16" spans="1:31">
      <c r="A16" s="101"/>
      <c r="B16" s="101"/>
      <c r="C16" s="104"/>
      <c r="D16" s="101"/>
      <c r="E16" s="74"/>
      <c r="F16" s="74"/>
      <c r="G16" s="126"/>
      <c r="H16" s="94"/>
      <c r="I16" s="107"/>
      <c r="J16" s="62"/>
      <c r="K16" s="102"/>
    </row>
    <row r="17" spans="1:11">
      <c r="A17" s="101"/>
      <c r="B17" s="101"/>
      <c r="C17" s="104"/>
      <c r="D17" s="101"/>
      <c r="E17" s="74"/>
      <c r="F17" s="74"/>
      <c r="G17" s="126"/>
      <c r="H17" s="94"/>
      <c r="I17" s="107"/>
      <c r="J17" s="62"/>
      <c r="K17" s="102"/>
    </row>
    <row r="18" spans="1:11">
      <c r="A18" s="101"/>
      <c r="B18" s="101"/>
      <c r="C18" s="104"/>
      <c r="D18" s="101"/>
      <c r="E18" s="74"/>
      <c r="F18" s="74"/>
      <c r="G18" s="126"/>
      <c r="H18" s="94"/>
      <c r="I18" s="96"/>
      <c r="J18" s="62"/>
      <c r="K18" s="102"/>
    </row>
    <row r="19" spans="1:11">
      <c r="A19" s="101"/>
      <c r="B19" s="101"/>
      <c r="C19" s="104"/>
      <c r="D19" s="127"/>
      <c r="E19" s="74"/>
      <c r="F19" s="74"/>
      <c r="G19" s="126"/>
      <c r="H19" s="94"/>
      <c r="I19" s="107"/>
      <c r="J19" s="62"/>
      <c r="K19" s="102"/>
    </row>
    <row r="20" spans="1:11">
      <c r="A20" s="101"/>
      <c r="B20" s="101"/>
      <c r="C20" s="104"/>
      <c r="D20" s="127"/>
      <c r="E20" s="74"/>
      <c r="F20" s="74"/>
      <c r="G20" s="126"/>
      <c r="H20" s="94"/>
      <c r="I20" s="107"/>
      <c r="J20" s="62"/>
      <c r="K20" s="102"/>
    </row>
    <row r="21" spans="1:11">
      <c r="A21" s="101"/>
      <c r="B21" s="101"/>
      <c r="C21" s="100"/>
      <c r="D21" s="104"/>
      <c r="E21" s="115"/>
      <c r="F21" s="66"/>
      <c r="G21" s="52"/>
      <c r="H21" s="98"/>
      <c r="I21" s="63"/>
      <c r="J21" s="62"/>
      <c r="K21" s="62"/>
    </row>
    <row r="22" spans="1:11">
      <c r="A22" s="101"/>
      <c r="B22" s="101"/>
      <c r="C22" s="100"/>
      <c r="D22" s="128"/>
      <c r="E22" s="115"/>
      <c r="F22" s="66"/>
      <c r="G22" s="52"/>
      <c r="H22" s="98"/>
      <c r="I22" s="63"/>
      <c r="J22" s="62"/>
      <c r="K22" s="62"/>
    </row>
    <row r="23" spans="1:11">
      <c r="A23" s="101"/>
      <c r="B23" s="101"/>
      <c r="C23" s="100"/>
      <c r="D23" s="104"/>
      <c r="E23" s="115"/>
      <c r="F23" s="129"/>
      <c r="G23" s="52"/>
      <c r="H23" s="98"/>
      <c r="I23" s="63"/>
      <c r="J23" s="62"/>
      <c r="K23" s="62"/>
    </row>
    <row r="24" spans="1:11">
      <c r="A24" s="101"/>
      <c r="B24" s="101"/>
      <c r="C24" s="100"/>
      <c r="D24" s="104"/>
      <c r="E24" s="115"/>
      <c r="F24" s="129"/>
      <c r="G24" s="52"/>
      <c r="H24" s="98"/>
      <c r="I24" s="63"/>
      <c r="J24" s="62"/>
      <c r="K24" s="62"/>
    </row>
    <row r="25" spans="1:11">
      <c r="A25" s="101"/>
      <c r="B25" s="101"/>
      <c r="C25" s="100"/>
      <c r="D25" s="104"/>
      <c r="E25" s="115"/>
      <c r="F25" s="129"/>
      <c r="G25" s="52"/>
      <c r="H25" s="97"/>
      <c r="I25" s="63"/>
      <c r="J25" s="62"/>
      <c r="K25" s="62"/>
    </row>
    <row r="26" spans="1:11">
      <c r="A26" s="101"/>
      <c r="B26" s="101"/>
      <c r="C26" s="100"/>
      <c r="D26" s="101"/>
      <c r="E26" s="116"/>
      <c r="F26" s="75"/>
      <c r="G26" s="52"/>
      <c r="H26" s="97"/>
      <c r="I26" s="63"/>
      <c r="J26" s="62"/>
      <c r="K26" s="62"/>
    </row>
    <row r="27" spans="1:11">
      <c r="A27" s="101"/>
      <c r="B27" s="101"/>
      <c r="C27" s="100"/>
      <c r="D27" s="101"/>
      <c r="E27" s="116"/>
      <c r="F27" s="75"/>
      <c r="G27" s="52"/>
      <c r="H27" s="97"/>
      <c r="I27" s="63"/>
      <c r="J27" s="62"/>
      <c r="K27" s="62"/>
    </row>
    <row r="28" spans="1:11">
      <c r="A28" s="101"/>
      <c r="B28" s="101"/>
      <c r="C28" s="100"/>
      <c r="D28" s="101"/>
      <c r="E28" s="116"/>
      <c r="F28" s="75"/>
      <c r="G28" s="52"/>
      <c r="H28" s="97"/>
      <c r="I28" s="63"/>
      <c r="J28" s="62"/>
      <c r="K28" s="62"/>
    </row>
    <row r="29" spans="1:11">
      <c r="A29" s="101"/>
      <c r="B29" s="101"/>
      <c r="C29" s="100"/>
      <c r="D29" s="101"/>
      <c r="E29" s="116"/>
      <c r="F29" s="75"/>
      <c r="G29" s="52"/>
      <c r="H29" s="99"/>
      <c r="I29" s="63"/>
      <c r="J29" s="62"/>
      <c r="K29" s="62"/>
    </row>
    <row r="30" spans="1:11">
      <c r="A30" s="101"/>
      <c r="B30" s="101"/>
      <c r="C30" s="100"/>
      <c r="D30" s="101"/>
      <c r="E30" s="116"/>
      <c r="F30" s="75"/>
      <c r="G30" s="52"/>
      <c r="H30" s="97"/>
      <c r="I30" s="63"/>
      <c r="J30" s="62"/>
      <c r="K30" s="62"/>
    </row>
    <row r="31" spans="1:11">
      <c r="A31" s="101"/>
      <c r="B31" s="127"/>
      <c r="C31" s="100"/>
      <c r="D31" s="127"/>
      <c r="E31" s="116"/>
      <c r="F31" s="75"/>
      <c r="G31" s="52"/>
      <c r="H31" s="98"/>
      <c r="I31" s="63"/>
      <c r="J31" s="62"/>
      <c r="K31" s="62"/>
    </row>
    <row r="32" spans="1:11">
      <c r="A32" s="101"/>
      <c r="B32" s="127"/>
      <c r="C32" s="100"/>
      <c r="D32" s="127"/>
      <c r="E32" s="116"/>
      <c r="F32" s="75"/>
      <c r="G32" s="52"/>
      <c r="H32" s="97"/>
      <c r="I32" s="63"/>
      <c r="J32" s="62"/>
      <c r="K32" s="62"/>
    </row>
    <row r="33" spans="1:11">
      <c r="A33" s="101"/>
      <c r="B33" s="101"/>
      <c r="C33" s="100"/>
      <c r="D33" s="127"/>
      <c r="E33" s="116"/>
      <c r="F33" s="75"/>
      <c r="G33" s="52"/>
      <c r="H33" s="98"/>
      <c r="I33" s="63"/>
      <c r="J33" s="62"/>
      <c r="K33" s="62"/>
    </row>
    <row r="34" spans="1:11">
      <c r="A34" s="101"/>
      <c r="B34" s="101"/>
      <c r="C34" s="100"/>
      <c r="D34" s="127"/>
      <c r="E34" s="116"/>
      <c r="F34" s="75"/>
      <c r="G34" s="52"/>
      <c r="H34" s="98"/>
      <c r="I34" s="63"/>
      <c r="J34" s="62"/>
      <c r="K34" s="62"/>
    </row>
    <row r="35" spans="1:11">
      <c r="A35" s="101"/>
      <c r="B35" s="101"/>
      <c r="C35" s="100"/>
      <c r="D35" s="127"/>
      <c r="E35" s="116"/>
      <c r="F35" s="75"/>
      <c r="G35" s="52"/>
      <c r="H35" s="98"/>
      <c r="I35" s="63"/>
      <c r="J35" s="62"/>
      <c r="K35" s="62"/>
    </row>
    <row r="36" spans="1:11">
      <c r="A36" s="101"/>
      <c r="B36" s="101"/>
      <c r="C36" s="100"/>
      <c r="D36" s="127"/>
      <c r="E36" s="74"/>
      <c r="F36" s="75"/>
      <c r="G36" s="52"/>
      <c r="H36" s="98"/>
      <c r="I36" s="63"/>
      <c r="J36" s="62"/>
      <c r="K36" s="62"/>
    </row>
    <row r="37" spans="1:11">
      <c r="A37" s="101"/>
      <c r="B37" s="127"/>
      <c r="C37" s="100"/>
      <c r="D37" s="127"/>
      <c r="E37" s="74"/>
      <c r="F37" s="75"/>
      <c r="G37" s="52"/>
      <c r="H37" s="97"/>
      <c r="I37" s="63"/>
      <c r="J37" s="62"/>
      <c r="K37" s="62"/>
    </row>
    <row r="38" spans="1:11">
      <c r="A38" s="101"/>
      <c r="B38" s="90"/>
      <c r="C38" s="100"/>
      <c r="D38" s="127"/>
      <c r="E38" s="52"/>
      <c r="F38" s="66"/>
      <c r="G38" s="52"/>
      <c r="H38" s="98"/>
      <c r="I38" s="63"/>
      <c r="J38" s="62"/>
      <c r="K38" s="62"/>
    </row>
    <row r="39" spans="1:11">
      <c r="A39" s="101"/>
      <c r="B39" s="91"/>
      <c r="C39" s="100"/>
      <c r="D39" s="127"/>
      <c r="E39" s="52"/>
      <c r="F39" s="66"/>
      <c r="G39" s="52"/>
      <c r="H39" s="130"/>
      <c r="I39" s="63"/>
      <c r="J39" s="62"/>
      <c r="K39" s="62"/>
    </row>
    <row r="40" spans="1:11">
      <c r="A40" s="101"/>
      <c r="B40" s="101"/>
      <c r="C40" s="100"/>
      <c r="D40" s="127"/>
      <c r="E40" s="74"/>
      <c r="F40" s="66"/>
      <c r="G40" s="52"/>
      <c r="H40" s="97"/>
      <c r="I40" s="63"/>
      <c r="J40" s="62"/>
      <c r="K40" s="62"/>
    </row>
    <row r="41" spans="1:11">
      <c r="A41" s="101"/>
      <c r="B41" s="127"/>
      <c r="C41" s="100"/>
      <c r="D41" s="127"/>
      <c r="E41" s="52"/>
      <c r="F41" s="66"/>
      <c r="G41" s="52"/>
      <c r="H41" s="97"/>
      <c r="I41" s="63"/>
      <c r="J41" s="62"/>
      <c r="K41" s="62"/>
    </row>
    <row r="42" spans="1:11">
      <c r="A42" s="101"/>
      <c r="B42" s="76"/>
      <c r="C42" s="76"/>
      <c r="D42" s="104"/>
      <c r="E42" s="52"/>
      <c r="F42" s="66"/>
      <c r="G42" s="52"/>
      <c r="H42" s="97"/>
      <c r="I42" s="63"/>
      <c r="J42" s="62"/>
      <c r="K42" s="62"/>
    </row>
    <row r="43" spans="1:11">
      <c r="A43" s="101"/>
      <c r="B43" s="76"/>
      <c r="C43" s="76"/>
      <c r="D43" s="104"/>
      <c r="E43" s="52"/>
      <c r="F43" s="66"/>
      <c r="G43" s="52"/>
      <c r="H43" s="97"/>
      <c r="I43" s="63"/>
      <c r="J43" s="62"/>
      <c r="K43" s="62"/>
    </row>
    <row r="44" spans="1:11">
      <c r="A44" s="101"/>
      <c r="B44" s="76"/>
      <c r="C44" s="76"/>
      <c r="D44" s="104"/>
      <c r="E44" s="52"/>
      <c r="F44" s="129"/>
      <c r="G44" s="52"/>
      <c r="H44" s="152"/>
      <c r="I44" s="63"/>
      <c r="J44" s="62"/>
      <c r="K44" s="62"/>
    </row>
    <row r="45" spans="1:11">
      <c r="A45" s="101"/>
      <c r="B45" s="76"/>
      <c r="C45" s="76"/>
      <c r="D45" s="104"/>
      <c r="E45" s="52"/>
      <c r="F45" s="129"/>
      <c r="G45" s="52"/>
      <c r="H45" s="97"/>
      <c r="I45" s="63"/>
      <c r="J45" s="62"/>
      <c r="K45" s="62"/>
    </row>
    <row r="46" spans="1:11">
      <c r="A46" s="101"/>
      <c r="B46" s="76"/>
      <c r="C46" s="76"/>
      <c r="D46" s="104"/>
      <c r="E46" s="52"/>
      <c r="F46" s="129"/>
      <c r="G46" s="52"/>
      <c r="H46" s="97"/>
      <c r="I46" s="63"/>
      <c r="J46" s="62"/>
      <c r="K46" s="62"/>
    </row>
    <row r="47" spans="1:11">
      <c r="A47" s="101"/>
      <c r="B47" s="76"/>
      <c r="C47" s="76"/>
      <c r="D47" s="101"/>
      <c r="E47" s="52"/>
      <c r="F47" s="75"/>
      <c r="G47" s="52"/>
      <c r="H47" s="97"/>
      <c r="I47" s="63"/>
      <c r="J47" s="62"/>
      <c r="K47" s="62"/>
    </row>
    <row r="48" spans="1:11">
      <c r="A48" s="101"/>
      <c r="B48" s="101"/>
      <c r="C48" s="76"/>
      <c r="D48" s="101"/>
      <c r="E48" s="52"/>
      <c r="F48" s="75"/>
      <c r="G48" s="52"/>
      <c r="H48" s="97"/>
      <c r="I48" s="63"/>
      <c r="J48" s="62"/>
      <c r="K48" s="62"/>
    </row>
    <row r="49" spans="1:11">
      <c r="A49" s="101"/>
      <c r="B49" s="101"/>
      <c r="C49" s="100"/>
      <c r="D49" s="101"/>
      <c r="E49" s="52"/>
      <c r="F49" s="75"/>
      <c r="G49" s="52"/>
      <c r="H49" s="97"/>
      <c r="I49" s="63"/>
      <c r="J49" s="62"/>
      <c r="K49" s="62"/>
    </row>
    <row r="50" spans="1:11">
      <c r="A50" s="101"/>
      <c r="B50" s="101"/>
      <c r="C50" s="76"/>
      <c r="D50" s="101"/>
      <c r="E50" s="75"/>
      <c r="F50" s="75"/>
      <c r="G50" s="52"/>
      <c r="H50" s="97"/>
      <c r="I50" s="63"/>
      <c r="J50" s="62"/>
      <c r="K50" s="62"/>
    </row>
    <row r="51" spans="1:11">
      <c r="A51" s="101"/>
      <c r="B51" s="101"/>
      <c r="C51" s="76"/>
      <c r="D51" s="101"/>
      <c r="E51" s="75"/>
      <c r="F51" s="75"/>
      <c r="G51" s="52"/>
      <c r="H51" s="97"/>
      <c r="I51" s="63"/>
      <c r="J51" s="62"/>
      <c r="K51" s="62"/>
    </row>
    <row r="52" spans="1:11">
      <c r="A52" s="101"/>
      <c r="B52" s="101"/>
      <c r="C52" s="76"/>
      <c r="D52" s="101"/>
      <c r="E52" s="75"/>
      <c r="F52" s="75"/>
      <c r="G52" s="52"/>
      <c r="H52" s="97"/>
      <c r="I52" s="63"/>
      <c r="J52" s="62"/>
      <c r="K52" s="62"/>
    </row>
    <row r="53" spans="1:11">
      <c r="A53" s="101"/>
      <c r="B53" s="127"/>
      <c r="C53" s="76"/>
      <c r="D53" s="127"/>
      <c r="E53" s="52"/>
      <c r="F53" s="75"/>
      <c r="G53" s="52"/>
      <c r="H53" s="97"/>
      <c r="I53" s="63"/>
      <c r="J53" s="62"/>
      <c r="K53" s="62"/>
    </row>
    <row r="54" spans="1:11">
      <c r="A54" s="101"/>
      <c r="B54" s="127"/>
      <c r="C54" s="76"/>
      <c r="D54" s="127"/>
      <c r="E54" s="52"/>
      <c r="F54" s="75"/>
      <c r="G54" s="52"/>
      <c r="H54" s="97"/>
      <c r="I54" s="63"/>
      <c r="J54" s="62"/>
      <c r="K54" s="62"/>
    </row>
    <row r="55" spans="1:11">
      <c r="A55" s="101"/>
      <c r="B55" s="76"/>
      <c r="C55" s="76"/>
      <c r="D55" s="127"/>
      <c r="E55" s="52"/>
      <c r="F55" s="75"/>
      <c r="G55" s="52"/>
      <c r="H55" s="97"/>
      <c r="I55" s="63"/>
      <c r="J55" s="62"/>
      <c r="K55" s="62"/>
    </row>
    <row r="56" spans="1:11">
      <c r="A56" s="101"/>
      <c r="B56" s="127"/>
      <c r="C56" s="76"/>
      <c r="D56" s="127"/>
      <c r="E56" s="52"/>
      <c r="F56" s="75"/>
      <c r="G56" s="52"/>
      <c r="H56" s="97"/>
      <c r="I56" s="63"/>
      <c r="J56" s="62"/>
      <c r="K56" s="62"/>
    </row>
    <row r="57" spans="1:11">
      <c r="A57" s="101"/>
      <c r="B57" s="90"/>
      <c r="C57" s="131"/>
      <c r="D57" s="127"/>
      <c r="E57" s="52"/>
      <c r="F57" s="75"/>
      <c r="G57" s="52"/>
      <c r="H57" s="97"/>
      <c r="I57" s="63"/>
      <c r="J57" s="62"/>
      <c r="K57" s="62"/>
    </row>
    <row r="58" spans="1:11">
      <c r="A58" s="101"/>
      <c r="B58" s="91"/>
      <c r="C58" s="131"/>
      <c r="D58" s="127"/>
      <c r="E58" s="52"/>
      <c r="F58" s="75"/>
      <c r="G58" s="52"/>
      <c r="H58" s="97"/>
      <c r="I58" s="63"/>
      <c r="J58" s="62"/>
      <c r="K58" s="62"/>
    </row>
    <row r="59" spans="1:11">
      <c r="A59" s="47"/>
      <c r="B59" s="50"/>
      <c r="C59" s="51"/>
      <c r="D59" s="51"/>
      <c r="E59" s="52"/>
      <c r="F59" s="66"/>
      <c r="G59" s="52"/>
      <c r="H59" s="64"/>
      <c r="I59" s="63"/>
      <c r="J59" s="62"/>
      <c r="K59" s="62"/>
    </row>
    <row r="60" spans="1:11">
      <c r="A60" s="90"/>
      <c r="B60" s="90"/>
      <c r="C60" s="117"/>
      <c r="D60" s="118"/>
      <c r="E60" s="66"/>
      <c r="F60" s="66"/>
      <c r="G60" s="52"/>
      <c r="H60" s="97"/>
      <c r="I60" s="63"/>
      <c r="J60" s="62"/>
      <c r="K60" s="62"/>
    </row>
    <row r="61" spans="1:11">
      <c r="A61" s="90"/>
      <c r="B61" s="90"/>
      <c r="C61" s="117"/>
      <c r="D61" s="118"/>
      <c r="E61" s="66"/>
      <c r="F61" s="66"/>
      <c r="G61" s="52"/>
      <c r="H61" s="97"/>
      <c r="I61" s="63"/>
      <c r="J61" s="62"/>
      <c r="K61" s="62"/>
    </row>
    <row r="62" spans="1:11">
      <c r="A62" s="90"/>
      <c r="B62" s="90"/>
      <c r="C62" s="117"/>
      <c r="D62" s="118"/>
      <c r="E62" s="66"/>
      <c r="F62" s="66"/>
      <c r="G62" s="52"/>
      <c r="H62" s="97"/>
      <c r="I62" s="63"/>
      <c r="J62" s="62"/>
      <c r="K62" s="62"/>
    </row>
    <row r="63" spans="1:11">
      <c r="A63" s="90"/>
      <c r="B63" s="90"/>
      <c r="C63" s="117"/>
      <c r="D63" s="118"/>
      <c r="E63" s="66"/>
      <c r="F63" s="66"/>
      <c r="G63" s="52"/>
      <c r="H63" s="97"/>
      <c r="I63" s="63"/>
      <c r="J63" s="62"/>
      <c r="K63" s="62"/>
    </row>
    <row r="64" spans="1:11">
      <c r="A64" s="91"/>
      <c r="B64" s="91"/>
      <c r="C64" s="119"/>
      <c r="D64" s="120"/>
      <c r="E64" s="66"/>
      <c r="F64" s="66"/>
      <c r="G64" s="52"/>
      <c r="H64" s="97"/>
      <c r="I64" s="63"/>
      <c r="J64" s="62"/>
      <c r="K64" s="62"/>
    </row>
    <row r="65" spans="1:11">
      <c r="A65" s="90"/>
      <c r="B65" s="90"/>
      <c r="C65" s="117"/>
      <c r="D65" s="117"/>
      <c r="E65" s="66"/>
      <c r="F65" s="66"/>
      <c r="G65" s="52"/>
      <c r="H65" s="97"/>
      <c r="I65" s="63"/>
      <c r="J65" s="62"/>
      <c r="K65" s="62"/>
    </row>
    <row r="66" spans="1:11">
      <c r="A66" s="90"/>
      <c r="B66" s="90"/>
      <c r="C66" s="117"/>
      <c r="D66" s="117"/>
      <c r="E66" s="66"/>
      <c r="F66" s="66"/>
      <c r="G66" s="52"/>
      <c r="H66" s="97"/>
      <c r="I66" s="63"/>
      <c r="J66" s="62"/>
      <c r="K66" s="62"/>
    </row>
    <row r="67" spans="1:11">
      <c r="A67" s="90"/>
      <c r="B67" s="90"/>
      <c r="C67" s="117"/>
      <c r="D67" s="117"/>
      <c r="E67" s="66"/>
      <c r="F67" s="66"/>
      <c r="G67" s="52"/>
      <c r="H67" s="97"/>
      <c r="I67" s="63"/>
      <c r="J67" s="62"/>
      <c r="K67" s="62"/>
    </row>
    <row r="68" spans="1:11">
      <c r="A68" s="90"/>
      <c r="B68" s="90"/>
      <c r="C68" s="117"/>
      <c r="D68" s="117"/>
      <c r="E68" s="66"/>
      <c r="F68" s="66"/>
      <c r="G68" s="52"/>
      <c r="H68" s="97"/>
      <c r="I68" s="63"/>
      <c r="J68" s="62"/>
      <c r="K68" s="62"/>
    </row>
    <row r="69" spans="1:11">
      <c r="A69" s="90"/>
      <c r="B69" s="90"/>
      <c r="C69" s="117"/>
      <c r="D69" s="117"/>
      <c r="E69" s="66"/>
      <c r="F69" s="66"/>
      <c r="G69" s="52"/>
      <c r="H69" s="97"/>
      <c r="I69" s="63"/>
      <c r="J69" s="62"/>
      <c r="K69" s="62"/>
    </row>
    <row r="70" spans="1:11">
      <c r="A70" s="101"/>
      <c r="B70" s="132"/>
      <c r="C70" s="121"/>
      <c r="D70" s="131"/>
      <c r="E70" s="66"/>
      <c r="F70" s="66"/>
      <c r="G70" s="52"/>
      <c r="H70" s="97"/>
      <c r="I70" s="63"/>
      <c r="J70" s="62"/>
      <c r="K70" s="62"/>
    </row>
    <row r="71" spans="1:11">
      <c r="A71" s="101"/>
      <c r="B71" s="76"/>
      <c r="C71" s="83"/>
      <c r="D71" s="81"/>
      <c r="E71" s="74"/>
      <c r="F71" s="105"/>
      <c r="G71" s="74"/>
      <c r="H71" s="92"/>
      <c r="I71" s="77"/>
      <c r="J71" s="62"/>
      <c r="K71" s="102"/>
    </row>
    <row r="72" spans="1:11">
      <c r="A72" s="101"/>
      <c r="B72" s="76"/>
      <c r="C72" s="83"/>
      <c r="D72" s="81"/>
      <c r="E72" s="74"/>
      <c r="F72" s="105"/>
      <c r="G72" s="74"/>
      <c r="H72" s="92"/>
      <c r="I72" s="77"/>
      <c r="J72" s="62"/>
      <c r="K72" s="102"/>
    </row>
    <row r="73" spans="1:11">
      <c r="A73" s="101"/>
      <c r="B73" s="76"/>
      <c r="C73" s="83"/>
      <c r="D73" s="81"/>
      <c r="E73" s="74"/>
      <c r="F73" s="105"/>
      <c r="G73" s="74"/>
      <c r="H73" s="92"/>
      <c r="I73" s="77"/>
      <c r="J73" s="62"/>
      <c r="K73" s="102"/>
    </row>
    <row r="74" spans="1:11">
      <c r="A74" s="101"/>
      <c r="B74" s="76"/>
      <c r="C74" s="83"/>
      <c r="D74" s="81"/>
      <c r="E74" s="74"/>
      <c r="F74" s="105"/>
      <c r="G74" s="74"/>
      <c r="H74" s="92"/>
      <c r="I74" s="77"/>
      <c r="J74" s="62"/>
      <c r="K74" s="102"/>
    </row>
    <row r="75" spans="1:11">
      <c r="A75" s="101"/>
      <c r="B75" s="76"/>
      <c r="C75" s="83"/>
      <c r="D75" s="81"/>
      <c r="E75" s="74"/>
      <c r="F75" s="105"/>
      <c r="G75" s="74"/>
      <c r="H75" s="92"/>
      <c r="I75" s="77"/>
      <c r="J75" s="62"/>
      <c r="K75" s="102"/>
    </row>
    <row r="76" spans="1:11">
      <c r="A76" s="101"/>
      <c r="B76" s="76"/>
      <c r="C76" s="104"/>
      <c r="D76" s="81"/>
      <c r="E76" s="75"/>
      <c r="F76" s="108"/>
      <c r="G76" s="74"/>
      <c r="H76" s="92"/>
      <c r="I76" s="109"/>
      <c r="J76" s="62"/>
      <c r="K76" s="102"/>
    </row>
    <row r="77" spans="1:11">
      <c r="A77" s="101"/>
      <c r="B77" s="76"/>
      <c r="C77" s="83"/>
      <c r="D77" s="81"/>
      <c r="E77" s="74"/>
      <c r="F77" s="105"/>
      <c r="G77" s="74"/>
      <c r="H77" s="92"/>
      <c r="I77" s="77"/>
      <c r="J77" s="62"/>
      <c r="K77" s="102"/>
    </row>
    <row r="78" spans="1:11">
      <c r="A78" s="101"/>
      <c r="B78" s="76"/>
      <c r="C78" s="83"/>
      <c r="D78" s="81"/>
      <c r="E78" s="74"/>
      <c r="F78" s="105"/>
      <c r="G78" s="74"/>
      <c r="H78" s="110"/>
      <c r="I78" s="76"/>
      <c r="J78" s="62"/>
      <c r="K78" s="102"/>
    </row>
    <row r="79" spans="1:11">
      <c r="A79" s="101"/>
      <c r="B79" s="76"/>
      <c r="C79" s="104"/>
      <c r="D79" s="82"/>
      <c r="E79" s="111"/>
      <c r="F79" s="112"/>
      <c r="G79" s="111"/>
      <c r="H79" s="92"/>
      <c r="I79" s="102"/>
      <c r="J79" s="62"/>
      <c r="K79" s="102"/>
    </row>
    <row r="80" spans="1:11">
      <c r="A80" s="101"/>
      <c r="B80" s="76"/>
      <c r="C80" s="104"/>
      <c r="D80" s="81"/>
      <c r="E80" s="75"/>
      <c r="F80" s="108"/>
      <c r="G80" s="74"/>
      <c r="H80" s="92"/>
      <c r="I80" s="102"/>
      <c r="J80" s="62"/>
      <c r="K80" s="102"/>
    </row>
    <row r="81" spans="1:11">
      <c r="A81" s="101"/>
      <c r="B81" s="76"/>
      <c r="C81" s="104"/>
      <c r="D81" s="81"/>
      <c r="E81" s="74"/>
      <c r="F81" s="105"/>
      <c r="G81" s="74"/>
      <c r="H81" s="92"/>
      <c r="I81" s="78"/>
      <c r="J81" s="62"/>
      <c r="K81" s="102"/>
    </row>
    <row r="82" spans="1:11">
      <c r="A82" s="101"/>
      <c r="B82" s="76"/>
      <c r="C82" s="83"/>
      <c r="D82" s="81"/>
      <c r="E82" s="74"/>
      <c r="F82" s="105"/>
      <c r="G82" s="74"/>
      <c r="H82" s="92"/>
      <c r="I82" s="84"/>
      <c r="J82" s="62"/>
      <c r="K82" s="102"/>
    </row>
    <row r="83" spans="1:11">
      <c r="A83" s="101"/>
      <c r="B83" s="76"/>
      <c r="C83" s="104"/>
      <c r="D83" s="81"/>
      <c r="E83" s="74"/>
      <c r="F83" s="105"/>
      <c r="G83" s="74"/>
      <c r="H83" s="92"/>
      <c r="I83" s="109"/>
      <c r="J83" s="62"/>
      <c r="K83" s="102"/>
    </row>
    <row r="84" spans="1:11">
      <c r="A84" s="101"/>
      <c r="B84" s="76"/>
      <c r="C84" s="83"/>
      <c r="D84" s="81"/>
      <c r="E84" s="74"/>
      <c r="F84" s="105"/>
      <c r="G84" s="74"/>
      <c r="H84" s="97"/>
      <c r="I84" s="79"/>
      <c r="J84" s="62"/>
      <c r="K84" s="102"/>
    </row>
    <row r="85" spans="1:11">
      <c r="A85" s="101"/>
      <c r="B85" s="76"/>
      <c r="C85" s="104"/>
      <c r="D85" s="81"/>
      <c r="E85" s="74"/>
      <c r="F85" s="105"/>
      <c r="G85" s="74"/>
      <c r="H85" s="92"/>
      <c r="I85" s="109"/>
      <c r="J85" s="62"/>
      <c r="K85" s="102"/>
    </row>
    <row r="86" spans="1:11">
      <c r="A86" s="101"/>
      <c r="B86" s="76"/>
      <c r="C86" s="104"/>
      <c r="D86" s="81"/>
      <c r="E86" s="75"/>
      <c r="F86" s="108"/>
      <c r="G86" s="74"/>
      <c r="H86" s="92"/>
      <c r="I86" s="102"/>
      <c r="J86" s="62"/>
      <c r="K86" s="102"/>
    </row>
    <row r="87" spans="1:11">
      <c r="A87" s="101"/>
      <c r="B87" s="76"/>
      <c r="C87" s="104"/>
      <c r="D87" s="81"/>
      <c r="E87" s="75"/>
      <c r="F87" s="108"/>
      <c r="G87" s="74"/>
      <c r="H87" s="92"/>
      <c r="I87" s="102"/>
      <c r="J87" s="62"/>
      <c r="K87" s="102"/>
    </row>
    <row r="88" spans="1:11">
      <c r="A88" s="101"/>
      <c r="B88" s="76"/>
      <c r="C88" s="83"/>
      <c r="D88" s="81"/>
      <c r="E88" s="74"/>
      <c r="F88" s="105"/>
      <c r="G88" s="74"/>
      <c r="H88" s="97"/>
      <c r="I88" s="79"/>
      <c r="J88" s="62"/>
      <c r="K88" s="102"/>
    </row>
    <row r="89" spans="1:11">
      <c r="A89" s="101"/>
      <c r="B89" s="76"/>
      <c r="C89" s="104"/>
      <c r="D89" s="81"/>
      <c r="E89" s="74"/>
      <c r="F89" s="105"/>
      <c r="G89" s="74"/>
      <c r="H89" s="85"/>
      <c r="I89" s="109"/>
      <c r="J89" s="62"/>
      <c r="K89" s="102"/>
    </row>
    <row r="90" spans="1:11">
      <c r="A90" s="101"/>
      <c r="B90" s="76"/>
      <c r="C90" s="83"/>
      <c r="D90" s="81"/>
      <c r="E90" s="74"/>
      <c r="F90" s="105"/>
      <c r="G90" s="74"/>
      <c r="H90" s="92"/>
      <c r="I90" s="102"/>
      <c r="J90" s="62"/>
      <c r="K90" s="102"/>
    </row>
    <row r="91" spans="1:11">
      <c r="A91" s="101"/>
      <c r="B91" s="76"/>
      <c r="C91" s="83"/>
      <c r="D91" s="81"/>
      <c r="E91" s="74"/>
      <c r="F91" s="105"/>
      <c r="G91" s="74"/>
      <c r="H91" s="92"/>
      <c r="I91" s="102"/>
      <c r="J91" s="62"/>
      <c r="K91" s="102"/>
    </row>
    <row r="92" spans="1:11">
      <c r="A92" s="101"/>
      <c r="B92" s="76"/>
      <c r="C92" s="83"/>
      <c r="D92" s="81"/>
      <c r="E92" s="74"/>
      <c r="F92" s="105"/>
      <c r="G92" s="74"/>
      <c r="H92" s="92"/>
      <c r="I92" s="102"/>
      <c r="J92" s="62"/>
      <c r="K92" s="102"/>
    </row>
    <row r="93" spans="1:11">
      <c r="A93" s="101"/>
      <c r="B93" s="76"/>
      <c r="C93" s="104"/>
      <c r="D93" s="81"/>
      <c r="E93" s="74"/>
      <c r="F93" s="105"/>
      <c r="G93" s="74"/>
      <c r="H93" s="92"/>
      <c r="I93" s="102"/>
      <c r="J93" s="62"/>
      <c r="K93" s="102"/>
    </row>
    <row r="94" spans="1:11">
      <c r="A94" s="101"/>
      <c r="B94" s="76"/>
      <c r="C94" s="2"/>
      <c r="D94" s="81"/>
      <c r="E94" s="74"/>
      <c r="F94" s="105"/>
      <c r="G94" s="74"/>
      <c r="H94" s="86"/>
      <c r="I94" s="77"/>
      <c r="J94" s="102"/>
      <c r="K94" s="102"/>
    </row>
    <row r="95" spans="1:11">
      <c r="A95" s="101"/>
      <c r="B95" s="76"/>
      <c r="C95" s="83"/>
      <c r="D95" s="81"/>
      <c r="E95" s="74"/>
      <c r="F95" s="105"/>
      <c r="G95" s="74"/>
      <c r="H95" s="97"/>
      <c r="I95" s="79"/>
      <c r="J95" s="62"/>
      <c r="K95" s="102"/>
    </row>
    <row r="96" spans="1:11">
      <c r="A96" s="101"/>
      <c r="B96" s="76"/>
      <c r="C96" s="83"/>
      <c r="D96" s="81"/>
      <c r="E96" s="74"/>
      <c r="F96" s="105"/>
      <c r="G96" s="74"/>
      <c r="H96" s="97"/>
      <c r="I96" s="79"/>
      <c r="J96" s="62"/>
      <c r="K96" s="102"/>
    </row>
    <row r="97" spans="1:11">
      <c r="A97" s="101"/>
      <c r="B97" s="76"/>
      <c r="C97" s="104"/>
      <c r="D97" s="81"/>
      <c r="E97" s="74"/>
      <c r="F97" s="105"/>
      <c r="G97" s="74"/>
      <c r="H97" s="110"/>
      <c r="I97" s="109"/>
      <c r="J97" s="62"/>
      <c r="K97" s="102"/>
    </row>
    <row r="98" spans="1:11">
      <c r="A98" s="101"/>
      <c r="B98" s="76"/>
      <c r="C98" s="83"/>
      <c r="D98" s="82"/>
      <c r="E98" s="111"/>
      <c r="F98" s="112"/>
      <c r="G98" s="111"/>
      <c r="H98" s="92"/>
      <c r="I98" s="78"/>
      <c r="J98" s="62"/>
      <c r="K98" s="102"/>
    </row>
    <row r="99" spans="1:11">
      <c r="A99" s="101"/>
      <c r="B99" s="76"/>
      <c r="C99" s="104"/>
      <c r="D99" s="81"/>
      <c r="E99" s="74"/>
      <c r="F99" s="105"/>
      <c r="G99" s="74"/>
      <c r="H99" s="92"/>
      <c r="I99" s="109"/>
      <c r="J99" s="62"/>
      <c r="K99" s="102"/>
    </row>
    <row r="100" spans="1:11">
      <c r="A100" s="101"/>
      <c r="B100" s="76"/>
      <c r="C100" s="83"/>
      <c r="D100" s="81"/>
      <c r="E100" s="74"/>
      <c r="F100" s="105"/>
      <c r="G100" s="74"/>
      <c r="H100" s="92"/>
      <c r="I100" s="102"/>
      <c r="J100" s="62"/>
      <c r="K100" s="102"/>
    </row>
    <row r="101" spans="1:11">
      <c r="A101" s="101"/>
      <c r="B101" s="76"/>
      <c r="C101" s="83"/>
      <c r="D101" s="81"/>
      <c r="E101" s="74"/>
      <c r="F101" s="105"/>
      <c r="G101" s="74"/>
      <c r="H101" s="92"/>
      <c r="I101" s="102"/>
      <c r="J101" s="62"/>
      <c r="K101" s="102"/>
    </row>
    <row r="102" spans="1:11">
      <c r="A102" s="101"/>
      <c r="B102" s="76"/>
      <c r="C102" s="83"/>
      <c r="D102" s="81"/>
      <c r="E102" s="74"/>
      <c r="F102" s="105"/>
      <c r="G102" s="74"/>
      <c r="H102" s="92"/>
      <c r="I102" s="102"/>
      <c r="J102" s="62"/>
      <c r="K102" s="102"/>
    </row>
    <row r="103" spans="1:11">
      <c r="A103" s="101"/>
      <c r="B103" s="76"/>
      <c r="C103" s="83"/>
      <c r="D103" s="81"/>
      <c r="E103" s="74"/>
      <c r="F103" s="105"/>
      <c r="G103" s="74"/>
      <c r="H103" s="92"/>
      <c r="I103" s="102"/>
      <c r="J103" s="62"/>
      <c r="K103" s="102"/>
    </row>
    <row r="104" spans="1:11">
      <c r="A104" s="101"/>
      <c r="B104" s="76"/>
      <c r="C104" s="83"/>
      <c r="D104" s="81"/>
      <c r="E104" s="74"/>
      <c r="F104" s="105"/>
      <c r="G104" s="74"/>
      <c r="H104" s="92"/>
      <c r="I104" s="102"/>
      <c r="J104" s="62"/>
      <c r="K104" s="102"/>
    </row>
    <row r="105" spans="1:11">
      <c r="A105" s="101"/>
      <c r="B105" s="76"/>
      <c r="C105" s="83"/>
      <c r="D105" s="81"/>
      <c r="E105" s="74"/>
      <c r="F105" s="105"/>
      <c r="G105" s="74"/>
      <c r="H105" s="92"/>
      <c r="I105" s="77"/>
      <c r="J105" s="62"/>
      <c r="K105" s="102"/>
    </row>
    <row r="106" spans="1:11">
      <c r="A106" s="101"/>
      <c r="B106" s="76"/>
      <c r="C106" s="83"/>
      <c r="D106" s="81"/>
      <c r="E106" s="74"/>
      <c r="F106" s="105"/>
      <c r="G106" s="74"/>
      <c r="H106" s="92"/>
      <c r="I106" s="109"/>
      <c r="J106" s="62"/>
      <c r="K106" s="102"/>
    </row>
    <row r="107" spans="1:11">
      <c r="A107" s="101"/>
      <c r="B107" s="76"/>
      <c r="C107" s="104"/>
      <c r="D107" s="81"/>
      <c r="E107" s="74"/>
      <c r="F107" s="105"/>
      <c r="G107" s="74"/>
      <c r="H107" s="92"/>
      <c r="I107" s="102"/>
      <c r="J107" s="62"/>
      <c r="K107" s="102"/>
    </row>
    <row r="108" spans="1:11">
      <c r="A108" s="101"/>
      <c r="B108" s="76"/>
      <c r="C108" s="104"/>
      <c r="D108" s="81"/>
      <c r="E108" s="74"/>
      <c r="F108" s="105"/>
      <c r="G108" s="74"/>
      <c r="H108" s="92"/>
      <c r="I108" s="102"/>
      <c r="J108" s="62"/>
      <c r="K108" s="102"/>
    </row>
    <row r="109" spans="1:11">
      <c r="A109" s="101"/>
      <c r="B109" s="76"/>
      <c r="C109" s="104"/>
      <c r="D109" s="81"/>
      <c r="E109" s="74"/>
      <c r="F109" s="105"/>
      <c r="G109" s="74"/>
      <c r="H109" s="92"/>
      <c r="I109" s="102"/>
      <c r="J109" s="62"/>
      <c r="K109" s="102"/>
    </row>
    <row r="110" spans="1:11">
      <c r="A110" s="101"/>
      <c r="B110" s="76"/>
      <c r="C110" s="104"/>
      <c r="D110" s="81"/>
      <c r="E110" s="74"/>
      <c r="F110" s="105"/>
      <c r="G110" s="74"/>
      <c r="H110" s="92"/>
      <c r="I110" s="102"/>
      <c r="J110" s="62"/>
      <c r="K110" s="102"/>
    </row>
    <row r="111" spans="1:11">
      <c r="A111" s="101"/>
      <c r="B111" s="76"/>
      <c r="C111" s="104"/>
      <c r="D111" s="81"/>
      <c r="E111" s="74"/>
      <c r="F111" s="105"/>
      <c r="G111" s="74"/>
      <c r="H111" s="92"/>
      <c r="I111" s="102"/>
      <c r="J111" s="62"/>
      <c r="K111" s="102"/>
    </row>
    <row r="112" spans="1:11">
      <c r="A112" s="101"/>
      <c r="B112" s="76"/>
      <c r="C112" s="104"/>
      <c r="D112" s="81"/>
      <c r="E112" s="74"/>
      <c r="F112" s="105"/>
      <c r="G112" s="74"/>
      <c r="H112" s="92"/>
      <c r="I112" s="78"/>
      <c r="J112" s="62"/>
      <c r="K112" s="102"/>
    </row>
    <row r="113" spans="1:11">
      <c r="A113" s="101"/>
      <c r="B113" s="76"/>
      <c r="C113" s="83"/>
      <c r="D113" s="81"/>
      <c r="E113" s="74"/>
      <c r="F113" s="105"/>
      <c r="G113" s="74"/>
      <c r="H113" s="92"/>
      <c r="I113" s="109"/>
      <c r="J113" s="62"/>
      <c r="K113" s="102"/>
    </row>
    <row r="114" spans="1:11">
      <c r="A114" s="101"/>
      <c r="B114" s="76"/>
      <c r="C114" s="2"/>
      <c r="D114" s="81"/>
      <c r="E114" s="74"/>
      <c r="F114" s="105"/>
      <c r="G114" s="74"/>
      <c r="H114" s="92"/>
      <c r="I114" s="77"/>
      <c r="J114" s="62"/>
      <c r="K114" s="102"/>
    </row>
    <row r="115" spans="1:11">
      <c r="A115" s="101"/>
      <c r="B115" s="76"/>
      <c r="C115" s="83"/>
      <c r="D115" s="81"/>
      <c r="E115" s="74"/>
      <c r="F115" s="105"/>
      <c r="G115" s="74"/>
      <c r="H115" s="92"/>
      <c r="I115" s="77"/>
      <c r="J115" s="62"/>
      <c r="K115" s="102"/>
    </row>
    <row r="116" spans="1:11">
      <c r="A116" s="101"/>
      <c r="B116" s="76"/>
      <c r="C116" s="2"/>
      <c r="D116" s="81"/>
      <c r="E116" s="74"/>
      <c r="F116" s="105"/>
      <c r="G116" s="74"/>
      <c r="H116" s="92"/>
      <c r="I116" s="77"/>
      <c r="J116" s="62"/>
      <c r="K116" s="102"/>
    </row>
    <row r="117" spans="1:11">
      <c r="A117" s="101"/>
      <c r="B117" s="76"/>
      <c r="C117" s="83"/>
      <c r="D117" s="81"/>
      <c r="E117" s="74"/>
      <c r="F117" s="105"/>
      <c r="G117" s="74"/>
      <c r="H117" s="92"/>
      <c r="I117" s="109"/>
      <c r="J117" s="62"/>
      <c r="K117" s="102"/>
    </row>
    <row r="118" spans="1:11">
      <c r="A118" s="101"/>
      <c r="B118" s="76"/>
      <c r="C118" s="83"/>
      <c r="D118" s="81"/>
      <c r="E118" s="74"/>
      <c r="F118" s="105"/>
      <c r="G118" s="74"/>
      <c r="H118" s="92"/>
      <c r="I118" s="77"/>
      <c r="J118" s="62"/>
      <c r="K118" s="102"/>
    </row>
    <row r="119" spans="1:11">
      <c r="A119" s="101"/>
      <c r="B119" s="76"/>
      <c r="C119" s="83"/>
      <c r="D119" s="81"/>
      <c r="E119" s="74"/>
      <c r="F119" s="105"/>
      <c r="G119" s="74"/>
      <c r="H119" s="92"/>
      <c r="I119" s="77"/>
      <c r="J119" s="102"/>
      <c r="K119" s="102"/>
    </row>
    <row r="120" spans="1:11">
      <c r="A120" s="101"/>
      <c r="B120" s="76"/>
      <c r="C120" s="83"/>
      <c r="D120" s="81"/>
      <c r="E120" s="74"/>
      <c r="F120" s="105"/>
      <c r="G120" s="74"/>
      <c r="H120" s="92"/>
      <c r="I120" s="109"/>
      <c r="J120" s="102"/>
      <c r="K120" s="102"/>
    </row>
    <row r="121" spans="1:11">
      <c r="A121" s="101"/>
      <c r="B121" s="76"/>
      <c r="C121" s="83"/>
      <c r="D121" s="87"/>
      <c r="E121" s="75"/>
      <c r="F121" s="75"/>
      <c r="G121" s="88"/>
      <c r="H121" s="110"/>
      <c r="I121" s="102"/>
      <c r="J121" s="102"/>
      <c r="K121" s="102"/>
    </row>
    <row r="122" spans="1:11">
      <c r="A122" s="101"/>
      <c r="B122" s="76"/>
      <c r="C122" s="83"/>
      <c r="D122" s="82"/>
      <c r="E122" s="111"/>
      <c r="F122" s="112"/>
      <c r="G122" s="111"/>
      <c r="H122" s="92"/>
      <c r="I122" s="102"/>
      <c r="J122" s="102"/>
      <c r="K122" s="102"/>
    </row>
    <row r="123" spans="1:11">
      <c r="A123" s="101"/>
      <c r="B123" s="76"/>
      <c r="C123" s="83"/>
      <c r="D123" s="87"/>
      <c r="E123" s="75"/>
      <c r="F123" s="75"/>
      <c r="G123" s="88"/>
      <c r="H123" s="110"/>
      <c r="I123" s="102"/>
      <c r="J123" s="102"/>
      <c r="K123" s="102"/>
    </row>
    <row r="124" spans="1:11">
      <c r="A124" s="101"/>
      <c r="B124" s="76"/>
      <c r="C124" s="83"/>
      <c r="D124" s="82"/>
      <c r="E124" s="111"/>
      <c r="F124" s="112"/>
      <c r="G124" s="111"/>
      <c r="H124" s="92"/>
      <c r="I124" s="102"/>
      <c r="J124" s="102"/>
      <c r="K124" s="102"/>
    </row>
    <row r="125" spans="1:11">
      <c r="A125" s="101"/>
      <c r="B125" s="76"/>
      <c r="C125" s="83"/>
      <c r="D125" s="81"/>
      <c r="E125" s="74"/>
      <c r="F125" s="105"/>
      <c r="G125" s="74"/>
      <c r="H125" s="92"/>
      <c r="I125" s="102"/>
      <c r="J125" s="102"/>
      <c r="K125" s="102"/>
    </row>
    <row r="126" spans="1:11">
      <c r="A126" s="101"/>
      <c r="B126" s="76"/>
      <c r="C126" s="83"/>
      <c r="D126" s="81"/>
      <c r="E126" s="74"/>
      <c r="F126" s="105"/>
      <c r="G126" s="74"/>
      <c r="H126" s="92"/>
      <c r="I126" s="102"/>
      <c r="J126" s="102"/>
      <c r="K126" s="102"/>
    </row>
    <row r="127" spans="1:11">
      <c r="A127" s="101"/>
      <c r="B127" s="76"/>
      <c r="C127" s="83"/>
      <c r="D127" s="81"/>
      <c r="E127" s="74"/>
      <c r="F127" s="105"/>
      <c r="G127" s="74"/>
      <c r="H127" s="92"/>
      <c r="I127" s="102"/>
      <c r="J127" s="102"/>
      <c r="K127" s="102"/>
    </row>
    <row r="128" spans="1:11">
      <c r="A128" s="101"/>
      <c r="B128" s="76"/>
      <c r="C128" s="83"/>
      <c r="D128" s="81"/>
      <c r="E128" s="74"/>
      <c r="F128" s="105"/>
      <c r="G128" s="74"/>
      <c r="H128" s="92"/>
      <c r="I128" s="102"/>
      <c r="J128" s="102"/>
      <c r="K128" s="102"/>
    </row>
    <row r="129" spans="1:11">
      <c r="A129" s="101"/>
      <c r="B129" s="76"/>
      <c r="C129" s="83"/>
      <c r="D129" s="81"/>
      <c r="E129" s="74"/>
      <c r="F129" s="105"/>
      <c r="G129" s="74"/>
      <c r="H129" s="92"/>
      <c r="I129" s="102"/>
      <c r="J129" s="102"/>
      <c r="K129" s="102"/>
    </row>
    <row r="130" spans="1:11">
      <c r="A130" s="101"/>
      <c r="B130" s="76"/>
      <c r="C130" s="2"/>
      <c r="D130" s="81"/>
      <c r="E130" s="74"/>
      <c r="F130" s="105"/>
      <c r="G130" s="74"/>
      <c r="H130" s="92"/>
      <c r="I130" s="84"/>
      <c r="J130" s="102"/>
      <c r="K130" s="102"/>
    </row>
    <row r="131" spans="1:11">
      <c r="A131" s="101"/>
      <c r="B131" s="76"/>
      <c r="C131" s="83"/>
      <c r="D131" s="81"/>
      <c r="E131" s="74"/>
      <c r="F131" s="105"/>
      <c r="G131" s="74"/>
      <c r="H131" s="92"/>
      <c r="I131" s="109"/>
      <c r="J131" s="102"/>
      <c r="K131" s="102"/>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5" stopIfTrue="1">
      <formula>($G42="Fail")</formula>
    </cfRule>
    <cfRule type="expression" dxfId="50" priority="56" stopIfTrue="1">
      <formula>($G42="Pass")</formula>
    </cfRule>
  </conditionalFormatting>
  <conditionalFormatting sqref="A60:D65 C66:D66 A66:A131 B67:D68 C69:D70">
    <cfRule type="expression" dxfId="49" priority="39" stopIfTrue="1">
      <formula>($G60="Fail")</formula>
    </cfRule>
    <cfRule type="expression" dxfId="48" priority="40" stopIfTrue="1">
      <formula>($G60="Pass")</formula>
    </cfRule>
  </conditionalFormatting>
  <conditionalFormatting sqref="A21:G37">
    <cfRule type="expression" dxfId="47" priority="1" stopIfTrue="1">
      <formula>($G21="Fail")</formula>
    </cfRule>
    <cfRule type="expression" dxfId="46" priority="2" stopIfTrue="1">
      <formula>($G21="Pass")</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5" stopIfTrue="1">
      <formula>($G13="Fail")</formula>
    </cfRule>
    <cfRule type="expression" dxfId="42" priority="86" stopIfTrue="1">
      <formula>($G13="Pass")</formula>
    </cfRule>
    <cfRule type="expression" dxfId="41" priority="87" stopIfTrue="1">
      <formula>($G13="Fail")</formula>
    </cfRule>
    <cfRule type="expression" dxfId="40" priority="88" stopIfTrue="1">
      <formula>($G13="Pass")</formula>
    </cfRule>
  </conditionalFormatting>
  <conditionalFormatting sqref="B13:B15">
    <cfRule type="expression" dxfId="39" priority="79" stopIfTrue="1">
      <formula>($G13="Fail")</formula>
    </cfRule>
    <cfRule type="expression" dxfId="38" priority="80" stopIfTrue="1">
      <formula>($G13="Pass")</formula>
    </cfRule>
  </conditionalFormatting>
  <conditionalFormatting sqref="B13:B20">
    <cfRule type="expression" dxfId="37" priority="95" stopIfTrue="1">
      <formula>($G13="Fail")</formula>
    </cfRule>
    <cfRule type="expression" dxfId="36" priority="96" stopIfTrue="1">
      <formula>($G13="Pass")</formula>
    </cfRule>
  </conditionalFormatting>
  <conditionalFormatting sqref="B53:B58">
    <cfRule type="expression" dxfId="35" priority="45" stopIfTrue="1">
      <formula>($G53="Fail")</formula>
    </cfRule>
    <cfRule type="expression" dxfId="34" priority="46" stopIfTrue="1">
      <formula>($G53="Pass")</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9" stopIfTrue="1">
      <formula>($G69="Fail")</formula>
    </cfRule>
    <cfRule type="expression" dxfId="30" priority="10" stopIfTrue="1">
      <formula>($G69="Pass")</formula>
    </cfRule>
  </conditionalFormatting>
  <conditionalFormatting sqref="B38:C39">
    <cfRule type="expression" dxfId="29" priority="63" stopIfTrue="1">
      <formula>($G38="Fail")</formula>
    </cfRule>
    <cfRule type="expression" dxfId="28" priority="64" stopIfTrue="1">
      <formula>($G38="Pass")</formula>
    </cfRule>
  </conditionalFormatting>
  <conditionalFormatting sqref="B41:C41">
    <cfRule type="expression" dxfId="27" priority="31" stopIfTrue="1">
      <formula>($G41="Fail")</formula>
    </cfRule>
    <cfRule type="expression" dxfId="26" priority="32" stopIfTrue="1">
      <formula>($G41="Pass")</formula>
    </cfRule>
  </conditionalFormatting>
  <conditionalFormatting sqref="B40:F40">
    <cfRule type="expression" dxfId="25" priority="19" stopIfTrue="1">
      <formula>($G40="Fail")</formula>
    </cfRule>
    <cfRule type="expression" dxfId="24" priority="20" stopIfTrue="1">
      <formula>($G40="Pass")</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6">
    <cfRule type="expression" dxfId="15" priority="47" stopIfTrue="1">
      <formula>($G56="Fail")</formula>
    </cfRule>
    <cfRule type="expression" dxfId="14" priority="48" stopIfTrue="1">
      <formula>($G56="Pass")</formula>
    </cfRule>
  </conditionalFormatting>
  <conditionalFormatting sqref="D41:D43">
    <cfRule type="expression" dxfId="13" priority="17" stopIfTrue="1">
      <formula>($G41="Fail")</formula>
    </cfRule>
    <cfRule type="expression" dxfId="12" priority="18" stopIfTrue="1">
      <formula>($G41="Pass")</formula>
    </cfRule>
  </conditionalFormatting>
  <conditionalFormatting sqref="D38:F38">
    <cfRule type="expression" dxfId="11" priority="29" stopIfTrue="1">
      <formula>($G38="Fail")</formula>
    </cfRule>
    <cfRule type="expression" dxfId="10" priority="30" stopIfTrue="1">
      <formula>($G38="Pass")</formula>
    </cfRule>
  </conditionalFormatting>
  <conditionalFormatting sqref="E42:G58">
    <cfRule type="expression" dxfId="9" priority="5" stopIfTrue="1">
      <formula>($G42="Fail")</formula>
    </cfRule>
    <cfRule type="expression" dxfId="8" priority="6" stopIfTrue="1">
      <formula>($G42="Pass")</formula>
    </cfRule>
  </conditionalFormatting>
  <conditionalFormatting sqref="E60:G70">
    <cfRule type="expression" dxfId="7" priority="11" stopIfTrue="1">
      <formula>($G60="Fail")</formula>
    </cfRule>
    <cfRule type="expression" dxfId="6" priority="12" stopIfTrue="1">
      <formula>($G60="Pass")</formula>
    </cfRule>
  </conditionalFormatting>
  <conditionalFormatting sqref="G2:G6 A2:A20 D13:D20">
    <cfRule type="expression" dxfId="5" priority="103" stopIfTrue="1">
      <formula>($G2="Fail")</formula>
    </cfRule>
    <cfRule type="expression" dxfId="4" priority="104" stopIfTrue="1">
      <formula>($G2="Pass")</formula>
    </cfRule>
  </conditionalFormatting>
  <conditionalFormatting sqref="G38:G41">
    <cfRule type="expression" dxfId="3" priority="21" stopIfTrue="1">
      <formula>($G38="Fail")</formula>
    </cfRule>
    <cfRule type="expression" dxfId="2" priority="22" stopIfTrue="1">
      <formula>($G38="Pass")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9" stopIfTrue="1" id="{18021B9E-2512-4986-95CD-91ABA9A402B4}">
            <xm:f>('March Enhancements'!#REF!="Fail")</xm:f>
            <x14:dxf>
              <fill>
                <patternFill>
                  <bgColor rgb="FFFF0000"/>
                </patternFill>
              </fill>
            </x14:dxf>
          </x14:cfRule>
          <x14:cfRule type="expression" priority="60" stopIfTrue="1" id="{C9E56EB7-AAD6-4BF0-AD7D-EEBA03EAACB6}">
            <xm:f>('March Enhancements'!#REF!="Pass")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b19dd56-76cb-4eb4-b732-a7bb000555f0">
      <Terms xmlns="http://schemas.microsoft.com/office/infopath/2007/PartnerControls"/>
    </lcf76f155ced4ddcb4097134ff3c332f>
    <TaxCatchAll xmlns="ebdbc82e-63f9-47eb-a0fa-eea99640aa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1018EFE0A11B46BC00528705C7D237" ma:contentTypeVersion="11" ma:contentTypeDescription="Create a new document." ma:contentTypeScope="" ma:versionID="ebd95197068452cd797f884c5117886c">
  <xsd:schema xmlns:xsd="http://www.w3.org/2001/XMLSchema" xmlns:xs="http://www.w3.org/2001/XMLSchema" xmlns:p="http://schemas.microsoft.com/office/2006/metadata/properties" xmlns:ns2="3b19dd56-76cb-4eb4-b732-a7bb000555f0" xmlns:ns3="ebdbc82e-63f9-47eb-a0fa-eea99640aad4" targetNamespace="http://schemas.microsoft.com/office/2006/metadata/properties" ma:root="true" ma:fieldsID="809e2cf2ae4bdbed8a1475751fc0abb6" ns2:_="" ns3:_="">
    <xsd:import namespace="3b19dd56-76cb-4eb4-b732-a7bb000555f0"/>
    <xsd:import namespace="ebdbc82e-63f9-47eb-a0fa-eea99640aa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19dd56-76cb-4eb4-b732-a7bb000555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9a9150-bad4-4178-8bcd-3c9db978f2f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bdbc82e-63f9-47eb-a0fa-eea99640aa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decce5-a108-44dd-abf9-6ec4b94ec2bf}" ma:internalName="TaxCatchAll" ma:showField="CatchAllData" ma:web="ebdbc82e-63f9-47eb-a0fa-eea99640aa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E644B2-2559-4456-96E7-5EC72762DBD4}"/>
</file>

<file path=customXml/itemProps2.xml><?xml version="1.0" encoding="utf-8"?>
<ds:datastoreItem xmlns:ds="http://schemas.openxmlformats.org/officeDocument/2006/customXml" ds:itemID="{8E8101D3-AA49-4B42-B1EF-353911782D22}"/>
</file>

<file path=customXml/itemProps3.xml><?xml version="1.0" encoding="utf-8"?>
<ds:datastoreItem xmlns:ds="http://schemas.openxmlformats.org/officeDocument/2006/customXml" ds:itemID="{D2ED21D3-0E96-4DDD-B443-1C2BE24A28D0}"/>
</file>

<file path=docProps/app.xml><?xml version="1.0" encoding="utf-8"?>
<Properties xmlns="http://schemas.openxmlformats.org/officeDocument/2006/extended-properties" xmlns:vt="http://schemas.openxmlformats.org/officeDocument/2006/docPropsVTypes">
  <Application>Microsoft Excel Online</Application>
  <Manager/>
  <Company>Capgemini Energy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Allen, David</cp:lastModifiedBy>
  <cp:revision/>
  <dcterms:created xsi:type="dcterms:W3CDTF">2011-01-31T16:58:54Z</dcterms:created>
  <dcterms:modified xsi:type="dcterms:W3CDTF">2026-02-15T13:14:08Z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0x010100091018EFE0A11B46BC00528705C7D237</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