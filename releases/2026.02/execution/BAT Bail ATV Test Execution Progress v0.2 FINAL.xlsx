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24226"/>
  <mc:AlternateContent xmlns:mc="http://schemas.openxmlformats.org/markup-compatibility/2006">
    <mc:Choice Requires="x15">
      <x15ac:absPath xmlns:x15ac="http://schemas.microsoft.com/office/spreadsheetml/2010/11/ac" url="https://justiceuk.sharepoint.com/sites/EMExpansionProgrammeteam/Shared Documents/07. EM Future Service (EMFS)/Implementation Workstream/11. Testing/Test Assurance/Test Plans &amp; Deliverables/2026/2026-02-A - February Release/"/>
    </mc:Choice>
  </mc:AlternateContent>
  <xr:revisionPtr revIDLastSave="5" documentId="8_{F85A49BF-94CA-4921-9773-E4325361601E}" xr6:coauthVersionLast="47" xr6:coauthVersionMax="47" xr10:uidLastSave="{75A719D6-225B-443F-824D-EBD6F492ECDD}"/>
  <bookViews>
    <workbookView xWindow="1740" yWindow="1340" windowWidth="29780" windowHeight="16040" tabRatio="566" activeTab="3" xr2:uid="{C8155761-8FC3-4314-9FB8-C47B4CC04086}"/>
  </bookViews>
  <sheets>
    <sheet name="Version Control" sheetId="17" r:id="rId1"/>
    <sheet name="Summary" sheetId="3" r:id="rId2"/>
    <sheet name="ORDERS" sheetId="1" r:id="rId3"/>
    <sheet name="Bail ATV" sheetId="11" r:id="rId4"/>
    <sheet name="AcquisitiveCrime" sheetId="12" r:id="rId5"/>
    <sheet name="Sheet 4" sheetId="13" r:id="rId6"/>
    <sheet name="Validation" sheetId="10" state="hidden" r:id="rId7"/>
    <sheet name="Defects" sheetId="14" r:id="rId8"/>
    <sheet name="Sheet1" sheetId="16" state="hidden" r:id="rId9"/>
    <sheet name="OVERALL" sheetId="15" r:id="rId10"/>
  </sheets>
  <definedNames>
    <definedName name="_xlnm._FilterDatabase" localSheetId="4" hidden="1">AcquisitiveCrime!$A$1:$M$79</definedName>
    <definedName name="_xlnm._FilterDatabase" localSheetId="3" hidden="1">'Bail ATV'!$A$1:$I$47</definedName>
    <definedName name="_xlnm._FilterDatabase" localSheetId="7" hidden="1">Defects!$A$1:$N$100</definedName>
    <definedName name="_xlnm._FilterDatabase" localSheetId="2" hidden="1">ORDERS!$A$1:$I$106</definedName>
    <definedName name="_xlnm._FilterDatabase" localSheetId="8" hidden="1">Sheet1!$A$5:$M$34</definedName>
    <definedName name="Status">#N/A</definedName>
    <definedName name="statuslist">Validation!$A$1:$A$9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8" i="3" l="1"/>
  <c r="AD17" i="3"/>
  <c r="AD16" i="3"/>
  <c r="AD15" i="3"/>
  <c r="AD14" i="3"/>
  <c r="AD13" i="3"/>
  <c r="AD12" i="3"/>
  <c r="C39" i="3"/>
  <c r="C38" i="3"/>
  <c r="C37" i="3"/>
  <c r="C36" i="3"/>
  <c r="C35" i="3"/>
  <c r="C34" i="3"/>
  <c r="C33" i="3"/>
  <c r="P18" i="3"/>
  <c r="P17" i="3"/>
  <c r="P16" i="3"/>
  <c r="P15" i="3"/>
  <c r="P14" i="3"/>
  <c r="P13" i="3"/>
  <c r="P12" i="3"/>
  <c r="P39" i="3"/>
  <c r="P38" i="3"/>
  <c r="P37" i="3"/>
  <c r="P36" i="3"/>
  <c r="P35" i="3"/>
  <c r="P34" i="3"/>
  <c r="P33" i="3"/>
  <c r="C18" i="3"/>
  <c r="C17" i="3"/>
  <c r="C16" i="3"/>
  <c r="C15" i="3"/>
  <c r="C14" i="3"/>
  <c r="C13" i="3"/>
  <c r="C12" i="3"/>
  <c r="AD7" i="3"/>
  <c r="AD5" i="3"/>
  <c r="AD9" i="3" s="1"/>
  <c r="AF12" i="15"/>
  <c r="AD6" i="3" l="1"/>
  <c r="AD19" i="3"/>
  <c r="AE13" i="3" s="1"/>
  <c r="P28" i="3"/>
  <c r="P26" i="3"/>
  <c r="C28" i="3"/>
  <c r="C26" i="3"/>
  <c r="P7" i="3"/>
  <c r="P5" i="3"/>
  <c r="AE15" i="3" l="1"/>
  <c r="AE17" i="3"/>
  <c r="AE16" i="3"/>
  <c r="AE12" i="3"/>
  <c r="AE14" i="3"/>
  <c r="AE18" i="3"/>
  <c r="C7" i="3"/>
  <c r="C5" i="3"/>
  <c r="P6" i="3"/>
  <c r="P9" i="3"/>
  <c r="P19" i="3"/>
  <c r="Q18" i="3" s="1"/>
  <c r="C27" i="3"/>
  <c r="P27" i="3"/>
  <c r="C30" i="3"/>
  <c r="P30" i="3"/>
  <c r="C40" i="3"/>
  <c r="D34" i="3" s="1"/>
  <c r="P40" i="3"/>
  <c r="Q36" i="3" s="1"/>
  <c r="C9" i="3" l="1"/>
  <c r="Q34" i="3"/>
  <c r="Q35" i="3"/>
  <c r="Q39" i="3"/>
  <c r="Q38" i="3"/>
  <c r="Q37" i="3"/>
  <c r="Q33" i="3"/>
  <c r="D37" i="3"/>
  <c r="D35" i="3"/>
  <c r="D33" i="3"/>
  <c r="D36" i="3"/>
  <c r="D38" i="3"/>
  <c r="D39" i="3"/>
  <c r="Q17" i="3"/>
  <c r="Q15" i="3"/>
  <c r="Q14" i="3"/>
  <c r="Q13" i="3"/>
  <c r="Q16" i="3"/>
  <c r="Q12" i="3"/>
  <c r="C19" i="3"/>
  <c r="D16" i="3" s="1"/>
  <c r="C6" i="3"/>
  <c r="D12" i="3" l="1"/>
  <c r="D18" i="3"/>
  <c r="D15" i="3"/>
  <c r="D17" i="3"/>
  <c r="D14" i="3"/>
  <c r="D1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Barlow, Beverley (UK &amp; Europe)</author>
  </authors>
  <commentList>
    <comment ref="J1" authorId="0" shapeId="0" xr:uid="{E6B557A0-92C0-48A5-A8BA-1D13871E67B9}">
      <text>
        <r>
          <rPr>
            <b/>
            <sz val="9"/>
            <color indexed="81"/>
            <rFont val="Tahoma"/>
            <family val="2"/>
          </rPr>
          <t>Barlow, Beverley (UK &amp; Europe):</t>
        </r>
        <r>
          <rPr>
            <sz val="9"/>
            <color indexed="81"/>
            <rFont val="Tahoma"/>
            <family val="2"/>
          </rPr>
          <t xml:space="preserve">
Open, Fixed, Retest, Training, Closed</t>
        </r>
      </text>
    </comment>
  </commentList>
</comments>
</file>

<file path=xl/sharedStrings.xml><?xml version="1.0" encoding="utf-8"?>
<sst xmlns="http://schemas.openxmlformats.org/spreadsheetml/2006/main" count="871" uniqueCount="391">
  <si>
    <t>Document Information</t>
  </si>
  <si>
    <t>Title</t>
  </si>
  <si>
    <t>Test Execution Progress Log</t>
  </si>
  <si>
    <t>Feb Release - Bail ATV</t>
  </si>
  <si>
    <t>Release Identifier</t>
  </si>
  <si>
    <t xml:space="preserve">RLSE0010196 </t>
  </si>
  <si>
    <t>Author</t>
  </si>
  <si>
    <t>Beverley Barlow</t>
  </si>
  <si>
    <t>Document Version History</t>
  </si>
  <si>
    <t>Version</t>
  </si>
  <si>
    <t>Date</t>
  </si>
  <si>
    <t>Summary of Changes</t>
  </si>
  <si>
    <t>Initial Definition of Test Cases</t>
  </si>
  <si>
    <t>Final Copy for MOJ Review</t>
  </si>
  <si>
    <t>Test Evidence Repository</t>
  </si>
  <si>
    <t>Test Execution Evidence is stored at this link</t>
  </si>
  <si>
    <t>Link to Test Evidence Repository</t>
  </si>
  <si>
    <t>Scope of Release</t>
  </si>
  <si>
    <t>This release implements a Servicenow upgrade</t>
  </si>
  <si>
    <t>Defect/Story ID</t>
  </si>
  <si>
    <t>Type</t>
  </si>
  <si>
    <t>Details</t>
  </si>
  <si>
    <t>STRY0084697</t>
  </si>
  <si>
    <t>Enhancement</t>
  </si>
  <si>
    <t>Bail S9 ATV statement when no end event is present</t>
  </si>
  <si>
    <t>STRY0084698</t>
  </si>
  <si>
    <t>Bail S9 ATV statement when end event IS present</t>
  </si>
  <si>
    <t>STRY0085026</t>
  </si>
  <si>
    <t>Bail S9 ATV statement when Out for entire curfew period</t>
  </si>
  <si>
    <t>STRY0085027</t>
  </si>
  <si>
    <t>New field to capture pre-trial threshold met time</t>
  </si>
  <si>
    <t>STRY0085703</t>
  </si>
  <si>
    <t>DAPO S9 ATV statement when end event IS present</t>
  </si>
  <si>
    <t>STRY0085710</t>
  </si>
  <si>
    <t>DAPO S9 ATV statement when no end event present</t>
  </si>
  <si>
    <t>STRY0085711</t>
  </si>
  <si>
    <t>DAPO S9 ATV statement when Out for entire curfew period</t>
  </si>
  <si>
    <t>STRY0085718</t>
  </si>
  <si>
    <t>Ensure Bail S9 packs are generated for MO's under RF/GPS extradition descriptions</t>
  </si>
  <si>
    <t>STRY0085755</t>
  </si>
  <si>
    <t>ATV wording for Immigration bail breach packs</t>
  </si>
  <si>
    <t>ORDERS DASHBOARD</t>
  </si>
  <si>
    <t>SHEET4 DASHBOARD</t>
  </si>
  <si>
    <t>OVERALL DASHBOARD</t>
  </si>
  <si>
    <t>Execution Progress</t>
  </si>
  <si>
    <t>Steps Completed</t>
  </si>
  <si>
    <t>Steps Remaining</t>
  </si>
  <si>
    <t>Total Steps</t>
  </si>
  <si>
    <t>% Complete</t>
  </si>
  <si>
    <t>Script Status</t>
  </si>
  <si>
    <t>Pass</t>
  </si>
  <si>
    <t>Fail</t>
  </si>
  <si>
    <t>No Run</t>
  </si>
  <si>
    <t>Not Completed</t>
  </si>
  <si>
    <t>In Progress</t>
  </si>
  <si>
    <t>Out of Scope</t>
  </si>
  <si>
    <t>Not Started</t>
  </si>
  <si>
    <t>TOTAL</t>
  </si>
  <si>
    <t>ACQUISITIVE CRIME DASHBOARD</t>
  </si>
  <si>
    <t>BAIL ATV DASHBOARD</t>
  </si>
  <si>
    <t>Test ID</t>
  </si>
  <si>
    <t>Test Scenario</t>
  </si>
  <si>
    <t>Test Steps</t>
  </si>
  <si>
    <t>Outcome Expected</t>
  </si>
  <si>
    <t># of Steps</t>
  </si>
  <si>
    <t>Completed Steps</t>
  </si>
  <si>
    <t>Status</t>
  </si>
  <si>
    <t>Notes</t>
  </si>
  <si>
    <t>Test Data Used</t>
  </si>
  <si>
    <t>Tests</t>
  </si>
  <si>
    <t>BC01</t>
  </si>
  <si>
    <t>Adult - New Order - Verified Address - RF Bail-Curfew only</t>
  </si>
  <si>
    <t>1. create Interaction
2. create Contact
3. create Device Wearer
4. create Case
5. create Monitoring Order
6. create Monitoring Requirements
7. create Monitoring Configuration
8. create Work Order
9. Create Work Order Task
10. Install</t>
  </si>
  <si>
    <t>- interaction, case, mon order, work order and work order task created</t>
  </si>
  <si>
    <t>defects on the interaction
DFCT0011478 - defect did not halt the order creation</t>
  </si>
  <si>
    <t>DEVWR0101629 / MON10119176</t>
  </si>
  <si>
    <t>BA01
BA02
BA03
BA04
BA21
BA33</t>
  </si>
  <si>
    <t>BC02</t>
  </si>
  <si>
    <t>Adult-Non-Bail-Community-curfew</t>
  </si>
  <si>
    <t>DEVWR0101633 / MON10119178</t>
  </si>
  <si>
    <t>BA05
BA06
BA07
BA08
BA22
BA34</t>
  </si>
  <si>
    <t>BC03</t>
  </si>
  <si>
    <t>Immigration-GPS</t>
  </si>
  <si>
    <t>DEVWR0101642 / MON10119180</t>
  </si>
  <si>
    <t>BA09
BA10
BA11
BA12
BA23
BA37</t>
  </si>
  <si>
    <t>BC04</t>
  </si>
  <si>
    <t>DAPO</t>
  </si>
  <si>
    <t>DEVWR0101648 / MON10119183</t>
  </si>
  <si>
    <t>BA13
BA14
BA15
BA16
BA24</t>
  </si>
  <si>
    <t>BC05</t>
  </si>
  <si>
    <t>Bail-RF Extradition</t>
  </si>
  <si>
    <t>DEVWR0101650 / MON10119184</t>
  </si>
  <si>
    <t>BA17
BA18</t>
  </si>
  <si>
    <t>BC06</t>
  </si>
  <si>
    <t>Bail-GPS-Extradition</t>
  </si>
  <si>
    <t>DEVWR0101655 / MON10119189</t>
  </si>
  <si>
    <t>BA19
BA20</t>
  </si>
  <si>
    <t>BC07</t>
  </si>
  <si>
    <t xml:space="preserve">Adult-Bail-Curfew and exculsion </t>
  </si>
  <si>
    <t>DEVWR0101657 / MON10119190</t>
  </si>
  <si>
    <t>BA25
BA27</t>
  </si>
  <si>
    <t>BC08</t>
  </si>
  <si>
    <t xml:space="preserve">Adult-Non-Bail-Curfew and exculsion </t>
  </si>
  <si>
    <t>DEVWR0101659 / MON10119191</t>
  </si>
  <si>
    <t>BA26
BA28</t>
  </si>
  <si>
    <t>BC09</t>
  </si>
  <si>
    <t xml:space="preserve">1. create Interaction
2. create Contact
3. create Device Wearer
4. create Case
5. create Monitoring Order
6. create Monitoring Requirements
7. create Monitoring Configuration
8. create Work Order
9. Create Work Order Task
</t>
  </si>
  <si>
    <t xml:space="preserve">MON10119194/ DEVWR0101662
</t>
  </si>
  <si>
    <t>BA29
BA31</t>
  </si>
  <si>
    <t>BC10</t>
  </si>
  <si>
    <t>DEVWR0101665/ MON10119196</t>
  </si>
  <si>
    <t>BA30
BA32</t>
  </si>
  <si>
    <t>BC11</t>
  </si>
  <si>
    <t xml:space="preserve">DEVWR0101667/ MON10119197
</t>
  </si>
  <si>
    <t>BA35
BA36</t>
  </si>
  <si>
    <t>BC12</t>
  </si>
  <si>
    <t>Child - New Order - Verified Address - RF Bail-Curfew only</t>
  </si>
  <si>
    <t>DEVWR0101671/ MON10119199</t>
  </si>
  <si>
    <t>BA38
BA39
BA40
BA41</t>
  </si>
  <si>
    <t>BC13</t>
  </si>
  <si>
    <t>Child-Non-Bail-Post Release - HDC (SECTON 91)</t>
  </si>
  <si>
    <t>DEVWR0101644/ MON10119181</t>
  </si>
  <si>
    <t>BA42
BA43
BA44
BA45</t>
  </si>
  <si>
    <t>BC14</t>
  </si>
  <si>
    <t>Immigration-NFD</t>
  </si>
  <si>
    <t>DEVWR0101774 / MON10119302</t>
  </si>
  <si>
    <t>BA46</t>
  </si>
  <si>
    <t>Column1</t>
  </si>
  <si>
    <t>Data notes</t>
  </si>
  <si>
    <t>BA01</t>
  </si>
  <si>
    <t>Bail - GPS - ATV</t>
  </si>
  <si>
    <t>15 min in 1 event for same curfew period
- create breach pack</t>
  </si>
  <si>
    <t>AL08/AL10 case generated followed by AL13 case generated</t>
  </si>
  <si>
    <t>BA02</t>
  </si>
  <si>
    <t>15 min over 2 or 3 events for same curfew period
- create breach pack</t>
  </si>
  <si>
    <t>For example:
DW curfew 10am - 2pm
Violation 1 - 10.10.00 - 10.15.30
Duration = 5 mins 30 seconds
Violation 2 - 10.30.00 - 10.38.15 
Duration = 8 mins 15 seconds
Violation 3 - 11.02.00 - DW still out when 15 mins reached
Remaining time left from the 15 min duration:
15 min - 5 min 30 seconds - 8 mins 15 seconds = 1 minute 15 seconds
ATV threshold met = 11.02.00 + 1 min 15 seconds = 05/12/2025 11:03:15</t>
  </si>
  <si>
    <t>BA03</t>
  </si>
  <si>
    <t>15 min over 2 or 3 events - over 2 curfew periods</t>
  </si>
  <si>
    <t>AL08/AL10 case generated</t>
  </si>
  <si>
    <t>BA04</t>
  </si>
  <si>
    <t>15 min in 1 event for same curfew period
- create breach pack before return</t>
  </si>
  <si>
    <t>BA05</t>
  </si>
  <si>
    <t>Non-Bail - GPS  - ATV</t>
  </si>
  <si>
    <t>2 hours in 1 event for same curfew period</t>
  </si>
  <si>
    <t>BA06</t>
  </si>
  <si>
    <t>2 hours over 2 or 3 events for same curfew period</t>
  </si>
  <si>
    <t xml:space="preserve">"For example:
DW curfew 10am - 2pm
Violation 1 - 10.10.00 - 11.15.30
Duration = 1 hour 5 mins 30 seconds
Violation 2 - 11:30:00 - 11:58:15 
Duration = 28 mins 15 seconds
Violation 3 - 12.02.00 - DW still out when 2 hours reached
Remaining time left from the 2 hours duration:
15 min - 1 hour 5 min 30 seconds - 28 mins 15 seconds = 26  minute 15 seconds
ATV threshold met = 12.02.00 + 26 min 15 seconds = 05/12/2025 12:28:15"
</t>
  </si>
  <si>
    <t>BA07</t>
  </si>
  <si>
    <t>2 hours over 2 or 3 events - over 2 curfew periods</t>
  </si>
  <si>
    <t>BA08</t>
  </si>
  <si>
    <t>2 Hours  in 1 event for same curfew period
- create breach pack before return</t>
  </si>
  <si>
    <t>Non-bail aggregates time breaches based on start/end periods on AL08 and AL10 - this is not a valid test</t>
  </si>
  <si>
    <t>BA09</t>
  </si>
  <si>
    <t>Immigration-GPS-ATV</t>
  </si>
  <si>
    <t>'Currently not getting curfew orders</t>
  </si>
  <si>
    <t>BA10</t>
  </si>
  <si>
    <t>BA11</t>
  </si>
  <si>
    <t>BA12</t>
  </si>
  <si>
    <t>BA13</t>
  </si>
  <si>
    <t>DAPO - RF - ATV</t>
  </si>
  <si>
    <t xml:space="preserve">Passed evidence attached </t>
  </si>
  <si>
    <t>BA14</t>
  </si>
  <si>
    <t xml:space="preserve">15 min over 2 or 3 events for same curfew period
- create breach pack
15 min over 2 events in same curfew  - device not returned create breach pack </t>
  </si>
  <si>
    <t>BA15</t>
  </si>
  <si>
    <t>BA16</t>
  </si>
  <si>
    <t>BA17</t>
  </si>
  <si>
    <t>BA18</t>
  </si>
  <si>
    <t>"For example:
DW curfew 10am - 2pm
Violation 1 - 10.10.00 - 10.15.30
Duration = 5 mins 30 seconds
Violation 2 - 10.30.00 - 10.38.15 
Duration = 8 mins 15 seconds
Violation 3 - 11.02.00 - DW still out when 15 mins reached
Remaining time left from the 15 min duration:
15 min - 5 min 30 seconds - 8 mins 15 seconds = 1 minute 15 seconds
ATV threshold met = 11.02.00 + 1 min 15 seconds = 05/12/2025 11:03:15"</t>
  </si>
  <si>
    <t>BA19</t>
  </si>
  <si>
    <t>Bail-GPS Extradition</t>
  </si>
  <si>
    <t>BA20</t>
  </si>
  <si>
    <t>BA21</t>
  </si>
  <si>
    <t>Bail - RF - ATV</t>
  </si>
  <si>
    <t xml:space="preserve">Out for whole curfew </t>
  </si>
  <si>
    <t>AL08 to generated followed by AL12</t>
  </si>
  <si>
    <t>No event for whole curfew - triggered from full period of breach. As breach occurs after 15 mins regardless of whether end event received - not applicable</t>
  </si>
  <si>
    <t>BA22</t>
  </si>
  <si>
    <t>BA23</t>
  </si>
  <si>
    <t>BA24</t>
  </si>
  <si>
    <t>BA25</t>
  </si>
  <si>
    <t>Bail-GPS-Curfew &amp; Exclusion</t>
  </si>
  <si>
    <t xml:space="preserve">Create exclusion breach
AL06 Generated 
breach pack generated after 7 am
 </t>
  </si>
  <si>
    <t>1 case generated 7am - 6.59am</t>
  </si>
  <si>
    <t>BA26</t>
  </si>
  <si>
    <t>Non-Bail - GPS-Curfew &amp; Exclusion</t>
  </si>
  <si>
    <t>Create exclusion breach
AL06 Generated 
breach pack generated after 7 am</t>
  </si>
  <si>
    <t>MON10119168</t>
  </si>
  <si>
    <t>BA27</t>
  </si>
  <si>
    <t>- create strap tamper
AL03 Will Generate
- create visit to confirm Tamper
visited booked off as confirmed tamper
manully protmote to AL104</t>
  </si>
  <si>
    <t>- AL03 case generated
- AL104 manually Generated after visit</t>
  </si>
  <si>
    <t>BA28</t>
  </si>
  <si>
    <t>"- create strap tamper
AL03 Will Generate
- create visit to confirm Tamper
visited booked off as confirmed tamper
manully protmote to AL104"</t>
  </si>
  <si>
    <t>duplicate of BA26</t>
  </si>
  <si>
    <t>BA29</t>
  </si>
  <si>
    <t>1. Task install visit - book off as no show 
2. Task 2nd attempt visit - book off as no show 
3. Create breach pack</t>
  </si>
  <si>
    <t>AL100 generated</t>
  </si>
  <si>
    <t>2x no show done</t>
  </si>
  <si>
    <t>BA30</t>
  </si>
  <si>
    <t>AL100 to be generated</t>
  </si>
  <si>
    <t>BA31</t>
  </si>
  <si>
    <t>1. Task install visit - book off as WOC 
2. Create breach pack</t>
  </si>
  <si>
    <t>AL102 generated</t>
  </si>
  <si>
    <t>BA32</t>
  </si>
  <si>
    <t>BA33</t>
  </si>
  <si>
    <t xml:space="preserve">1. Generate tamper
2.AL03-Generated, create visit to comfirm Tamper
3. Book off as confirmed tamper 
4. Create breach </t>
  </si>
  <si>
    <t>AL104 manually Generated after visit</t>
  </si>
  <si>
    <t>duplicate of BA27</t>
  </si>
  <si>
    <t>BA34</t>
  </si>
  <si>
    <t>BA35</t>
  </si>
  <si>
    <t>BA36</t>
  </si>
  <si>
    <t>Immigration-GPS-WOC</t>
  </si>
  <si>
    <t>QK AND KL from Immigration signed off on breach pack</t>
  </si>
  <si>
    <t>BA37</t>
  </si>
  <si>
    <t>Immigration-GPS-ATV (TAMPER &amp; EXCLUSION)</t>
  </si>
  <si>
    <t xml:space="preserve">1. Generate tamper
2.AL02-Generated
3. Create visit to comfirm Tamper
4. Book off as confirmed tamper 
5. Create breach </t>
  </si>
  <si>
    <t>confirmed with Immigration team</t>
  </si>
  <si>
    <t>BA38</t>
  </si>
  <si>
    <t>Bail - RF - ATV-Child</t>
  </si>
  <si>
    <t>BA39</t>
  </si>
  <si>
    <t>BA40</t>
  </si>
  <si>
    <t>BA41</t>
  </si>
  <si>
    <t>BA42</t>
  </si>
  <si>
    <t>BA43</t>
  </si>
  <si>
    <r>
      <rPr>
        <sz val="10"/>
        <color rgb="FF000000"/>
        <rFont val="Arial"/>
        <family val="2"/>
      </rPr>
      <t xml:space="preserve">For example:
DW curfew 8am - 10.30am
Violation 1 - 08.00 - 09.00 </t>
    </r>
    <r>
      <rPr>
        <b/>
        <sz val="10"/>
        <color rgb="FF000000"/>
        <rFont val="Arial"/>
        <family val="2"/>
      </rPr>
      <t xml:space="preserve">ACTUAL 08:02:18 -09:11:29
</t>
    </r>
    <r>
      <rPr>
        <sz val="10"/>
        <color rgb="FF000000"/>
        <rFont val="Arial"/>
        <family val="2"/>
      </rPr>
      <t xml:space="preserve">Duration = 1 hour ACTUAL 1hr 9m 11s
Violation 2 - 09.10 - 10.00 ACTUAL 09:24:53 -09:58:57
Duration = 50 min </t>
    </r>
    <r>
      <rPr>
        <b/>
        <sz val="10"/>
        <color rgb="FF000000"/>
        <rFont val="Arial"/>
        <family val="2"/>
      </rPr>
      <t xml:space="preserve">ACTUAL 34 m 4s
</t>
    </r>
    <r>
      <rPr>
        <sz val="10"/>
        <color rgb="FF000000"/>
        <rFont val="Arial"/>
        <family val="2"/>
      </rPr>
      <t xml:space="preserve">
Violation 3 - 10.15 - DW still out when 2 hours reached
</t>
    </r>
    <r>
      <rPr>
        <b/>
        <sz val="10"/>
        <color rgb="FF000000"/>
        <rFont val="Arial"/>
        <family val="2"/>
      </rPr>
      <t xml:space="preserve">ACTUAL 10:03:29 - 10:30 
</t>
    </r>
    <r>
      <rPr>
        <sz val="10"/>
        <color rgb="FF000000"/>
        <rFont val="Arial"/>
        <family val="2"/>
      </rPr>
      <t xml:space="preserve">
Remaining time left from the 2hours duration:
10 min </t>
    </r>
    <r>
      <rPr>
        <b/>
        <sz val="10"/>
        <color rgb="FF000000"/>
        <rFont val="Arial"/>
        <family val="2"/>
      </rPr>
      <t xml:space="preserve">ACTUAL 26m 21s
</t>
    </r>
    <r>
      <rPr>
        <sz val="10"/>
        <color rgb="FF000000"/>
        <rFont val="Arial"/>
        <family val="2"/>
      </rPr>
      <t xml:space="preserve">
ATV threshold met = 10.25 (2hr 9 36 sec) </t>
    </r>
    <r>
      <rPr>
        <b/>
        <sz val="10"/>
        <color rgb="FF000000"/>
        <rFont val="Arial"/>
        <family val="2"/>
      </rPr>
      <t>ACTUAL10.20.14</t>
    </r>
  </si>
  <si>
    <t>BA44</t>
  </si>
  <si>
    <t>DW curfew 09:00- 11:30, 12:00-14:30
ACTUAL 09:13:55-10:14:08-1 HOUR 13 SECONDS
Actual  09:00:00-10:03:31</t>
  </si>
  <si>
    <t>BA45</t>
  </si>
  <si>
    <t xml:space="preserve">NFD Order creation and missed biometric </t>
  </si>
  <si>
    <t>Miss x 3 biometrics
This should then create a AL18</t>
  </si>
  <si>
    <t>BB01</t>
  </si>
  <si>
    <t>Adult/New Order/Verified address/GPS Acquisitive Crime Parole/Curfew &amp; Exclsuion</t>
  </si>
  <si>
    <t>1. create Interaction
2. create Contact
3. create Device Wearer
4. create Case
5. create Monitoring Order
6. create Monitoring Requirements
7. create Monitoring Configuration
8. create Work Order
9. create Work Order Task
10. install solo and hmu</t>
  </si>
  <si>
    <t>- interaction, case, mon order, work order and work order task created
- devices installed, mon order live</t>
  </si>
  <si>
    <t>MON10119242 / DEVWR0101728</t>
  </si>
  <si>
    <t>BB02</t>
  </si>
  <si>
    <t xml:space="preserve">AC-ATV </t>
  </si>
  <si>
    <t>2 hours in 1 event for same curfew period
al08 will generate
al13 will generate 
create enforcement action</t>
  </si>
  <si>
    <t>Follow on from BB01</t>
  </si>
  <si>
    <t>BB03</t>
  </si>
  <si>
    <t>AC-GPS-EXCLSUION</t>
  </si>
  <si>
    <t xml:space="preserve">Create exclusion breach
AL06 Generated 
breach pack generated
create enforcement action
 </t>
  </si>
  <si>
    <t>Follow on from BB02</t>
  </si>
  <si>
    <t>Executed By</t>
  </si>
  <si>
    <t>Approved By</t>
  </si>
  <si>
    <t>Development</t>
  </si>
  <si>
    <t>Blocked</t>
  </si>
  <si>
    <t>Incident / JIRA ref</t>
  </si>
  <si>
    <t>Issue</t>
  </si>
  <si>
    <t>Description</t>
  </si>
  <si>
    <t>Category</t>
  </si>
  <si>
    <t>Impact Rating
(H-M-L)</t>
  </si>
  <si>
    <t>Date Opened</t>
  </si>
  <si>
    <t>Date Resolved</t>
  </si>
  <si>
    <t>Target Release Date</t>
  </si>
  <si>
    <t>Post Production Check Y/N</t>
  </si>
  <si>
    <t>Resolution</t>
  </si>
  <si>
    <t>Release</t>
  </si>
  <si>
    <t xml:space="preserve">create a decom - no names displaying on a case </t>
  </si>
  <si>
    <t>19/01/2026</t>
  </si>
  <si>
    <t>Closed Complete</t>
  </si>
  <si>
    <t>N</t>
  </si>
  <si>
    <t>test data issue</t>
  </si>
  <si>
    <t>DFCT0011517</t>
  </si>
  <si>
    <t>Exhibit 06 being in the Breach document when it shouldn’t be there</t>
  </si>
  <si>
    <t>PE/06 only seems to be appearing for DAPO notifications - PE/06 does not appear in standard bail notifications</t>
  </si>
  <si>
    <t>23/01/2026</t>
  </si>
  <si>
    <t>Ready for Prod</t>
  </si>
  <si>
    <t>retested</t>
  </si>
  <si>
    <t>DFCT0011522</t>
  </si>
  <si>
    <t>15 minute threshold not showing correct time and instead showing Not available</t>
  </si>
  <si>
    <t>15 minute threshold not calculating for multiple atvs - seems to be occurring on DAPO only</t>
  </si>
  <si>
    <t>DFCT0011523</t>
  </si>
  <si>
    <t>6.1.25</t>
  </si>
  <si>
    <t>Testing Timeline</t>
  </si>
  <si>
    <t>19th</t>
  </si>
  <si>
    <t>20th</t>
  </si>
  <si>
    <t>21st</t>
  </si>
  <si>
    <t>24th</t>
  </si>
  <si>
    <t>25th</t>
  </si>
  <si>
    <t>26th</t>
  </si>
  <si>
    <t>27th</t>
  </si>
  <si>
    <t>28th</t>
  </si>
  <si>
    <t>ST</t>
  </si>
  <si>
    <r>
      <rPr>
        <b/>
        <u/>
        <sz val="10"/>
        <color rgb="FF000000"/>
        <rFont val="Arial"/>
        <family val="2"/>
      </rPr>
      <t xml:space="preserve">OE44
</t>
    </r>
    <r>
      <rPr>
        <sz val="10"/>
        <color rgb="FF000000"/>
        <rFont val="Arial"/>
        <family val="2"/>
      </rPr>
      <t>* Install alcohol kit</t>
    </r>
  </si>
  <si>
    <r>
      <rPr>
        <b/>
        <u/>
        <sz val="10"/>
        <color rgb="FF000000"/>
        <rFont val="Arial"/>
        <family val="2"/>
      </rPr>
      <t xml:space="preserve">DV50
</t>
    </r>
    <r>
      <rPr>
        <sz val="10"/>
        <color rgb="FF000000"/>
        <rFont val="Arial"/>
        <family val="2"/>
      </rPr>
      <t>* Asset Manager BPSS persona</t>
    </r>
  </si>
  <si>
    <t>KW</t>
  </si>
  <si>
    <r>
      <rPr>
        <b/>
        <u/>
        <sz val="10"/>
        <color rgb="FF000000"/>
        <rFont val="Arial"/>
        <family val="2"/>
      </rPr>
      <t xml:space="preserve">DV41
</t>
    </r>
    <r>
      <rPr>
        <sz val="10"/>
        <color rgb="FF000000"/>
        <rFont val="Arial"/>
        <family val="2"/>
      </rPr>
      <t>* Field Service Officer persona</t>
    </r>
  </si>
  <si>
    <r>
      <rPr>
        <b/>
        <u/>
        <sz val="10"/>
        <color rgb="FF000000"/>
        <rFont val="Arial"/>
        <family val="2"/>
      </rPr>
      <t xml:space="preserve">DV51
</t>
    </r>
    <r>
      <rPr>
        <sz val="10"/>
        <color rgb="FF000000"/>
        <rFont val="Arial"/>
        <family val="2"/>
      </rPr>
      <t>* Asset Manager CTC persona</t>
    </r>
  </si>
  <si>
    <r>
      <rPr>
        <b/>
        <u/>
        <sz val="10"/>
        <color rgb="FF000000"/>
        <rFont val="Arial"/>
        <family val="2"/>
      </rPr>
      <t xml:space="preserve">DV42
</t>
    </r>
    <r>
      <rPr>
        <sz val="10"/>
        <color rgb="FF000000"/>
        <rFont val="Arial"/>
        <family val="2"/>
      </rPr>
      <t>* Field Service Officer SPECIALS persona</t>
    </r>
  </si>
  <si>
    <r>
      <rPr>
        <b/>
        <u/>
        <sz val="10"/>
        <color rgb="FF000000"/>
        <rFont val="Arial"/>
        <family val="2"/>
      </rPr>
      <t xml:space="preserve">DV21
</t>
    </r>
    <r>
      <rPr>
        <sz val="10"/>
        <color rgb="FF000000"/>
        <rFont val="Arial"/>
        <family val="2"/>
      </rPr>
      <t>* Field Service Scheduler BPSS persona</t>
    </r>
  </si>
  <si>
    <t>LJ</t>
  </si>
  <si>
    <r>
      <rPr>
        <b/>
        <u/>
        <sz val="10"/>
        <color rgb="FF000000"/>
        <rFont val="Arial"/>
        <family val="2"/>
      </rPr>
      <t xml:space="preserve">DV44
</t>
    </r>
    <r>
      <rPr>
        <sz val="10"/>
        <color rgb="FF000000"/>
        <rFont val="Arial"/>
        <family val="2"/>
      </rPr>
      <t>* Quality Assurance CTC persona</t>
    </r>
  </si>
  <si>
    <r>
      <rPr>
        <b/>
        <u/>
        <sz val="10"/>
        <color rgb="FF000000"/>
        <rFont val="Arial"/>
        <family val="2"/>
      </rPr>
      <t xml:space="preserve">DV22
</t>
    </r>
    <r>
      <rPr>
        <sz val="10"/>
        <color rgb="FF000000"/>
        <rFont val="Arial"/>
        <family val="2"/>
      </rPr>
      <t>* Field Service Scheduler CTC persona</t>
    </r>
  </si>
  <si>
    <t>EM</t>
  </si>
  <si>
    <r>
      <rPr>
        <b/>
        <u/>
        <sz val="10"/>
        <color rgb="FF000000"/>
        <rFont val="Arial"/>
        <family val="2"/>
      </rPr>
      <t xml:space="preserve">DV48
</t>
    </r>
    <r>
      <rPr>
        <sz val="10"/>
        <color rgb="FF000000"/>
        <rFont val="Arial"/>
        <family val="2"/>
      </rPr>
      <t xml:space="preserve">* CMT Immigration persona
</t>
    </r>
    <r>
      <rPr>
        <b/>
        <sz val="10"/>
        <color rgb="FF000000"/>
        <rFont val="Arial"/>
        <family val="2"/>
      </rPr>
      <t>FAILED</t>
    </r>
  </si>
  <si>
    <t>TL / MHI</t>
  </si>
  <si>
    <r>
      <rPr>
        <b/>
        <sz val="10"/>
        <color rgb="FF000000"/>
        <rFont val="Arial"/>
        <family val="2"/>
      </rPr>
      <t xml:space="preserve">TA08
</t>
    </r>
    <r>
      <rPr>
        <sz val="10"/>
        <color rgb="FF000000"/>
        <rFont val="Arial"/>
        <family val="2"/>
      </rPr>
      <t>* atv breaches</t>
    </r>
  </si>
  <si>
    <t>TA31</t>
  </si>
  <si>
    <r>
      <rPr>
        <b/>
        <u/>
        <sz val="10"/>
        <color rgb="FF000000"/>
        <rFont val="Arial"/>
        <family val="2"/>
      </rPr>
      <t xml:space="preserve">DV49
</t>
    </r>
    <r>
      <rPr>
        <sz val="10"/>
        <color rgb="FF000000"/>
        <rFont val="Arial"/>
        <family val="2"/>
      </rPr>
      <t xml:space="preserve">* CMT (MoJ) personas
</t>
    </r>
    <r>
      <rPr>
        <b/>
        <sz val="10"/>
        <color rgb="FF000000"/>
        <rFont val="Arial"/>
        <family val="2"/>
      </rPr>
      <t>PASSED</t>
    </r>
  </si>
  <si>
    <r>
      <rPr>
        <b/>
        <sz val="10"/>
        <color rgb="FF000000"/>
        <rFont val="Arial"/>
        <family val="2"/>
      </rPr>
      <t xml:space="preserve">OEO7
</t>
    </r>
    <r>
      <rPr>
        <sz val="10"/>
        <color rgb="FF000000"/>
        <rFont val="Arial"/>
        <family val="2"/>
      </rPr>
      <t xml:space="preserve">* install following OE01 decom </t>
    </r>
  </si>
  <si>
    <t>TA10 / OE70</t>
  </si>
  <si>
    <r>
      <rPr>
        <b/>
        <u/>
        <sz val="10"/>
        <color rgb="FF000000"/>
        <rFont val="Arial"/>
        <family val="2"/>
      </rPr>
      <t xml:space="preserve">OE69
</t>
    </r>
    <r>
      <rPr>
        <sz val="10"/>
        <color rgb="FF000000"/>
        <rFont val="Arial"/>
        <family val="2"/>
      </rPr>
      <t>* install NFD</t>
    </r>
  </si>
  <si>
    <r>
      <rPr>
        <b/>
        <sz val="10"/>
        <color rgb="FF000000"/>
        <rFont val="Arial"/>
        <family val="2"/>
      </rPr>
      <t xml:space="preserve">TA04
</t>
    </r>
    <r>
      <rPr>
        <sz val="10"/>
        <color rgb="FF000000"/>
        <rFont val="Arial"/>
        <family val="2"/>
      </rPr>
      <t>*EXCLUSION</t>
    </r>
  </si>
  <si>
    <r>
      <rPr>
        <b/>
        <u/>
        <sz val="10"/>
        <color rgb="FF000000"/>
        <rFont val="Arial"/>
        <family val="2"/>
      </rPr>
      <t xml:space="preserve">TA09 / OE69
</t>
    </r>
    <r>
      <rPr>
        <sz val="10"/>
        <color rgb="FF000000"/>
        <rFont val="Arial"/>
        <family val="2"/>
      </rPr>
      <t>* start the AL18 process</t>
    </r>
  </si>
  <si>
    <r>
      <rPr>
        <b/>
        <sz val="10"/>
        <color rgb="FF000000"/>
        <rFont val="Arial"/>
        <family val="2"/>
      </rPr>
      <t xml:space="preserve">TA30
</t>
    </r>
    <r>
      <rPr>
        <sz val="10"/>
        <color rgb="FF000000"/>
        <rFont val="Arial"/>
        <family val="2"/>
      </rPr>
      <t xml:space="preserve">*AL15 </t>
    </r>
  </si>
  <si>
    <r>
      <rPr>
        <b/>
        <u/>
        <sz val="10"/>
        <color rgb="FF000000"/>
        <rFont val="Arial"/>
        <family val="2"/>
      </rPr>
      <t xml:space="preserve">TA01 / OE01
</t>
    </r>
    <r>
      <rPr>
        <sz val="10"/>
        <color rgb="FF000000"/>
        <rFont val="Arial"/>
        <family val="2"/>
      </rPr>
      <t>* finish generating the atvs &amp; breach packs</t>
    </r>
  </si>
  <si>
    <r>
      <rPr>
        <b/>
        <sz val="10"/>
        <color rgb="FF000000"/>
        <rFont val="Arial"/>
        <family val="2"/>
      </rPr>
      <t xml:space="preserve">TA47
</t>
    </r>
    <r>
      <rPr>
        <sz val="10"/>
        <color rgb="FF000000"/>
        <rFont val="Arial"/>
        <family val="2"/>
      </rPr>
      <t>* AL24 -SPOOF</t>
    </r>
  </si>
  <si>
    <r>
      <rPr>
        <b/>
        <u/>
        <sz val="10"/>
        <color rgb="FF000000"/>
        <rFont val="Arial"/>
        <family val="2"/>
      </rPr>
      <t xml:space="preserve">TA52 / OE01
</t>
    </r>
    <r>
      <rPr>
        <sz val="10"/>
        <color rgb="FF000000"/>
        <rFont val="Arial"/>
        <family val="2"/>
      </rPr>
      <t>* generate AL04</t>
    </r>
  </si>
  <si>
    <r>
      <rPr>
        <b/>
        <sz val="10"/>
        <color rgb="FF000000"/>
        <rFont val="Arial"/>
        <family val="2"/>
      </rPr>
      <t xml:space="preserve">TA48
</t>
    </r>
    <r>
      <rPr>
        <sz val="10"/>
        <color rgb="FF000000"/>
        <rFont val="Arial"/>
        <family val="2"/>
      </rPr>
      <t>* AL20</t>
    </r>
  </si>
  <si>
    <t>OE06</t>
  </si>
  <si>
    <r>
      <rPr>
        <b/>
        <u/>
        <sz val="10"/>
        <color rgb="FF000000"/>
        <rFont val="Arial"/>
        <family val="2"/>
      </rPr>
      <t xml:space="preserve">TA43 / OE01
</t>
    </r>
    <r>
      <rPr>
        <sz val="10"/>
        <color rgb="FF000000"/>
        <rFont val="Arial"/>
        <family val="2"/>
      </rPr>
      <t>* request spoof event from AUEM</t>
    </r>
  </si>
  <si>
    <r>
      <rPr>
        <b/>
        <sz val="10"/>
        <color rgb="FF000000"/>
        <rFont val="Arial"/>
        <family val="2"/>
      </rPr>
      <t xml:space="preserve">OE04
</t>
    </r>
    <r>
      <rPr>
        <sz val="10"/>
        <color rgb="FF000000"/>
        <rFont val="Arial"/>
        <family val="2"/>
      </rPr>
      <t>* check further visit has generated after previous visit booked off as faulty equipment</t>
    </r>
  </si>
  <si>
    <t>OE76</t>
  </si>
  <si>
    <r>
      <rPr>
        <b/>
        <u/>
        <sz val="10"/>
        <color rgb="FF000000"/>
        <rFont val="Arial"/>
        <family val="2"/>
      </rPr>
      <t xml:space="preserve">OE01
</t>
    </r>
    <r>
      <rPr>
        <sz val="10"/>
        <color rgb="FF000000"/>
        <rFont val="Arial"/>
        <family val="2"/>
      </rPr>
      <t>* decom kit once event has been spoofed</t>
    </r>
  </si>
  <si>
    <r>
      <rPr>
        <b/>
        <u/>
        <sz val="10"/>
        <color rgb="FF000000"/>
        <rFont val="Arial"/>
        <family val="2"/>
      </rPr>
      <t xml:space="preserve">OE01
</t>
    </r>
    <r>
      <rPr>
        <sz val="10"/>
        <color rgb="FF000000"/>
        <rFont val="Arial"/>
        <family val="2"/>
      </rPr>
      <t xml:space="preserve">* decom kit </t>
    </r>
  </si>
  <si>
    <t>OE08</t>
  </si>
  <si>
    <r>
      <rPr>
        <sz val="10"/>
        <color rgb="FF00B050"/>
        <rFont val="Arial"/>
        <family val="2"/>
      </rPr>
      <t xml:space="preserve">EM / ST </t>
    </r>
    <r>
      <rPr>
        <sz val="10"/>
        <color rgb="FF000000"/>
        <rFont val="Arial"/>
        <family val="2"/>
      </rPr>
      <t>&amp; KW</t>
    </r>
  </si>
  <si>
    <r>
      <rPr>
        <b/>
        <u/>
        <sz val="10"/>
        <color rgb="FF000000"/>
        <rFont val="Arial"/>
        <family val="2"/>
      </rPr>
      <t xml:space="preserve">OE04
</t>
    </r>
    <r>
      <rPr>
        <sz val="10"/>
        <color rgb="FF00B050"/>
        <rFont val="Arial"/>
        <family val="2"/>
      </rPr>
      <t xml:space="preserve">* Create order
* Assign WOT to Mark
</t>
    </r>
    <r>
      <rPr>
        <sz val="10"/>
        <color rgb="FF000000"/>
        <rFont val="Arial"/>
        <family val="2"/>
      </rPr>
      <t>* 2x no show visits</t>
    </r>
  </si>
  <si>
    <r>
      <rPr>
        <b/>
        <sz val="10"/>
        <color rgb="FF000000"/>
        <rFont val="Arial"/>
        <family val="2"/>
      </rPr>
      <t xml:space="preserve">OE03
</t>
    </r>
    <r>
      <rPr>
        <sz val="10"/>
        <color rgb="FF000000"/>
        <rFont val="Arial"/>
        <family val="2"/>
      </rPr>
      <t>* 2x no show</t>
    </r>
  </si>
  <si>
    <t>TA41</t>
  </si>
  <si>
    <r>
      <rPr>
        <sz val="10"/>
        <color rgb="FF00B050"/>
        <rFont val="Arial"/>
        <family val="2"/>
      </rPr>
      <t>ST</t>
    </r>
    <r>
      <rPr>
        <sz val="10"/>
        <color rgb="FF000000"/>
        <rFont val="Arial"/>
        <family val="2"/>
      </rPr>
      <t xml:space="preserve"> &amp; KW</t>
    </r>
  </si>
  <si>
    <r>
      <rPr>
        <b/>
        <u/>
        <sz val="10"/>
        <color rgb="FF000000"/>
        <rFont val="Arial"/>
        <family val="2"/>
      </rPr>
      <t xml:space="preserve">OE03
</t>
    </r>
    <r>
      <rPr>
        <sz val="10"/>
        <color rgb="FF00B050"/>
        <rFont val="Arial"/>
        <family val="2"/>
      </rPr>
      <t xml:space="preserve">* Assign WOT to Mark
</t>
    </r>
    <r>
      <rPr>
        <sz val="10"/>
        <color rgb="FF000000"/>
        <rFont val="Arial"/>
        <family val="2"/>
      </rPr>
      <t>* 2x no show visits</t>
    </r>
  </si>
  <si>
    <r>
      <rPr>
        <b/>
        <sz val="10"/>
        <color rgb="FF000000"/>
        <rFont val="Arial"/>
        <family val="2"/>
      </rPr>
      <t xml:space="preserve">TA02
</t>
    </r>
    <r>
      <rPr>
        <sz val="10"/>
        <color rgb="FF000000"/>
        <rFont val="Arial"/>
        <family val="2"/>
      </rPr>
      <t>* 2x no show breach</t>
    </r>
  </si>
  <si>
    <t>OE09</t>
  </si>
  <si>
    <t>NO SHOW</t>
  </si>
  <si>
    <r>
      <rPr>
        <b/>
        <u/>
        <sz val="10"/>
        <color rgb="FF000000"/>
        <rFont val="Arial"/>
        <family val="2"/>
      </rPr>
      <t xml:space="preserve">TA05 / OE02
</t>
    </r>
    <r>
      <rPr>
        <sz val="10"/>
        <color rgb="FF000000"/>
        <rFont val="Arial"/>
        <family val="2"/>
      </rPr>
      <t>* Create multiple exclusions 
Day 1</t>
    </r>
  </si>
  <si>
    <r>
      <rPr>
        <b/>
        <u/>
        <sz val="10"/>
        <color rgb="FF000000"/>
        <rFont val="Arial"/>
        <family val="2"/>
      </rPr>
      <t xml:space="preserve">TA05 / OE02
</t>
    </r>
    <r>
      <rPr>
        <sz val="10"/>
        <color rgb="FF000000"/>
        <rFont val="Arial"/>
        <family val="2"/>
      </rPr>
      <t>* Create multiple exclusions 
Day 2</t>
    </r>
  </si>
  <si>
    <t>OE10</t>
  </si>
  <si>
    <t>BOOK OFFS</t>
  </si>
  <si>
    <t>TL / MHI &amp; ST</t>
  </si>
  <si>
    <r>
      <rPr>
        <b/>
        <u/>
        <sz val="10"/>
        <color rgb="FF000000"/>
        <rFont val="Arial"/>
        <family val="2"/>
      </rPr>
      <t xml:space="preserve">TA11 / OE02
</t>
    </r>
    <r>
      <rPr>
        <sz val="10"/>
        <color rgb="FF000000"/>
        <rFont val="Arial"/>
        <family val="2"/>
      </rPr>
      <t>* Generate strap tamper
* Complete tamper visit</t>
    </r>
  </si>
  <si>
    <r>
      <rPr>
        <b/>
        <sz val="10"/>
        <color rgb="FF000000"/>
        <rFont val="Arial"/>
        <family val="2"/>
      </rPr>
      <t xml:space="preserve">TA46
</t>
    </r>
    <r>
      <rPr>
        <sz val="10"/>
        <color rgb="FF000000"/>
        <rFont val="Arial"/>
        <family val="2"/>
      </rPr>
      <t>* breach</t>
    </r>
  </si>
  <si>
    <t>OE15</t>
  </si>
  <si>
    <r>
      <rPr>
        <b/>
        <u/>
        <sz val="10"/>
        <color rgb="FF000000"/>
        <rFont val="Arial"/>
        <family val="2"/>
      </rPr>
      <t xml:space="preserve">TA33 / OE20
</t>
    </r>
    <r>
      <rPr>
        <sz val="10"/>
        <color rgb="FF000000"/>
        <rFont val="Arial"/>
        <family val="2"/>
      </rPr>
      <t>* battery dead</t>
    </r>
  </si>
  <si>
    <r>
      <rPr>
        <b/>
        <sz val="10"/>
        <color rgb="FF000000"/>
        <rFont val="Arial"/>
        <family val="2"/>
      </rPr>
      <t xml:space="preserve">TA03
</t>
    </r>
    <r>
      <rPr>
        <sz val="10"/>
        <color rgb="FF000000"/>
        <rFont val="Arial"/>
        <family val="2"/>
      </rPr>
      <t>* 2x no show</t>
    </r>
  </si>
  <si>
    <t>OE16</t>
  </si>
  <si>
    <t>MS</t>
  </si>
  <si>
    <r>
      <rPr>
        <b/>
        <sz val="10"/>
        <color rgb="FF000000"/>
        <rFont val="Arial"/>
        <family val="2"/>
      </rPr>
      <t xml:space="preserve">OE08
</t>
    </r>
    <r>
      <rPr>
        <sz val="10"/>
        <color rgb="FF000000"/>
        <rFont val="Arial"/>
        <family val="2"/>
      </rPr>
      <t>* Create order</t>
    </r>
  </si>
  <si>
    <r>
      <rPr>
        <b/>
        <sz val="10"/>
        <color rgb="FF000000"/>
        <rFont val="Arial"/>
        <family val="2"/>
      </rPr>
      <t xml:space="preserve">TA03
</t>
    </r>
    <r>
      <rPr>
        <sz val="10"/>
        <color rgb="FF000000"/>
        <rFont val="Arial"/>
        <family val="2"/>
      </rPr>
      <t>* breach</t>
    </r>
  </si>
  <si>
    <t>OE17</t>
  </si>
  <si>
    <r>
      <rPr>
        <b/>
        <sz val="10"/>
        <color rgb="FF000000"/>
        <rFont val="Arial"/>
        <family val="2"/>
      </rPr>
      <t xml:space="preserve">OE09
</t>
    </r>
    <r>
      <rPr>
        <sz val="10"/>
        <color rgb="FF000000"/>
        <rFont val="Arial"/>
        <family val="2"/>
      </rPr>
      <t>* Create order</t>
    </r>
  </si>
  <si>
    <r>
      <rPr>
        <b/>
        <sz val="10"/>
        <color rgb="FF000000"/>
        <rFont val="Arial"/>
        <family val="2"/>
      </rPr>
      <t xml:space="preserve">OE11
</t>
    </r>
    <r>
      <rPr>
        <sz val="10"/>
        <color rgb="FF000000"/>
        <rFont val="Arial"/>
        <family val="2"/>
      </rPr>
      <t>* 2x no show</t>
    </r>
  </si>
  <si>
    <t>OE12</t>
  </si>
  <si>
    <r>
      <rPr>
        <b/>
        <sz val="10"/>
        <color rgb="FF000000"/>
        <rFont val="Arial"/>
        <family val="2"/>
      </rPr>
      <t xml:space="preserve">OE10
</t>
    </r>
    <r>
      <rPr>
        <sz val="10"/>
        <color rgb="FF000000"/>
        <rFont val="Arial"/>
        <family val="2"/>
      </rPr>
      <t>* Create order</t>
    </r>
  </si>
  <si>
    <r>
      <rPr>
        <b/>
        <sz val="10"/>
        <color rgb="FF000000"/>
        <rFont val="Arial"/>
        <family val="2"/>
      </rPr>
      <t xml:space="preserve">TA13
</t>
    </r>
    <r>
      <rPr>
        <sz val="10"/>
        <color rgb="FF000000"/>
        <rFont val="Arial"/>
        <family val="2"/>
      </rPr>
      <t>* breach</t>
    </r>
  </si>
  <si>
    <t>OE13</t>
  </si>
  <si>
    <r>
      <rPr>
        <b/>
        <sz val="10"/>
        <color rgb="FF000000"/>
        <rFont val="Arial"/>
        <family val="2"/>
      </rPr>
      <t xml:space="preserve">OE11
</t>
    </r>
    <r>
      <rPr>
        <sz val="10"/>
        <color rgb="FF000000"/>
        <rFont val="Arial"/>
        <family val="2"/>
      </rPr>
      <t>* Create order</t>
    </r>
  </si>
  <si>
    <r>
      <rPr>
        <b/>
        <sz val="10"/>
        <color rgb="FF000000"/>
        <rFont val="Arial"/>
        <family val="2"/>
      </rPr>
      <t xml:space="preserve">TA68
</t>
    </r>
    <r>
      <rPr>
        <sz val="10"/>
        <color rgb="FF000000"/>
        <rFont val="Arial"/>
        <family val="2"/>
      </rPr>
      <t>* breach</t>
    </r>
  </si>
  <si>
    <r>
      <rPr>
        <b/>
        <sz val="10"/>
        <color rgb="FF000000"/>
        <rFont val="Arial"/>
        <family val="2"/>
      </rPr>
      <t xml:space="preserve">OE12
</t>
    </r>
    <r>
      <rPr>
        <sz val="10"/>
        <color rgb="FF000000"/>
        <rFont val="Arial"/>
        <family val="2"/>
      </rPr>
      <t>* Create order</t>
    </r>
  </si>
  <si>
    <r>
      <rPr>
        <b/>
        <sz val="10"/>
        <color rgb="FF000000"/>
        <rFont val="Arial"/>
        <family val="2"/>
      </rPr>
      <t xml:space="preserve">OE18
</t>
    </r>
    <r>
      <rPr>
        <sz val="10"/>
        <color rgb="FF000000"/>
        <rFont val="Arial"/>
        <family val="2"/>
      </rPr>
      <t>* decom</t>
    </r>
  </si>
  <si>
    <r>
      <rPr>
        <b/>
        <sz val="10"/>
        <color rgb="FF000000"/>
        <rFont val="Arial"/>
        <family val="2"/>
      </rPr>
      <t xml:space="preserve">OE13
</t>
    </r>
    <r>
      <rPr>
        <sz val="10"/>
        <color rgb="FF000000"/>
        <rFont val="Arial"/>
        <family val="2"/>
      </rPr>
      <t>* Create order</t>
    </r>
  </si>
  <si>
    <r>
      <rPr>
        <b/>
        <sz val="10"/>
        <color rgb="FF000000"/>
        <rFont val="Arial"/>
        <family val="2"/>
      </rPr>
      <t xml:space="preserve">OE15
</t>
    </r>
    <r>
      <rPr>
        <sz val="10"/>
        <color rgb="FF000000"/>
        <rFont val="Arial"/>
        <family val="2"/>
      </rPr>
      <t>* create order</t>
    </r>
  </si>
  <si>
    <t>CL</t>
  </si>
  <si>
    <r>
      <rPr>
        <b/>
        <sz val="10"/>
        <color rgb="FF000000"/>
        <rFont val="Arial"/>
        <family val="2"/>
      </rPr>
      <t xml:space="preserve">OE45
</t>
    </r>
    <r>
      <rPr>
        <sz val="10"/>
        <color rgb="FF000000"/>
        <rFont val="Arial"/>
        <family val="2"/>
      </rPr>
      <t>* Create order</t>
    </r>
  </si>
  <si>
    <r>
      <rPr>
        <b/>
        <sz val="10"/>
        <color rgb="FF000000"/>
        <rFont val="Arial"/>
        <family val="2"/>
      </rPr>
      <t xml:space="preserve">OE16
</t>
    </r>
    <r>
      <rPr>
        <sz val="10"/>
        <color rgb="FF000000"/>
        <rFont val="Arial"/>
        <family val="2"/>
      </rPr>
      <t>* create order</t>
    </r>
  </si>
  <si>
    <r>
      <rPr>
        <b/>
        <sz val="10"/>
        <color rgb="FF000000"/>
        <rFont val="Arial"/>
        <family val="2"/>
      </rPr>
      <t xml:space="preserve">OE46
</t>
    </r>
    <r>
      <rPr>
        <sz val="10"/>
        <color rgb="FF000000"/>
        <rFont val="Arial"/>
        <family val="2"/>
      </rPr>
      <t>* Create order</t>
    </r>
  </si>
  <si>
    <r>
      <rPr>
        <b/>
        <sz val="10"/>
        <color rgb="FF000000"/>
        <rFont val="Arial"/>
        <family val="2"/>
      </rPr>
      <t xml:space="preserve">OE17
</t>
    </r>
    <r>
      <rPr>
        <sz val="10"/>
        <color rgb="FF000000"/>
        <rFont val="Arial"/>
        <family val="2"/>
      </rPr>
      <t>* create order</t>
    </r>
  </si>
  <si>
    <r>
      <rPr>
        <b/>
        <sz val="10"/>
        <color rgb="FF000000"/>
        <rFont val="Arial"/>
        <family val="2"/>
      </rPr>
      <t xml:space="preserve">OE47
</t>
    </r>
    <r>
      <rPr>
        <sz val="10"/>
        <color rgb="FF000000"/>
        <rFont val="Arial"/>
        <family val="2"/>
      </rPr>
      <t>* Create order</t>
    </r>
  </si>
  <si>
    <r>
      <rPr>
        <b/>
        <sz val="10"/>
        <color rgb="FF000000"/>
        <rFont val="Arial"/>
        <family val="2"/>
      </rPr>
      <t xml:space="preserve">OE19
</t>
    </r>
    <r>
      <rPr>
        <sz val="10"/>
        <color rgb="FF000000"/>
        <rFont val="Arial"/>
        <family val="2"/>
      </rPr>
      <t>* create order</t>
    </r>
  </si>
  <si>
    <r>
      <rPr>
        <b/>
        <sz val="10"/>
        <color rgb="FF000000"/>
        <rFont val="Arial"/>
        <family val="2"/>
      </rPr>
      <t xml:space="preserve">OE14
</t>
    </r>
    <r>
      <rPr>
        <sz val="10"/>
        <color rgb="FF000000"/>
        <rFont val="Arial"/>
        <family val="2"/>
      </rPr>
      <t>* decom kit</t>
    </r>
  </si>
  <si>
    <r>
      <rPr>
        <b/>
        <sz val="10"/>
        <color rgb="FF000000"/>
        <rFont val="Arial"/>
        <family val="2"/>
      </rPr>
      <t xml:space="preserve">OE21
</t>
    </r>
    <r>
      <rPr>
        <sz val="10"/>
        <color rgb="FF000000"/>
        <rFont val="Arial"/>
        <family val="2"/>
      </rPr>
      <t>* create order</t>
    </r>
  </si>
  <si>
    <r>
      <rPr>
        <b/>
        <sz val="10"/>
        <color rgb="FF000000"/>
        <rFont val="Arial"/>
        <family val="2"/>
      </rPr>
      <t xml:space="preserve">OE20 
</t>
    </r>
    <r>
      <rPr>
        <sz val="10"/>
        <color rgb="FF000000"/>
        <rFont val="Arial"/>
        <family val="2"/>
      </rPr>
      <t>* install kit</t>
    </r>
  </si>
  <si>
    <r>
      <rPr>
        <b/>
        <sz val="10"/>
        <color rgb="FF000000"/>
        <rFont val="Arial"/>
        <family val="2"/>
      </rPr>
      <t xml:space="preserve">OE22
</t>
    </r>
    <r>
      <rPr>
        <sz val="10"/>
        <color rgb="FF000000"/>
        <rFont val="Arial"/>
        <family val="2"/>
      </rPr>
      <t>* create order</t>
    </r>
  </si>
  <si>
    <r>
      <rPr>
        <b/>
        <sz val="10"/>
        <color rgb="FF000000"/>
        <rFont val="Arial"/>
        <family val="2"/>
      </rPr>
      <t xml:space="preserve">TA08
</t>
    </r>
    <r>
      <rPr>
        <sz val="10"/>
        <color rgb="FF000000"/>
        <rFont val="Arial"/>
        <family val="2"/>
      </rPr>
      <t>* start atv breaches</t>
    </r>
  </si>
  <si>
    <r>
      <rPr>
        <b/>
        <sz val="10"/>
        <color rgb="FF000000"/>
        <rFont val="Arial"/>
        <family val="2"/>
      </rPr>
      <t xml:space="preserve">OE23
</t>
    </r>
    <r>
      <rPr>
        <sz val="10"/>
        <color rgb="FF000000"/>
        <rFont val="Arial"/>
        <family val="2"/>
      </rPr>
      <t>* create order</t>
    </r>
  </si>
  <si>
    <r>
      <rPr>
        <b/>
        <sz val="10"/>
        <color rgb="FF000000"/>
        <rFont val="Arial"/>
        <family val="2"/>
      </rPr>
      <t xml:space="preserve">OE24
</t>
    </r>
    <r>
      <rPr>
        <sz val="10"/>
        <color rgb="FF000000"/>
        <rFont val="Arial"/>
        <family val="2"/>
      </rPr>
      <t>* create order</t>
    </r>
  </si>
  <si>
    <r>
      <rPr>
        <b/>
        <sz val="10"/>
        <color rgb="FF000000"/>
        <rFont val="Arial"/>
        <family val="2"/>
      </rPr>
      <t xml:space="preserve">OE25
</t>
    </r>
    <r>
      <rPr>
        <sz val="10"/>
        <color rgb="FF000000"/>
        <rFont val="Arial"/>
        <family val="2"/>
      </rPr>
      <t>* create order</t>
    </r>
  </si>
  <si>
    <r>
      <rPr>
        <b/>
        <sz val="10"/>
        <color rgb="FF000000"/>
        <rFont val="Arial"/>
        <family val="2"/>
      </rPr>
      <t xml:space="preserve">OE26
</t>
    </r>
    <r>
      <rPr>
        <sz val="10"/>
        <color rgb="FF000000"/>
        <rFont val="Arial"/>
        <family val="2"/>
      </rPr>
      <t>* create order</t>
    </r>
  </si>
  <si>
    <r>
      <rPr>
        <b/>
        <sz val="10"/>
        <color rgb="FF000000"/>
        <rFont val="Arial"/>
        <family val="2"/>
      </rPr>
      <t xml:space="preserve">OE27
</t>
    </r>
    <r>
      <rPr>
        <sz val="10"/>
        <color rgb="FF000000"/>
        <rFont val="Arial"/>
        <family val="2"/>
      </rPr>
      <t>* create order</t>
    </r>
  </si>
  <si>
    <r>
      <rPr>
        <b/>
        <sz val="10"/>
        <color rgb="FF000000"/>
        <rFont val="Arial"/>
        <family val="2"/>
      </rPr>
      <t xml:space="preserve">OE28
</t>
    </r>
    <r>
      <rPr>
        <sz val="10"/>
        <color rgb="FF000000"/>
        <rFont val="Arial"/>
        <family val="2"/>
      </rPr>
      <t>* create order</t>
    </r>
  </si>
  <si>
    <r>
      <rPr>
        <b/>
        <sz val="10"/>
        <color rgb="FF000000"/>
        <rFont val="Arial"/>
        <family val="2"/>
      </rPr>
      <t xml:space="preserve">OE29
</t>
    </r>
    <r>
      <rPr>
        <sz val="10"/>
        <color rgb="FF000000"/>
        <rFont val="Arial"/>
        <family val="2"/>
      </rPr>
      <t>* create order</t>
    </r>
  </si>
  <si>
    <r>
      <rPr>
        <b/>
        <sz val="10"/>
        <color rgb="FF000000"/>
        <rFont val="Arial"/>
        <family val="2"/>
      </rPr>
      <t xml:space="preserve">OE30
</t>
    </r>
    <r>
      <rPr>
        <sz val="10"/>
        <color rgb="FF000000"/>
        <rFont val="Arial"/>
        <family val="2"/>
      </rPr>
      <t>* create order</t>
    </r>
  </si>
  <si>
    <r>
      <rPr>
        <b/>
        <sz val="10"/>
        <color rgb="FF000000"/>
        <rFont val="Arial"/>
        <family val="2"/>
      </rPr>
      <t xml:space="preserve">OE31
</t>
    </r>
    <r>
      <rPr>
        <sz val="10"/>
        <color rgb="FF000000"/>
        <rFont val="Arial"/>
        <family val="2"/>
      </rPr>
      <t>* create order</t>
    </r>
  </si>
  <si>
    <r>
      <rPr>
        <b/>
        <sz val="10"/>
        <color rgb="FF000000"/>
        <rFont val="Arial"/>
        <family val="2"/>
      </rPr>
      <t xml:space="preserve">AC01
</t>
    </r>
    <r>
      <rPr>
        <sz val="10"/>
        <color rgb="FF000000"/>
        <rFont val="Arial"/>
        <family val="2"/>
      </rPr>
      <t>* create order</t>
    </r>
  </si>
  <si>
    <r>
      <rPr>
        <b/>
        <sz val="10"/>
        <color rgb="FF000000"/>
        <rFont val="Arial"/>
        <family val="2"/>
      </rPr>
      <t xml:space="preserve">AC02
</t>
    </r>
    <r>
      <rPr>
        <sz val="10"/>
        <color rgb="FF000000"/>
        <rFont val="Arial"/>
        <family val="2"/>
      </rPr>
      <t>* create order</t>
    </r>
  </si>
  <si>
    <r>
      <rPr>
        <b/>
        <sz val="10"/>
        <color rgb="FF000000"/>
        <rFont val="Arial"/>
        <family val="2"/>
      </rPr>
      <t xml:space="preserve">AC03
</t>
    </r>
    <r>
      <rPr>
        <sz val="10"/>
        <color rgb="FF000000"/>
        <rFont val="Arial"/>
        <family val="2"/>
      </rPr>
      <t>* create order</t>
    </r>
  </si>
  <si>
    <r>
      <rPr>
        <b/>
        <sz val="10"/>
        <color rgb="FF000000"/>
        <rFont val="Arial"/>
        <family val="2"/>
      </rPr>
      <t xml:space="preserve">AC04
</t>
    </r>
    <r>
      <rPr>
        <sz val="10"/>
        <color rgb="FF000000"/>
        <rFont val="Arial"/>
        <family val="2"/>
      </rPr>
      <t>* create order</t>
    </r>
  </si>
  <si>
    <r>
      <rPr>
        <b/>
        <sz val="10"/>
        <color rgb="FF000000"/>
        <rFont val="Arial"/>
        <family val="2"/>
      </rPr>
      <t xml:space="preserve">TA40
</t>
    </r>
    <r>
      <rPr>
        <sz val="10"/>
        <color rgb="FF000000"/>
        <rFont val="Arial"/>
        <family val="2"/>
      </rPr>
      <t xml:space="preserve">* once the 2x no shows are complete - create a new installation work order </t>
    </r>
  </si>
  <si>
    <r>
      <rPr>
        <b/>
        <sz val="10"/>
        <color rgb="FF000000"/>
        <rFont val="Arial"/>
        <family val="2"/>
      </rPr>
      <t xml:space="preserve">TA40
</t>
    </r>
    <r>
      <rPr>
        <sz val="10"/>
        <color rgb="FF000000"/>
        <rFont val="Arial"/>
        <family val="2"/>
      </rPr>
      <t>* threatening words &amp; behaviour</t>
    </r>
  </si>
  <si>
    <r>
      <rPr>
        <b/>
        <sz val="10"/>
        <color rgb="FF000000"/>
        <rFont val="Arial"/>
        <family val="2"/>
      </rPr>
      <t xml:space="preserve">TA40
</t>
    </r>
    <r>
      <rPr>
        <sz val="10"/>
        <color rgb="FF000000"/>
        <rFont val="Arial"/>
        <family val="2"/>
      </rPr>
      <t>* breach</t>
    </r>
  </si>
  <si>
    <r>
      <rPr>
        <b/>
        <sz val="10"/>
        <color rgb="FF000000"/>
        <rFont val="Arial"/>
        <family val="2"/>
      </rPr>
      <t xml:space="preserve">TA58
</t>
    </r>
    <r>
      <rPr>
        <sz val="10"/>
        <color rgb="FF000000"/>
        <rFont val="Arial"/>
        <family val="2"/>
      </rPr>
      <t>* aggregation</t>
    </r>
  </si>
  <si>
    <r>
      <rPr>
        <b/>
        <sz val="10"/>
        <color rgb="FF000000"/>
        <rFont val="Arial"/>
        <family val="2"/>
      </rPr>
      <t xml:space="preserve">TA59
</t>
    </r>
    <r>
      <rPr>
        <sz val="10"/>
        <color rgb="FF000000"/>
        <rFont val="Arial"/>
        <family val="2"/>
      </rPr>
      <t>* aggregation</t>
    </r>
  </si>
  <si>
    <r>
      <rPr>
        <b/>
        <sz val="10"/>
        <color rgb="FF000000"/>
        <rFont val="Arial"/>
        <family val="2"/>
      </rPr>
      <t xml:space="preserve">TA60
</t>
    </r>
    <r>
      <rPr>
        <sz val="10"/>
        <color rgb="FF000000"/>
        <rFont val="Arial"/>
        <family val="2"/>
      </rPr>
      <t>* aggregation</t>
    </r>
  </si>
  <si>
    <r>
      <rPr>
        <b/>
        <sz val="10"/>
        <color rgb="FF000000"/>
        <rFont val="Arial"/>
        <family val="2"/>
      </rPr>
      <t xml:space="preserve">TA61
</t>
    </r>
    <r>
      <rPr>
        <sz val="10"/>
        <color rgb="FF000000"/>
        <rFont val="Arial"/>
        <family val="2"/>
      </rPr>
      <t>* aggregation</t>
    </r>
  </si>
  <si>
    <r>
      <rPr>
        <b/>
        <sz val="10"/>
        <color rgb="FF000000"/>
        <rFont val="Arial"/>
        <family val="2"/>
      </rPr>
      <t xml:space="preserve">TA62
</t>
    </r>
    <r>
      <rPr>
        <sz val="10"/>
        <color rgb="FF000000"/>
        <rFont val="Arial"/>
        <family val="2"/>
      </rPr>
      <t>* aggregation</t>
    </r>
  </si>
  <si>
    <r>
      <rPr>
        <b/>
        <sz val="10"/>
        <color rgb="FF000000"/>
        <rFont val="Arial"/>
        <family val="2"/>
      </rPr>
      <t xml:space="preserve">TA46
</t>
    </r>
    <r>
      <rPr>
        <sz val="10"/>
        <color rgb="FF000000"/>
        <rFont val="Arial"/>
        <family val="2"/>
      </rPr>
      <t>* 1x threatening words &amp; behaviour</t>
    </r>
  </si>
  <si>
    <t>OE49</t>
  </si>
  <si>
    <t>OE50</t>
  </si>
  <si>
    <t>Issue/Defect</t>
  </si>
  <si>
    <t>SERCO JIRA ID</t>
  </si>
  <si>
    <t>SNOW defect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</si>
</sst>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mm/yyyy;@"/>
    <numFmt numFmtId="166" formatCode="0.0"/>
  </numFmts>
  <fonts count="55" x14ac:knownFonts="1">
    <font>
      <sz val="10"/>
      <name val="Arial"/>
    </font>
    <font>
      <b/>
      <sz val="10"/>
      <name val="Arial"/>
      <family val="2"/>
    </font>
    <font>
      <sz val="8"/>
      <name val="Arial"/>
      <family val="2"/>
    </font>
    <font>
      <sz val="10"/>
      <name val="Arial"/>
      <family val="2"/>
    </font>
    <font>
      <i/>
      <sz val="10"/>
      <name val="Arial"/>
      <family val="2"/>
    </font>
    <font>
      <sz val="9"/>
      <color indexed="81"/>
      <name val="Tahoma"/>
      <family val="2"/>
    </font>
    <font>
      <b/>
      <sz val="9"/>
      <color indexed="81"/>
      <name val="Tahoma"/>
      <family val="2"/>
    </font>
    <font>
      <sz val="8"/>
      <name val="Arial"/>
      <family val="2"/>
    </font>
    <font>
      <sz val="8"/>
      <name val="Arial"/>
      <family val="2"/>
    </font>
    <font>
      <sz val="10"/>
      <color rgb="FFFF0000"/>
      <name val="Arial"/>
      <family val="2"/>
    </font>
    <font>
      <sz val="10"/>
      <color theme="6" tint="-0.499984740745262"/>
      <name val="Arial"/>
      <family val="2"/>
    </font>
    <font>
      <strike/>
      <sz val="10"/>
      <color rgb="FFFF0000"/>
      <name val="Arial"/>
      <family val="2"/>
    </font>
    <font>
      <sz val="10"/>
      <color theme="6" tint="-0.249977111117893"/>
      <name val="Arial"/>
      <family val="2"/>
    </font>
    <font>
      <sz val="10"/>
      <color rgb="FF000000"/>
      <name val="Arial"/>
      <family val="2"/>
    </font>
    <font>
      <sz val="9"/>
      <name val="Arial"/>
      <family val="2"/>
    </font>
    <font>
      <sz val="9"/>
      <color rgb="FF000000"/>
      <name val="Arial"/>
      <family val="2"/>
    </font>
    <font>
      <sz val="8"/>
      <color rgb="FF000000"/>
      <name val="Arial"/>
      <family val="2"/>
    </font>
    <font>
      <i/>
      <sz val="10"/>
      <color rgb="FF000000"/>
      <name val="Arial"/>
      <family val="2"/>
    </font>
    <font>
      <u/>
      <sz val="10"/>
      <color theme="10"/>
      <name val="Arial"/>
      <family val="2"/>
    </font>
    <font>
      <sz val="10"/>
      <color rgb="FF00B050"/>
      <name val="Arial"/>
      <family val="2"/>
    </font>
    <font>
      <sz val="11"/>
      <color rgb="FF000000"/>
      <name val="Aptos Narrow"/>
      <family val="2"/>
    </font>
    <font>
      <sz val="11"/>
      <color rgb="FF000000"/>
      <name val="Aptos"/>
      <family val="2"/>
    </font>
    <font>
      <sz val="11"/>
      <color rgb="FF242424"/>
      <name val="Aptos Narrow"/>
      <family val="2"/>
    </font>
    <font>
      <sz val="10"/>
      <color rgb="FF242424"/>
      <name val="Arial"/>
      <family val="2"/>
    </font>
    <font>
      <sz val="10"/>
      <color rgb="FF000000"/>
      <name val="Calibri"/>
      <family val="2"/>
      <scheme val="minor"/>
    </font>
    <font>
      <i/>
      <sz val="10"/>
      <name val="Calibri"/>
      <family val="2"/>
      <scheme val="minor"/>
    </font>
    <font>
      <sz val="10"/>
      <name val="Calibri"/>
      <family val="2"/>
      <scheme val="minor"/>
    </font>
    <font>
      <b/>
      <sz val="10"/>
      <color rgb="FF000000"/>
      <name val="Arial"/>
      <family val="2"/>
    </font>
    <font>
      <i/>
      <sz val="10"/>
      <color rgb="FF00B050"/>
      <name val="Arial"/>
      <family val="2"/>
    </font>
    <font>
      <sz val="11"/>
      <color rgb="FF000000"/>
      <name val="Calibri"/>
      <family val="2"/>
      <scheme val="minor"/>
    </font>
    <font>
      <b/>
      <u/>
      <sz val="10"/>
      <color rgb="FF000000"/>
      <name val="Arial"/>
      <family val="2"/>
    </font>
    <font>
      <i/>
      <sz val="11"/>
      <color rgb="FF000000"/>
      <name val="Aptos Narrow"/>
      <family val="2"/>
    </font>
    <font>
      <sz val="12"/>
      <name val="Aptos"/>
      <family val="2"/>
      <charset val="1"/>
    </font>
    <font>
      <sz val="10"/>
      <color rgb="FF000000"/>
      <name val="Arial"/>
      <family val="2"/>
    </font>
    <font>
      <sz val="10"/>
      <color rgb="FF000000"/>
      <name val="Arial"/>
      <family val="2"/>
    </font>
    <font>
      <b/>
      <sz val="11"/>
      <color rgb="FF000000"/>
      <name val="Aptos Narrow"/>
      <family val="2"/>
    </font>
    <font>
      <sz val="10"/>
      <color rgb="FF242424"/>
      <name val="Arial"/>
      <family val="2"/>
    </font>
    <font>
      <sz val="11"/>
      <color rgb="FF242424"/>
      <name val="Arial"/>
      <family val="2"/>
    </font>
    <font>
      <i/>
      <sz val="10"/>
      <name val="Arial"/>
      <family val="2"/>
    </font>
    <font>
      <b/>
      <sz val="10"/>
      <color rgb="FF000000"/>
      <name val="Arial"/>
      <family val="2"/>
    </font>
    <font>
      <sz val="11"/>
      <name val="Aptos"/>
      <family val="2"/>
      <charset val="1"/>
    </font>
    <font>
      <sz val="10"/>
      <color rgb="FF16191F"/>
      <name val="Arial"/>
      <family val="2"/>
    </font>
    <font>
      <sz val="10"/>
      <color theme="1"/>
      <name val="Arial"/>
      <family val="2"/>
    </font>
    <font>
      <i/>
      <sz val="10"/>
      <color theme="1"/>
      <name val="Arial"/>
      <family val="2"/>
    </font>
    <font>
      <sz val="10"/>
      <color theme="1"/>
      <name val="Arial"/>
      <family val="2"/>
    </font>
    <font>
      <i/>
      <sz val="10"/>
      <color theme="1"/>
      <name val="Arial"/>
      <family val="2"/>
    </font>
    <font>
      <sz val="11"/>
      <color theme="1"/>
      <name val="Calibri"/>
      <family val="2"/>
      <scheme val="minor"/>
    </font>
    <font>
      <b/>
      <sz val="12"/>
      <color rgb="FFFFFFFF"/>
      <name val="Arial"/>
      <family val="2"/>
    </font>
    <font>
      <b/>
      <sz val="9"/>
      <color rgb="FFFFFFFF"/>
      <name val="Arial"/>
      <family val="2"/>
    </font>
    <font>
      <sz val="11"/>
      <color rgb="FF6D8693"/>
      <name val="Arial"/>
      <family val="2"/>
    </font>
    <font>
      <b/>
      <sz val="11"/>
      <color rgb="FF000000"/>
      <name val="Calibri"/>
      <family val="2"/>
      <scheme val="minor"/>
    </font>
    <font>
      <sz val="11"/>
      <color rgb="FFFF0066"/>
      <name val="Calibri"/>
      <family val="2"/>
      <scheme val="minor"/>
    </font>
    <font>
      <b/>
      <i/>
      <sz val="11"/>
      <color rgb="FF000000"/>
      <name val="Calibri"/>
      <family val="2"/>
      <scheme val="minor"/>
    </font>
    <font>
      <sz val="11"/>
      <name val="Calibri"/>
      <family val="2"/>
      <scheme val="minor"/>
    </font>
    <font>
      <sz val="11"/>
      <color rgb="FF000000"/>
      <name val="Aptos"/>
      <family val="2"/>
      <charset val="1"/>
    </font>
  </fonts>
  <fills count="17">
    <fill>
      <patternFill patternType="none"/>
    </fill>
    <fill>
      <patternFill patternType="gray125"/>
    </fill>
    <fill>
      <patternFill patternType="solid">
        <fgColor indexed="44"/>
        <bgColor indexed="64"/>
      </patternFill>
    </fill>
    <fill>
      <patternFill patternType="solid">
        <fgColor indexed="9"/>
        <bgColor indexed="64"/>
      </patternFill>
    </fill>
    <fill>
      <patternFill patternType="solid">
        <fgColor indexed="46"/>
        <bgColor indexed="64"/>
      </patternFill>
    </fill>
    <fill>
      <patternFill patternType="solid">
        <fgColor indexed="47"/>
        <bgColor indexed="64"/>
      </patternFill>
    </fill>
    <fill>
      <patternFill patternType="solid">
        <fgColor indexed="42"/>
        <bgColor indexed="64"/>
      </patternFill>
    </fill>
    <fill>
      <patternFill patternType="solid">
        <fgColor theme="0"/>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rgb="FF215C98"/>
        <bgColor rgb="FF000000"/>
      </patternFill>
    </fill>
    <fill>
      <patternFill patternType="solid">
        <fgColor rgb="FFFFFF00"/>
        <bgColor indexed="64"/>
      </patternFill>
    </fill>
    <fill>
      <patternFill patternType="solid">
        <fgColor theme="0" tint="-0.249977111117893"/>
        <bgColor indexed="64"/>
      </patternFill>
    </fill>
    <fill>
      <patternFill patternType="solid">
        <fgColor theme="3" tint="0.79998168889431442"/>
        <bgColor indexed="64"/>
      </patternFill>
    </fill>
  </fills>
  <borders count="38">
    <border>
      <left/>
      <right/>
      <top/>
      <bottom/>
      <diagonal/>
    </border>
    <border>
      <left style="medium">
        <color indexed="64"/>
      </left>
      <right/>
      <top/>
      <bottom/>
      <diagonal/>
    </border>
    <border>
      <left/>
      <right/>
      <top style="medium">
        <color indexed="64"/>
      </top>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indexed="64"/>
      </left>
      <right/>
      <top/>
      <bottom style="thin">
        <color indexed="64"/>
      </bottom>
      <diagonal/>
    </border>
    <border>
      <left/>
      <right style="thin">
        <color rgb="FF000000"/>
      </right>
      <top/>
      <bottom style="thin">
        <color rgb="FF000000"/>
      </bottom>
      <diagonal/>
    </border>
    <border>
      <left/>
      <right/>
      <top/>
      <bottom style="thin">
        <color rgb="FF000000"/>
      </bottom>
      <diagonal/>
    </border>
    <border>
      <left/>
      <right/>
      <top style="thin">
        <color rgb="FF000000"/>
      </top>
      <bottom style="thin">
        <color rgb="FF000000"/>
      </bottom>
      <diagonal/>
    </border>
    <border>
      <left/>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s>
  <cellStyleXfs count="4">
    <xf numFmtId="0" fontId="0" fillId="0" borderId="0"/>
    <xf numFmtId="0" fontId="3" fillId="0" borderId="0"/>
    <xf numFmtId="0" fontId="18" fillId="0" borderId="0" applyNumberFormat="0" applyFill="0" applyBorder="0" applyAlignment="0" applyProtection="0"/>
    <xf numFmtId="0" fontId="46" fillId="0" borderId="0"/>
  </cellStyleXfs>
  <cellXfs count="511">
    <xf numFmtId="0" fontId="0" fillId="0" borderId="0" xfId="0"/>
    <xf numFmtId="0" fontId="0" fillId="0" borderId="1" xfId="0" applyBorder="1"/>
    <xf numFmtId="0" fontId="0" fillId="0" borderId="0" xfId="0" applyAlignment="1">
      <alignment wrapText="1"/>
    </xf>
    <xf numFmtId="0" fontId="0" fillId="0" borderId="2" xfId="0" applyBorder="1"/>
    <xf numFmtId="0" fontId="0" fillId="0" borderId="3" xfId="0" applyBorder="1"/>
    <xf numFmtId="0" fontId="0" fillId="2" borderId="0" xfId="0" applyFill="1"/>
    <xf numFmtId="0" fontId="0" fillId="2" borderId="3" xfId="0" applyFill="1" applyBorder="1"/>
    <xf numFmtId="0" fontId="0" fillId="2" borderId="1" xfId="0" applyFill="1" applyBorder="1"/>
    <xf numFmtId="0" fontId="0" fillId="2" borderId="4" xfId="0" applyFill="1" applyBorder="1"/>
    <xf numFmtId="0" fontId="1" fillId="3" borderId="1" xfId="0" applyFont="1" applyFill="1" applyBorder="1"/>
    <xf numFmtId="0" fontId="0" fillId="3" borderId="5" xfId="0" applyFill="1" applyBorder="1"/>
    <xf numFmtId="0" fontId="0" fillId="3" borderId="1" xfId="0" applyFill="1" applyBorder="1"/>
    <xf numFmtId="0" fontId="0" fillId="3" borderId="4" xfId="0" applyFill="1" applyBorder="1"/>
    <xf numFmtId="9" fontId="0" fillId="3" borderId="6" xfId="0" applyNumberFormat="1" applyFill="1" applyBorder="1"/>
    <xf numFmtId="0" fontId="1" fillId="3" borderId="7" xfId="0" applyFont="1" applyFill="1" applyBorder="1"/>
    <xf numFmtId="0" fontId="0" fillId="3" borderId="2" xfId="0" applyFill="1" applyBorder="1"/>
    <xf numFmtId="0" fontId="0" fillId="3" borderId="8" xfId="0" applyFill="1" applyBorder="1"/>
    <xf numFmtId="0" fontId="0" fillId="3" borderId="0" xfId="0" applyFill="1"/>
    <xf numFmtId="9" fontId="0" fillId="3" borderId="5" xfId="0" applyNumberFormat="1" applyFill="1" applyBorder="1"/>
    <xf numFmtId="0" fontId="0" fillId="3" borderId="9" xfId="0" applyFill="1" applyBorder="1"/>
    <xf numFmtId="0" fontId="0" fillId="3" borderId="10" xfId="0" applyFill="1" applyBorder="1"/>
    <xf numFmtId="0" fontId="0" fillId="3" borderId="11" xfId="0" applyFill="1" applyBorder="1"/>
    <xf numFmtId="0" fontId="0" fillId="4" borderId="0" xfId="0" applyFill="1"/>
    <xf numFmtId="0" fontId="0" fillId="4" borderId="3" xfId="0" applyFill="1" applyBorder="1"/>
    <xf numFmtId="0" fontId="0" fillId="4" borderId="1" xfId="0" applyFill="1" applyBorder="1"/>
    <xf numFmtId="0" fontId="0" fillId="4" borderId="4" xfId="0" applyFill="1" applyBorder="1"/>
    <xf numFmtId="0" fontId="0" fillId="5" borderId="7" xfId="0" applyFill="1" applyBorder="1"/>
    <xf numFmtId="0" fontId="0" fillId="5" borderId="2" xfId="0" applyFill="1" applyBorder="1"/>
    <xf numFmtId="0" fontId="0" fillId="5" borderId="8" xfId="0" applyFill="1" applyBorder="1"/>
    <xf numFmtId="0" fontId="0" fillId="5" borderId="1" xfId="0" applyFill="1" applyBorder="1"/>
    <xf numFmtId="0" fontId="0" fillId="5" borderId="3" xfId="0" applyFill="1" applyBorder="1"/>
    <xf numFmtId="0" fontId="0" fillId="5" borderId="0" xfId="0" applyFill="1"/>
    <xf numFmtId="0" fontId="0" fillId="5" borderId="5" xfId="0" applyFill="1" applyBorder="1"/>
    <xf numFmtId="0" fontId="0" fillId="5" borderId="4" xfId="0" applyFill="1" applyBorder="1"/>
    <xf numFmtId="0" fontId="0" fillId="5" borderId="6" xfId="0" applyFill="1" applyBorder="1"/>
    <xf numFmtId="0" fontId="1" fillId="0" borderId="12" xfId="0" applyFont="1" applyBorder="1"/>
    <xf numFmtId="0" fontId="1" fillId="0" borderId="12" xfId="0" applyFont="1" applyBorder="1" applyAlignment="1">
      <alignment wrapText="1"/>
    </xf>
    <xf numFmtId="0" fontId="1" fillId="0" borderId="0" xfId="0" applyFont="1"/>
    <xf numFmtId="0" fontId="0" fillId="6" borderId="0" xfId="0" applyFill="1"/>
    <xf numFmtId="0" fontId="0" fillId="6" borderId="3" xfId="0" applyFill="1" applyBorder="1"/>
    <xf numFmtId="0" fontId="0" fillId="6" borderId="1" xfId="0" applyFill="1" applyBorder="1"/>
    <xf numFmtId="0" fontId="0" fillId="6" borderId="4" xfId="0" applyFill="1" applyBorder="1"/>
    <xf numFmtId="0" fontId="0" fillId="6" borderId="7" xfId="0" applyFill="1" applyBorder="1"/>
    <xf numFmtId="0" fontId="0" fillId="6" borderId="2" xfId="0" applyFill="1" applyBorder="1"/>
    <xf numFmtId="0" fontId="0" fillId="6" borderId="8" xfId="0" applyFill="1" applyBorder="1"/>
    <xf numFmtId="0" fontId="0" fillId="6" borderId="5" xfId="0" applyFill="1" applyBorder="1"/>
    <xf numFmtId="0" fontId="0" fillId="6" borderId="6" xfId="0" applyFill="1" applyBorder="1"/>
    <xf numFmtId="0" fontId="3" fillId="0" borderId="12" xfId="0" applyFont="1" applyBorder="1" applyAlignment="1">
      <alignment horizontal="left" vertical="center" wrapText="1"/>
    </xf>
    <xf numFmtId="0" fontId="4" fillId="0" borderId="0" xfId="0" applyFont="1"/>
    <xf numFmtId="0" fontId="4" fillId="0" borderId="0" xfId="0" applyFont="1" applyAlignment="1">
      <alignment horizontal="left" vertical="top" wrapText="1"/>
    </xf>
    <xf numFmtId="0" fontId="3" fillId="0" borderId="12" xfId="0" applyFont="1" applyBorder="1" applyAlignment="1">
      <alignment vertical="center" wrapText="1"/>
    </xf>
    <xf numFmtId="0" fontId="3" fillId="0" borderId="12" xfId="0" quotePrefix="1" applyFont="1" applyBorder="1" applyAlignment="1">
      <alignment vertical="center" wrapText="1"/>
    </xf>
    <xf numFmtId="0" fontId="3" fillId="0" borderId="12" xfId="0" applyFont="1" applyBorder="1" applyAlignment="1">
      <alignment horizontal="center" vertical="center"/>
    </xf>
    <xf numFmtId="0" fontId="3" fillId="0" borderId="12" xfId="0" quotePrefix="1" applyFont="1" applyBorder="1" applyAlignment="1">
      <alignment horizontal="left" vertical="center" wrapText="1"/>
    </xf>
    <xf numFmtId="0" fontId="3" fillId="3" borderId="1" xfId="0" applyFont="1" applyFill="1" applyBorder="1"/>
    <xf numFmtId="0" fontId="3" fillId="0" borderId="0" xfId="0" applyFont="1" applyAlignment="1">
      <alignment horizontal="left" wrapText="1"/>
    </xf>
    <xf numFmtId="1" fontId="0" fillId="3" borderId="5" xfId="0" applyNumberFormat="1" applyFill="1" applyBorder="1"/>
    <xf numFmtId="0" fontId="3" fillId="0" borderId="0" xfId="0" applyFont="1"/>
    <xf numFmtId="164" fontId="3" fillId="0" borderId="12" xfId="0" quotePrefix="1" applyNumberFormat="1" applyFont="1" applyBorder="1" applyAlignment="1">
      <alignment horizontal="left"/>
    </xf>
    <xf numFmtId="164" fontId="0" fillId="0" borderId="12" xfId="0" quotePrefix="1" applyNumberFormat="1" applyBorder="1" applyAlignment="1">
      <alignment horizontal="left"/>
    </xf>
    <xf numFmtId="0" fontId="3" fillId="0" borderId="12" xfId="0" applyFont="1" applyBorder="1" applyAlignment="1" applyProtection="1">
      <alignment wrapText="1"/>
      <protection locked="0"/>
    </xf>
    <xf numFmtId="0" fontId="3" fillId="0" borderId="12" xfId="0" applyFont="1" applyBorder="1" applyProtection="1">
      <protection locked="0"/>
    </xf>
    <xf numFmtId="0" fontId="0" fillId="0" borderId="12" xfId="0" applyBorder="1" applyProtection="1">
      <protection locked="0"/>
    </xf>
    <xf numFmtId="0" fontId="0" fillId="0" borderId="12" xfId="0" applyBorder="1" applyAlignment="1" applyProtection="1">
      <alignment wrapText="1"/>
      <protection locked="0"/>
    </xf>
    <xf numFmtId="0" fontId="3" fillId="0" borderId="12" xfId="0" quotePrefix="1" applyFont="1" applyBorder="1" applyAlignment="1" applyProtection="1">
      <alignment horizontal="left" wrapText="1"/>
      <protection locked="0"/>
    </xf>
    <xf numFmtId="0" fontId="3" fillId="0" borderId="12" xfId="0" applyFont="1" applyBorder="1" applyAlignment="1" applyProtection="1">
      <alignment horizontal="left" wrapText="1"/>
      <protection locked="0"/>
    </xf>
    <xf numFmtId="1" fontId="3" fillId="0" borderId="12" xfId="0" applyNumberFormat="1" applyFont="1" applyBorder="1" applyAlignment="1" applyProtection="1">
      <alignment horizontal="center" vertical="center"/>
      <protection locked="0"/>
    </xf>
    <xf numFmtId="0" fontId="1" fillId="0" borderId="12" xfId="0" applyFont="1" applyBorder="1" applyAlignment="1" applyProtection="1">
      <alignment horizontal="center"/>
      <protection locked="0"/>
    </xf>
    <xf numFmtId="0" fontId="1" fillId="0" borderId="12" xfId="0" applyFont="1" applyBorder="1" applyAlignment="1" applyProtection="1">
      <alignment horizontal="center" wrapText="1"/>
      <protection locked="0"/>
    </xf>
    <xf numFmtId="1" fontId="1" fillId="0" borderId="12" xfId="0" applyNumberFormat="1" applyFont="1" applyBorder="1" applyAlignment="1" applyProtection="1">
      <alignment horizontal="center" wrapText="1"/>
      <protection locked="0"/>
    </xf>
    <xf numFmtId="0" fontId="1" fillId="0" borderId="12" xfId="0" applyFont="1" applyBorder="1" applyAlignment="1" applyProtection="1">
      <alignment horizontal="left" wrapText="1"/>
      <protection locked="0"/>
    </xf>
    <xf numFmtId="0" fontId="3" fillId="0" borderId="0" xfId="0" applyFont="1" applyAlignment="1">
      <alignment wrapText="1"/>
    </xf>
    <xf numFmtId="0" fontId="3" fillId="0" borderId="0" xfId="0" applyFont="1" applyAlignment="1">
      <alignment horizontal="center"/>
    </xf>
    <xf numFmtId="1" fontId="3" fillId="0" borderId="0" xfId="0" applyNumberFormat="1" applyFont="1" applyAlignment="1">
      <alignment horizontal="center"/>
    </xf>
    <xf numFmtId="0" fontId="0" fillId="0" borderId="12" xfId="0" applyBorder="1" applyAlignment="1">
      <alignment horizontal="center"/>
    </xf>
    <xf numFmtId="0" fontId="0" fillId="0" borderId="12" xfId="0" applyBorder="1" applyAlignment="1">
      <alignment horizontal="center" vertical="center"/>
    </xf>
    <xf numFmtId="0" fontId="0" fillId="0" borderId="12" xfId="0" applyBorder="1" applyAlignment="1">
      <alignment wrapText="1"/>
    </xf>
    <xf numFmtId="0" fontId="9" fillId="0" borderId="12" xfId="0" applyFont="1" applyBorder="1" applyAlignment="1">
      <alignment wrapText="1"/>
    </xf>
    <xf numFmtId="0" fontId="9" fillId="0" borderId="12" xfId="0" applyFont="1" applyBorder="1"/>
    <xf numFmtId="0" fontId="9" fillId="0" borderId="12" xfId="0" applyFont="1" applyBorder="1" applyAlignment="1" applyProtection="1">
      <alignment horizontal="left" wrapText="1"/>
      <protection locked="0"/>
    </xf>
    <xf numFmtId="0" fontId="3" fillId="0" borderId="12" xfId="0" applyFont="1" applyBorder="1" applyAlignment="1">
      <alignment wrapText="1"/>
    </xf>
    <xf numFmtId="0" fontId="4" fillId="0" borderId="12" xfId="0" applyFont="1" applyBorder="1"/>
    <xf numFmtId="0" fontId="3" fillId="0" borderId="12" xfId="0" applyFont="1" applyBorder="1" applyAlignment="1">
      <alignment horizontal="left" vertical="top" wrapText="1"/>
    </xf>
    <xf numFmtId="0" fontId="4" fillId="0" borderId="13" xfId="0" applyFont="1" applyBorder="1"/>
    <xf numFmtId="0" fontId="4" fillId="0" borderId="12" xfId="0" applyFont="1" applyBorder="1" applyAlignment="1">
      <alignment horizontal="left" vertical="top" wrapText="1"/>
    </xf>
    <xf numFmtId="0" fontId="11" fillId="0" borderId="12" xfId="0" applyFont="1" applyBorder="1"/>
    <xf numFmtId="0" fontId="11" fillId="0" borderId="12" xfId="0" applyFont="1" applyBorder="1" applyAlignment="1">
      <alignment horizontal="left" wrapText="1"/>
    </xf>
    <xf numFmtId="0" fontId="12" fillId="0" borderId="12" xfId="0" applyFont="1" applyBorder="1" applyAlignment="1">
      <alignment horizontal="left" wrapText="1"/>
    </xf>
    <xf numFmtId="0" fontId="4" fillId="0" borderId="12" xfId="0" applyFont="1" applyBorder="1" applyAlignment="1">
      <alignment vertical="center" wrapText="1"/>
    </xf>
    <xf numFmtId="0" fontId="13" fillId="0" borderId="12" xfId="0" applyFont="1" applyBorder="1" applyAlignment="1">
      <alignment horizontal="center" vertical="center"/>
    </xf>
    <xf numFmtId="0" fontId="14" fillId="7" borderId="12" xfId="0" applyFont="1" applyFill="1" applyBorder="1" applyAlignment="1">
      <alignment horizontal="left" vertical="center" wrapText="1"/>
    </xf>
    <xf numFmtId="0" fontId="14" fillId="0" borderId="12" xfId="0" applyFont="1" applyBorder="1" applyAlignment="1">
      <alignment horizontal="left" vertical="center" wrapText="1"/>
    </xf>
    <xf numFmtId="0" fontId="3" fillId="7" borderId="12" xfId="0" applyFont="1" applyFill="1" applyBorder="1" applyAlignment="1">
      <alignment horizontal="left" vertical="center" wrapText="1"/>
    </xf>
    <xf numFmtId="0" fontId="15" fillId="0" borderId="12" xfId="0" applyFont="1" applyBorder="1" applyAlignment="1">
      <alignment horizontal="left" vertical="center" wrapText="1"/>
    </xf>
    <xf numFmtId="0" fontId="0" fillId="0" borderId="12" xfId="0" applyBorder="1" applyAlignment="1">
      <alignment horizontal="left" wrapText="1"/>
    </xf>
    <xf numFmtId="0" fontId="13" fillId="0" borderId="15" xfId="0" quotePrefix="1" applyFont="1" applyBorder="1" applyAlignment="1" applyProtection="1">
      <alignment horizontal="left" wrapText="1"/>
      <protection locked="0"/>
    </xf>
    <xf numFmtId="0" fontId="0" fillId="0" borderId="15" xfId="0" applyBorder="1" applyAlignment="1">
      <alignment horizontal="left" wrapText="1"/>
    </xf>
    <xf numFmtId="0" fontId="9" fillId="0" borderId="14" xfId="0" applyFont="1" applyBorder="1" applyAlignment="1">
      <alignment wrapText="1"/>
    </xf>
    <xf numFmtId="0" fontId="10" fillId="0" borderId="14" xfId="0" applyFont="1" applyBorder="1" applyAlignment="1" applyProtection="1">
      <alignment wrapText="1"/>
      <protection locked="0"/>
    </xf>
    <xf numFmtId="0" fontId="0" fillId="0" borderId="12" xfId="0" applyBorder="1" applyAlignment="1" applyProtection="1">
      <alignment horizontal="left" wrapText="1"/>
      <protection locked="0"/>
    </xf>
    <xf numFmtId="0" fontId="0" fillId="0" borderId="12" xfId="0" quotePrefix="1" applyBorder="1" applyAlignment="1" applyProtection="1">
      <alignment horizontal="left" wrapText="1"/>
      <protection locked="0"/>
    </xf>
    <xf numFmtId="0" fontId="17" fillId="0" borderId="12" xfId="0" applyFont="1" applyBorder="1" applyAlignment="1" applyProtection="1">
      <alignment horizontal="left" wrapText="1"/>
      <protection locked="0"/>
    </xf>
    <xf numFmtId="0" fontId="0" fillId="0" borderId="12" xfId="0" quotePrefix="1" applyBorder="1" applyAlignment="1">
      <alignment horizontal="left" vertical="center" wrapText="1"/>
    </xf>
    <xf numFmtId="0" fontId="0" fillId="0" borderId="12" xfId="0" applyBorder="1" applyAlignment="1">
      <alignment horizontal="left" vertical="center" wrapText="1"/>
    </xf>
    <xf numFmtId="0" fontId="0" fillId="0" borderId="12" xfId="0" applyBorder="1"/>
    <xf numFmtId="0" fontId="9" fillId="0" borderId="14" xfId="0" applyFont="1" applyBorder="1" applyAlignment="1" applyProtection="1">
      <alignment horizontal="left" wrapText="1"/>
      <protection locked="0"/>
    </xf>
    <xf numFmtId="0" fontId="0" fillId="0" borderId="12" xfId="0" applyBorder="1" applyAlignment="1">
      <alignment horizontal="left" vertical="top" wrapText="1"/>
    </xf>
    <xf numFmtId="1" fontId="0" fillId="0" borderId="12" xfId="0" applyNumberFormat="1" applyBorder="1" applyAlignment="1">
      <alignment horizontal="center"/>
    </xf>
    <xf numFmtId="0" fontId="0" fillId="0" borderId="18" xfId="0" applyBorder="1" applyAlignment="1" applyProtection="1">
      <alignment wrapText="1"/>
      <protection locked="0"/>
    </xf>
    <xf numFmtId="0" fontId="0" fillId="0" borderId="14" xfId="0" applyBorder="1" applyAlignment="1" applyProtection="1">
      <alignment wrapText="1"/>
      <protection locked="0"/>
    </xf>
    <xf numFmtId="1" fontId="0" fillId="0" borderId="12" xfId="0" applyNumberFormat="1" applyBorder="1" applyAlignment="1">
      <alignment horizontal="center" vertical="center"/>
    </xf>
    <xf numFmtId="0" fontId="0" fillId="0" borderId="13" xfId="0" applyBorder="1"/>
    <xf numFmtId="0" fontId="0" fillId="0" borderId="14" xfId="0" applyBorder="1" applyAlignment="1">
      <alignment horizontal="left" wrapText="1"/>
    </xf>
    <xf numFmtId="0" fontId="0" fillId="0" borderId="13" xfId="0" applyBorder="1" applyAlignment="1">
      <alignment horizontal="center"/>
    </xf>
    <xf numFmtId="1" fontId="0" fillId="0" borderId="13" xfId="0" applyNumberFormat="1" applyBorder="1" applyAlignment="1">
      <alignment horizontal="center"/>
    </xf>
    <xf numFmtId="0" fontId="3" fillId="0" borderId="15" xfId="0" quotePrefix="1" applyFont="1" applyBorder="1" applyAlignment="1">
      <alignment horizontal="left" vertical="top" wrapText="1"/>
    </xf>
    <xf numFmtId="0" fontId="3" fillId="0" borderId="16" xfId="0" quotePrefix="1" applyFont="1" applyBorder="1" applyAlignment="1">
      <alignment horizontal="left" vertical="center" wrapText="1"/>
    </xf>
    <xf numFmtId="0" fontId="3" fillId="0" borderId="14" xfId="0" applyFont="1" applyBorder="1" applyAlignment="1">
      <alignment horizontal="center" vertical="center"/>
    </xf>
    <xf numFmtId="0" fontId="0" fillId="0" borderId="14" xfId="0" applyBorder="1" applyAlignment="1">
      <alignment horizontal="center"/>
    </xf>
    <xf numFmtId="0" fontId="14" fillId="0" borderId="12" xfId="0" quotePrefix="1" applyFont="1" applyBorder="1" applyAlignment="1">
      <alignment horizontal="left" vertical="center" wrapText="1"/>
    </xf>
    <xf numFmtId="0" fontId="14" fillId="0" borderId="12" xfId="0" quotePrefix="1" applyFont="1" applyBorder="1" applyAlignment="1">
      <alignment horizontal="left" vertical="top" wrapText="1"/>
    </xf>
    <xf numFmtId="0" fontId="15" fillId="0" borderId="12" xfId="0" quotePrefix="1" applyFont="1" applyBorder="1" applyAlignment="1">
      <alignment horizontal="left" vertical="center" wrapText="1"/>
    </xf>
    <xf numFmtId="0" fontId="15" fillId="0" borderId="12" xfId="0" quotePrefix="1" applyFont="1" applyBorder="1" applyAlignment="1">
      <alignment horizontal="left" vertical="top" wrapText="1"/>
    </xf>
    <xf numFmtId="0" fontId="16" fillId="0" borderId="12" xfId="0" quotePrefix="1" applyFont="1" applyBorder="1" applyAlignment="1">
      <alignment horizontal="left" vertical="center" wrapText="1"/>
    </xf>
    <xf numFmtId="0" fontId="0" fillId="0" borderId="12" xfId="0" quotePrefix="1" applyBorder="1" applyAlignment="1">
      <alignment horizontal="left" vertical="top" wrapText="1"/>
    </xf>
    <xf numFmtId="0" fontId="0" fillId="0" borderId="17" xfId="0" quotePrefix="1" applyBorder="1" applyAlignment="1" applyProtection="1">
      <alignment horizontal="left" wrapText="1"/>
      <protection locked="0"/>
    </xf>
    <xf numFmtId="0" fontId="0" fillId="0" borderId="16" xfId="0" applyBorder="1" applyAlignment="1">
      <alignment horizontal="center" vertical="center"/>
    </xf>
    <xf numFmtId="0" fontId="0" fillId="0" borderId="15" xfId="0" quotePrefix="1" applyBorder="1" applyAlignment="1" applyProtection="1">
      <alignment horizontal="left" wrapText="1"/>
      <protection locked="0"/>
    </xf>
    <xf numFmtId="0" fontId="0" fillId="0" borderId="16" xfId="0" applyBorder="1" applyAlignment="1">
      <alignment horizontal="center"/>
    </xf>
    <xf numFmtId="0" fontId="0" fillId="0" borderId="12" xfId="0" applyBorder="1" applyAlignment="1">
      <alignment vertical="center" wrapText="1"/>
    </xf>
    <xf numFmtId="0" fontId="0" fillId="0" borderId="12" xfId="0" quotePrefix="1" applyBorder="1" applyAlignment="1">
      <alignment horizontal="center" vertical="top" wrapText="1"/>
    </xf>
    <xf numFmtId="0" fontId="3" fillId="0" borderId="12" xfId="0" applyFont="1" applyBorder="1" applyAlignment="1" applyProtection="1">
      <alignment horizontal="center" vertical="center"/>
      <protection locked="0"/>
    </xf>
    <xf numFmtId="0" fontId="18" fillId="0" borderId="0" xfId="2" applyFill="1"/>
    <xf numFmtId="0" fontId="0" fillId="0" borderId="12" xfId="0" quotePrefix="1" applyBorder="1" applyAlignment="1">
      <alignment vertical="center" wrapText="1"/>
    </xf>
    <xf numFmtId="0" fontId="0" fillId="0" borderId="0" xfId="0" applyAlignment="1">
      <alignment vertical="center" wrapText="1"/>
    </xf>
    <xf numFmtId="165" fontId="1" fillId="0" borderId="12" xfId="0" applyNumberFormat="1" applyFont="1" applyBorder="1" applyAlignment="1">
      <alignment wrapText="1"/>
    </xf>
    <xf numFmtId="165" fontId="0" fillId="0" borderId="12" xfId="0" applyNumberFormat="1" applyBorder="1" applyProtection="1">
      <protection locked="0"/>
    </xf>
    <xf numFmtId="165" fontId="0" fillId="0" borderId="0" xfId="0" applyNumberFormat="1"/>
    <xf numFmtId="0" fontId="0" fillId="8" borderId="0" xfId="0" applyFill="1"/>
    <xf numFmtId="0" fontId="0" fillId="0" borderId="0" xfId="0" applyAlignment="1">
      <alignment horizontal="center"/>
    </xf>
    <xf numFmtId="0" fontId="0" fillId="10" borderId="0" xfId="0" applyFill="1" applyAlignment="1">
      <alignment horizontal="center"/>
    </xf>
    <xf numFmtId="0" fontId="0" fillId="8" borderId="0" xfId="0" applyFill="1" applyAlignment="1">
      <alignment horizontal="center"/>
    </xf>
    <xf numFmtId="0" fontId="0" fillId="0" borderId="0" xfId="0" applyAlignment="1">
      <alignment horizontal="center" wrapText="1"/>
    </xf>
    <xf numFmtId="0" fontId="0" fillId="9" borderId="0" xfId="0" applyFill="1" applyAlignment="1">
      <alignment horizontal="center"/>
    </xf>
    <xf numFmtId="0" fontId="13" fillId="0" borderId="0" xfId="0" applyFont="1"/>
    <xf numFmtId="0" fontId="1" fillId="0" borderId="0" xfId="0" applyFont="1" applyAlignment="1">
      <alignment horizontal="center"/>
    </xf>
    <xf numFmtId="0" fontId="13" fillId="10" borderId="0" xfId="0" applyFont="1" applyFill="1" applyAlignment="1">
      <alignment wrapText="1"/>
    </xf>
    <xf numFmtId="0" fontId="13" fillId="0" borderId="0" xfId="0" applyFont="1" applyAlignment="1">
      <alignment wrapText="1"/>
    </xf>
    <xf numFmtId="0" fontId="13" fillId="8" borderId="0" xfId="0" applyFont="1" applyFill="1" applyAlignment="1">
      <alignment wrapText="1"/>
    </xf>
    <xf numFmtId="0" fontId="27" fillId="9" borderId="0" xfId="0" applyFont="1" applyFill="1" applyAlignment="1">
      <alignment wrapText="1"/>
    </xf>
    <xf numFmtId="0" fontId="13" fillId="8" borderId="0" xfId="0" applyFont="1" applyFill="1" applyAlignment="1">
      <alignment horizontal="center" wrapText="1"/>
    </xf>
    <xf numFmtId="0" fontId="27" fillId="0" borderId="0" xfId="0" applyFont="1" applyAlignment="1">
      <alignment wrapText="1"/>
    </xf>
    <xf numFmtId="0" fontId="27" fillId="8" borderId="0" xfId="0" applyFont="1" applyFill="1" applyAlignment="1">
      <alignment wrapText="1"/>
    </xf>
    <xf numFmtId="0" fontId="13" fillId="0" borderId="12" xfId="0" quotePrefix="1" applyFont="1" applyBorder="1" applyAlignment="1" applyProtection="1">
      <alignment horizontal="left" wrapText="1"/>
      <protection locked="0"/>
    </xf>
    <xf numFmtId="0" fontId="3" fillId="0" borderId="0" xfId="0" applyFont="1" applyAlignment="1">
      <alignment vertical="top"/>
    </xf>
    <xf numFmtId="0" fontId="0" fillId="0" borderId="15" xfId="0" applyBorder="1"/>
    <xf numFmtId="165" fontId="3" fillId="0" borderId="12" xfId="0" applyNumberFormat="1" applyFont="1" applyBorder="1" applyProtection="1">
      <protection locked="0"/>
    </xf>
    <xf numFmtId="165" fontId="0" fillId="0" borderId="12" xfId="0" applyNumberFormat="1" applyBorder="1" applyAlignment="1" applyProtection="1">
      <alignment horizontal="right"/>
      <protection locked="0"/>
    </xf>
    <xf numFmtId="0" fontId="0" fillId="0" borderId="16" xfId="0" applyBorder="1" applyProtection="1">
      <protection locked="0"/>
    </xf>
    <xf numFmtId="0" fontId="3" fillId="0" borderId="12" xfId="0" quotePrefix="1" applyFont="1" applyBorder="1" applyAlignment="1">
      <alignment horizontal="left" wrapText="1"/>
    </xf>
    <xf numFmtId="164" fontId="0" fillId="0" borderId="19" xfId="0" applyNumberFormat="1" applyBorder="1" applyAlignment="1">
      <alignment horizontal="left"/>
    </xf>
    <xf numFmtId="0" fontId="0" fillId="0" borderId="15" xfId="0" applyBorder="1" applyProtection="1">
      <protection locked="0"/>
    </xf>
    <xf numFmtId="0" fontId="34" fillId="0" borderId="15" xfId="0" applyFont="1" applyBorder="1"/>
    <xf numFmtId="0" fontId="33" fillId="0" borderId="0" xfId="0" applyFont="1"/>
    <xf numFmtId="0" fontId="0" fillId="0" borderId="15" xfId="0" quotePrefix="1" applyBorder="1" applyAlignment="1">
      <alignment horizontal="left" vertical="top" wrapText="1"/>
    </xf>
    <xf numFmtId="1" fontId="3" fillId="0" borderId="12" xfId="0" applyNumberFormat="1" applyFont="1" applyBorder="1" applyAlignment="1" applyProtection="1">
      <alignment horizontal="center" vertical="top"/>
      <protection locked="0"/>
    </xf>
    <xf numFmtId="0" fontId="3" fillId="0" borderId="12" xfId="0" applyFont="1" applyBorder="1" applyAlignment="1">
      <alignment horizontal="center" vertical="top"/>
    </xf>
    <xf numFmtId="0" fontId="0" fillId="0" borderId="12" xfId="0" applyBorder="1" applyAlignment="1" applyProtection="1">
      <alignment horizontal="left" vertical="top" wrapText="1"/>
      <protection locked="0"/>
    </xf>
    <xf numFmtId="0" fontId="0" fillId="0" borderId="23" xfId="0" applyBorder="1" applyAlignment="1">
      <alignment vertical="top"/>
    </xf>
    <xf numFmtId="0" fontId="0" fillId="0" borderId="23" xfId="0" quotePrefix="1" applyBorder="1" applyAlignment="1">
      <alignment vertical="top" wrapText="1"/>
    </xf>
    <xf numFmtId="0" fontId="0" fillId="0" borderId="27" xfId="0" applyBorder="1" applyAlignment="1">
      <alignment vertical="top"/>
    </xf>
    <xf numFmtId="0" fontId="0" fillId="0" borderId="15" xfId="0" applyBorder="1" applyAlignment="1">
      <alignment vertical="top"/>
    </xf>
    <xf numFmtId="0" fontId="0" fillId="0" borderId="21" xfId="0" applyBorder="1" applyAlignment="1">
      <alignment vertical="top" wrapText="1"/>
    </xf>
    <xf numFmtId="0" fontId="4" fillId="0" borderId="15" xfId="0" quotePrefix="1" applyFont="1" applyBorder="1" applyAlignment="1">
      <alignment vertical="top" wrapText="1"/>
    </xf>
    <xf numFmtId="0" fontId="4" fillId="0" borderId="15" xfId="0" applyFont="1" applyBorder="1" applyAlignment="1">
      <alignment horizontal="left" vertical="top" wrapText="1"/>
    </xf>
    <xf numFmtId="0" fontId="3" fillId="0" borderId="15" xfId="0" applyFont="1" applyBorder="1" applyAlignment="1">
      <alignment horizontal="left" vertical="top" wrapText="1"/>
    </xf>
    <xf numFmtId="0" fontId="4" fillId="0" borderId="28" xfId="0" quotePrefix="1" applyFont="1" applyBorder="1" applyAlignment="1">
      <alignment vertical="top" wrapText="1"/>
    </xf>
    <xf numFmtId="0" fontId="0" fillId="0" borderId="31" xfId="0" applyBorder="1" applyAlignment="1">
      <alignment vertical="top"/>
    </xf>
    <xf numFmtId="0" fontId="4" fillId="0" borderId="28" xfId="0" applyFont="1" applyBorder="1" applyAlignment="1">
      <alignment horizontal="left" vertical="top" wrapText="1"/>
    </xf>
    <xf numFmtId="0" fontId="4" fillId="0" borderId="21" xfId="0" applyFont="1" applyBorder="1" applyAlignment="1">
      <alignment horizontal="left" vertical="top" wrapText="1"/>
    </xf>
    <xf numFmtId="0" fontId="0" fillId="0" borderId="15" xfId="0" applyBorder="1" applyAlignment="1">
      <alignment vertical="top" wrapText="1"/>
    </xf>
    <xf numFmtId="0" fontId="0" fillId="0" borderId="28" xfId="0" applyBorder="1" applyAlignment="1">
      <alignment vertical="top" wrapText="1"/>
    </xf>
    <xf numFmtId="0" fontId="4" fillId="0" borderId="27" xfId="0" quotePrefix="1" applyFont="1" applyBorder="1" applyAlignment="1">
      <alignment vertical="top" wrapText="1"/>
    </xf>
    <xf numFmtId="0" fontId="0" fillId="0" borderId="29" xfId="0" applyBorder="1" applyAlignment="1">
      <alignment vertical="top"/>
    </xf>
    <xf numFmtId="0" fontId="4" fillId="0" borderId="21" xfId="0" quotePrefix="1" applyFont="1" applyBorder="1" applyAlignment="1">
      <alignment vertical="top" wrapText="1"/>
    </xf>
    <xf numFmtId="0" fontId="4" fillId="0" borderId="15" xfId="0" quotePrefix="1" applyFont="1" applyBorder="1" applyAlignment="1">
      <alignment horizontal="left" vertical="top" wrapText="1"/>
    </xf>
    <xf numFmtId="0" fontId="0" fillId="7" borderId="23" xfId="0" quotePrefix="1" applyFill="1" applyBorder="1" applyAlignment="1">
      <alignment vertical="top" wrapText="1"/>
    </xf>
    <xf numFmtId="0" fontId="3" fillId="10" borderId="15" xfId="0" quotePrefix="1" applyFont="1" applyFill="1" applyBorder="1" applyAlignment="1">
      <alignment horizontal="left" vertical="top" wrapText="1"/>
    </xf>
    <xf numFmtId="0" fontId="0" fillId="10" borderId="15" xfId="0" quotePrefix="1" applyFill="1" applyBorder="1" applyAlignment="1">
      <alignment horizontal="left" vertical="top" wrapText="1"/>
    </xf>
    <xf numFmtId="0" fontId="0" fillId="7" borderId="15" xfId="0" quotePrefix="1" applyFill="1" applyBorder="1" applyAlignment="1">
      <alignment horizontal="left" vertical="top" wrapText="1"/>
    </xf>
    <xf numFmtId="0" fontId="4" fillId="8" borderId="15" xfId="0" quotePrefix="1" applyFont="1" applyFill="1" applyBorder="1" applyAlignment="1">
      <alignment vertical="top" wrapText="1"/>
    </xf>
    <xf numFmtId="0" fontId="0" fillId="8" borderId="15" xfId="0" applyFill="1" applyBorder="1" applyAlignment="1">
      <alignment vertical="top"/>
    </xf>
    <xf numFmtId="0" fontId="3" fillId="0" borderId="0" xfId="0" applyFont="1" applyAlignment="1">
      <alignment vertical="top" wrapText="1"/>
    </xf>
    <xf numFmtId="0" fontId="0" fillId="8" borderId="23" xfId="0" applyFill="1" applyBorder="1" applyAlignment="1">
      <alignment vertical="top"/>
    </xf>
    <xf numFmtId="0" fontId="43" fillId="8" borderId="15" xfId="0" quotePrefix="1" applyFont="1" applyFill="1" applyBorder="1" applyAlignment="1">
      <alignment vertical="top" wrapText="1"/>
    </xf>
    <xf numFmtId="0" fontId="42" fillId="8" borderId="23" xfId="0" applyFont="1" applyFill="1" applyBorder="1" applyAlignment="1">
      <alignment vertical="top"/>
    </xf>
    <xf numFmtId="0" fontId="46" fillId="0" borderId="0" xfId="3"/>
    <xf numFmtId="0" fontId="48" fillId="13" borderId="12" xfId="3" applyFont="1" applyFill="1" applyBorder="1"/>
    <xf numFmtId="0" fontId="49" fillId="0" borderId="0" xfId="3" applyFont="1"/>
    <xf numFmtId="0" fontId="29" fillId="0" borderId="0" xfId="3" applyFont="1"/>
    <xf numFmtId="0" fontId="48" fillId="13" borderId="0" xfId="3" applyFont="1" applyFill="1"/>
    <xf numFmtId="0" fontId="15" fillId="0" borderId="13" xfId="3" applyFont="1" applyBorder="1" applyAlignment="1">
      <alignment horizontal="center"/>
    </xf>
    <xf numFmtId="0" fontId="15" fillId="0" borderId="18" xfId="3" applyFont="1" applyBorder="1"/>
    <xf numFmtId="166" fontId="15" fillId="0" borderId="13" xfId="3" applyNumberFormat="1" applyFont="1" applyBorder="1" applyAlignment="1">
      <alignment horizontal="center"/>
    </xf>
    <xf numFmtId="0" fontId="15" fillId="0" borderId="18" xfId="3" applyFont="1" applyBorder="1" applyAlignment="1">
      <alignment horizontal="center"/>
    </xf>
    <xf numFmtId="2" fontId="15" fillId="0" borderId="13" xfId="3" applyNumberFormat="1" applyFont="1" applyBorder="1" applyAlignment="1">
      <alignment horizontal="center"/>
    </xf>
    <xf numFmtId="0" fontId="51" fillId="0" borderId="0" xfId="3" applyFont="1"/>
    <xf numFmtId="0" fontId="18" fillId="0" borderId="18" xfId="2" applyBorder="1"/>
    <xf numFmtId="0" fontId="15" fillId="0" borderId="12" xfId="3" applyFont="1" applyBorder="1" applyAlignment="1">
      <alignment horizontal="center" vertical="center"/>
    </xf>
    <xf numFmtId="14" fontId="15" fillId="0" borderId="14" xfId="3" applyNumberFormat="1" applyFont="1" applyBorder="1" applyAlignment="1">
      <alignment horizontal="center" vertical="center"/>
    </xf>
    <xf numFmtId="0" fontId="15" fillId="0" borderId="14" xfId="3" applyFont="1" applyBorder="1" applyAlignment="1">
      <alignment vertical="center"/>
    </xf>
    <xf numFmtId="0" fontId="15" fillId="0" borderId="13" xfId="3" applyFont="1" applyBorder="1" applyAlignment="1">
      <alignment horizontal="center" vertical="center"/>
    </xf>
    <xf numFmtId="0" fontId="0" fillId="8" borderId="15" xfId="0" quotePrefix="1" applyFill="1" applyBorder="1" applyAlignment="1">
      <alignment horizontal="left" vertical="top" wrapText="1"/>
    </xf>
    <xf numFmtId="0" fontId="41" fillId="8" borderId="15" xfId="0" applyFont="1" applyFill="1" applyBorder="1" applyAlignment="1">
      <alignment vertical="top" wrapText="1"/>
    </xf>
    <xf numFmtId="0" fontId="3" fillId="8" borderId="15" xfId="0" quotePrefix="1" applyFont="1" applyFill="1" applyBorder="1" applyAlignment="1">
      <alignment horizontal="left" vertical="top" wrapText="1"/>
    </xf>
    <xf numFmtId="164" fontId="3" fillId="8" borderId="12" xfId="0" quotePrefix="1" applyNumberFormat="1" applyFont="1" applyFill="1" applyBorder="1" applyAlignment="1">
      <alignment horizontal="left"/>
    </xf>
    <xf numFmtId="0" fontId="3" fillId="8" borderId="12" xfId="0" applyFont="1" applyFill="1" applyBorder="1" applyAlignment="1" applyProtection="1">
      <alignment wrapText="1"/>
      <protection locked="0"/>
    </xf>
    <xf numFmtId="0" fontId="3" fillId="8" borderId="12" xfId="0" applyFont="1" applyFill="1" applyBorder="1" applyProtection="1">
      <protection locked="0"/>
    </xf>
    <xf numFmtId="165" fontId="0" fillId="8" borderId="12" xfId="0" applyNumberFormat="1" applyFill="1" applyBorder="1" applyProtection="1">
      <protection locked="0"/>
    </xf>
    <xf numFmtId="0" fontId="0" fillId="8" borderId="12" xfId="0" applyFill="1" applyBorder="1" applyProtection="1">
      <protection locked="0"/>
    </xf>
    <xf numFmtId="0" fontId="0" fillId="8" borderId="15" xfId="0" applyFill="1" applyBorder="1"/>
    <xf numFmtId="0" fontId="0" fillId="15" borderId="15" xfId="0" quotePrefix="1" applyFill="1" applyBorder="1" applyAlignment="1">
      <alignment horizontal="left" vertical="top" wrapText="1"/>
    </xf>
    <xf numFmtId="0" fontId="0" fillId="15" borderId="23" xfId="0" quotePrefix="1" applyFill="1" applyBorder="1" applyAlignment="1">
      <alignment vertical="top" wrapText="1"/>
    </xf>
    <xf numFmtId="0" fontId="41" fillId="15" borderId="15" xfId="0" applyFont="1" applyFill="1" applyBorder="1" applyAlignment="1">
      <alignment vertical="top" wrapText="1"/>
    </xf>
    <xf numFmtId="0" fontId="0" fillId="15" borderId="23" xfId="0" applyFill="1" applyBorder="1" applyAlignment="1">
      <alignment vertical="top"/>
    </xf>
    <xf numFmtId="164" fontId="0" fillId="8" borderId="12" xfId="0" quotePrefix="1" applyNumberFormat="1" applyFill="1" applyBorder="1" applyAlignment="1">
      <alignment horizontal="left"/>
    </xf>
    <xf numFmtId="0" fontId="0" fillId="8" borderId="12" xfId="0" applyFill="1" applyBorder="1" applyAlignment="1" applyProtection="1">
      <alignment wrapText="1"/>
      <protection locked="0"/>
    </xf>
    <xf numFmtId="0" fontId="3" fillId="8" borderId="14" xfId="0" applyFont="1" applyFill="1" applyBorder="1" applyAlignment="1" applyProtection="1">
      <alignment wrapText="1"/>
      <protection locked="0"/>
    </xf>
    <xf numFmtId="0" fontId="53" fillId="0" borderId="35" xfId="3" applyFont="1" applyBorder="1" applyAlignment="1">
      <alignment vertical="top" wrapText="1" readingOrder="1"/>
    </xf>
    <xf numFmtId="0" fontId="46" fillId="0" borderId="32" xfId="3" applyBorder="1" applyAlignment="1">
      <alignment vertical="top"/>
    </xf>
    <xf numFmtId="0" fontId="29" fillId="0" borderId="35" xfId="3" applyFont="1" applyBorder="1" applyAlignment="1">
      <alignment vertical="top" wrapText="1"/>
    </xf>
    <xf numFmtId="0" fontId="53" fillId="0" borderId="36" xfId="3" applyFont="1" applyBorder="1" applyAlignment="1">
      <alignment vertical="top" wrapText="1" readingOrder="1"/>
    </xf>
    <xf numFmtId="0" fontId="46" fillId="0" borderId="33" xfId="3" applyBorder="1" applyAlignment="1">
      <alignment vertical="top"/>
    </xf>
    <xf numFmtId="0" fontId="29" fillId="0" borderId="36" xfId="3" applyFont="1" applyBorder="1" applyAlignment="1">
      <alignment vertical="top" wrapText="1"/>
    </xf>
    <xf numFmtId="0" fontId="29" fillId="0" borderId="37" xfId="3" applyFont="1" applyBorder="1" applyAlignment="1">
      <alignment vertical="top"/>
    </xf>
    <xf numFmtId="0" fontId="50" fillId="16" borderId="12" xfId="3" applyFont="1" applyFill="1" applyBorder="1"/>
    <xf numFmtId="0" fontId="54" fillId="8" borderId="15" xfId="0" applyFont="1" applyFill="1" applyBorder="1" applyAlignment="1">
      <alignment wrapText="1"/>
    </xf>
    <xf numFmtId="0" fontId="3" fillId="8" borderId="16" xfId="0" applyFont="1" applyFill="1" applyBorder="1" applyAlignment="1">
      <alignment horizontal="left" vertical="center" wrapText="1"/>
    </xf>
    <xf numFmtId="0" fontId="3" fillId="8" borderId="14" xfId="0" applyFont="1" applyFill="1" applyBorder="1" applyProtection="1">
      <protection locked="0"/>
    </xf>
    <xf numFmtId="0" fontId="3" fillId="0" borderId="16" xfId="0" applyFont="1" applyBorder="1" applyAlignment="1">
      <alignment horizontal="left" vertical="center" wrapText="1"/>
    </xf>
    <xf numFmtId="0" fontId="54" fillId="0" borderId="15" xfId="0" applyFont="1" applyBorder="1" applyAlignment="1">
      <alignment wrapText="1"/>
    </xf>
    <xf numFmtId="0" fontId="3" fillId="0" borderId="14" xfId="0" applyFont="1" applyBorder="1" applyProtection="1">
      <protection locked="0"/>
    </xf>
    <xf numFmtId="0" fontId="3" fillId="0" borderId="13" xfId="0" applyFont="1" applyBorder="1" applyAlignment="1" applyProtection="1">
      <alignment horizontal="left" vertical="center" wrapText="1"/>
      <protection locked="0"/>
    </xf>
    <xf numFmtId="0" fontId="3" fillId="0" borderId="13" xfId="0" quotePrefix="1" applyFont="1" applyBorder="1" applyAlignment="1" applyProtection="1">
      <alignment wrapText="1"/>
      <protection locked="0"/>
    </xf>
    <xf numFmtId="164" fontId="3" fillId="15" borderId="12" xfId="0" quotePrefix="1" applyNumberFormat="1" applyFont="1" applyFill="1" applyBorder="1" applyAlignment="1">
      <alignment horizontal="left"/>
    </xf>
    <xf numFmtId="0" fontId="3" fillId="15" borderId="17" xfId="0" applyFont="1" applyFill="1" applyBorder="1" applyAlignment="1" applyProtection="1">
      <alignment wrapText="1"/>
      <protection locked="0"/>
    </xf>
    <xf numFmtId="0" fontId="3" fillId="15" borderId="12" xfId="0" applyFont="1" applyFill="1" applyBorder="1" applyProtection="1">
      <protection locked="0"/>
    </xf>
    <xf numFmtId="165" fontId="0" fillId="15" borderId="12" xfId="0" applyNumberFormat="1" applyFill="1" applyBorder="1" applyProtection="1">
      <protection locked="0"/>
    </xf>
    <xf numFmtId="0" fontId="0" fillId="15" borderId="12" xfId="0" applyFill="1" applyBorder="1" applyProtection="1">
      <protection locked="0"/>
    </xf>
    <xf numFmtId="0" fontId="3" fillId="15" borderId="12" xfId="0" applyFont="1" applyFill="1" applyBorder="1" applyAlignment="1" applyProtection="1">
      <alignment wrapText="1"/>
      <protection locked="0"/>
    </xf>
    <xf numFmtId="0" fontId="0" fillId="15" borderId="15" xfId="0" applyFill="1" applyBorder="1"/>
    <xf numFmtId="0" fontId="1" fillId="0" borderId="15" xfId="0" applyFont="1" applyBorder="1" applyAlignment="1" applyProtection="1">
      <alignment horizontal="center" vertical="top"/>
      <protection locked="0"/>
    </xf>
    <xf numFmtId="0" fontId="1" fillId="0" borderId="15" xfId="0" applyFont="1" applyBorder="1" applyAlignment="1" applyProtection="1">
      <alignment horizontal="center" vertical="top" wrapText="1"/>
      <protection locked="0"/>
    </xf>
    <xf numFmtId="1" fontId="1" fillId="0" borderId="15" xfId="0" applyNumberFormat="1" applyFont="1" applyBorder="1" applyAlignment="1" applyProtection="1">
      <alignment horizontal="center" vertical="top" wrapText="1"/>
      <protection locked="0"/>
    </xf>
    <xf numFmtId="0" fontId="1" fillId="0" borderId="15" xfId="0" applyFont="1" applyBorder="1" applyAlignment="1" applyProtection="1">
      <alignment horizontal="left" vertical="top" wrapText="1"/>
      <protection locked="0"/>
    </xf>
    <xf numFmtId="0" fontId="3" fillId="0" borderId="15" xfId="0" applyFont="1" applyBorder="1" applyAlignment="1">
      <alignment vertical="top"/>
    </xf>
    <xf numFmtId="0" fontId="0" fillId="0" borderId="15" xfId="0" applyBorder="1" applyAlignment="1">
      <alignment horizontal="left" vertical="top" wrapText="1"/>
    </xf>
    <xf numFmtId="0" fontId="0" fillId="12" borderId="15" xfId="0" applyFill="1" applyBorder="1" applyAlignment="1">
      <alignment vertical="top" wrapText="1"/>
    </xf>
    <xf numFmtId="0" fontId="36" fillId="8" borderId="15" xfId="0" applyFont="1" applyFill="1" applyBorder="1" applyAlignment="1">
      <alignment vertical="top" wrapText="1"/>
    </xf>
    <xf numFmtId="0" fontId="0" fillId="8" borderId="15" xfId="0" applyFill="1" applyBorder="1" applyAlignment="1">
      <alignment horizontal="center" vertical="top"/>
    </xf>
    <xf numFmtId="1" fontId="0" fillId="8" borderId="15" xfId="0" applyNumberFormat="1" applyFill="1" applyBorder="1" applyAlignment="1">
      <alignment horizontal="center" vertical="top"/>
    </xf>
    <xf numFmtId="0" fontId="3" fillId="12" borderId="15" xfId="0" applyFont="1" applyFill="1" applyBorder="1" applyAlignment="1">
      <alignment horizontal="center" vertical="top"/>
    </xf>
    <xf numFmtId="0" fontId="3" fillId="0" borderId="15" xfId="0" quotePrefix="1" applyFont="1" applyBorder="1" applyAlignment="1" applyProtection="1">
      <alignment horizontal="left" vertical="top" wrapText="1"/>
      <protection locked="0"/>
    </xf>
    <xf numFmtId="0" fontId="33" fillId="7" borderId="21" xfId="0" applyFont="1" applyFill="1" applyBorder="1" applyAlignment="1">
      <alignment vertical="top"/>
    </xf>
    <xf numFmtId="0" fontId="42" fillId="8" borderId="15" xfId="0" quotePrefix="1" applyFont="1" applyFill="1" applyBorder="1" applyAlignment="1">
      <alignment horizontal="left" vertical="top" wrapText="1"/>
    </xf>
    <xf numFmtId="0" fontId="45" fillId="8" borderId="15" xfId="0" quotePrefix="1" applyFont="1" applyFill="1" applyBorder="1" applyAlignment="1">
      <alignment vertical="top" wrapText="1"/>
    </xf>
    <xf numFmtId="0" fontId="42" fillId="8" borderId="15" xfId="0" applyFont="1" applyFill="1" applyBorder="1" applyAlignment="1">
      <alignment horizontal="center" vertical="top"/>
    </xf>
    <xf numFmtId="1" fontId="42" fillId="8" borderId="15" xfId="0" applyNumberFormat="1" applyFont="1" applyFill="1" applyBorder="1" applyAlignment="1">
      <alignment horizontal="center" vertical="top"/>
    </xf>
    <xf numFmtId="0" fontId="3" fillId="0" borderId="15" xfId="0" applyFont="1" applyBorder="1" applyAlignment="1">
      <alignment horizontal="center" vertical="top"/>
    </xf>
    <xf numFmtId="0" fontId="3" fillId="0" borderId="26" xfId="0" quotePrefix="1" applyFont="1" applyBorder="1" applyAlignment="1" applyProtection="1">
      <alignment horizontal="left" vertical="top" wrapText="1"/>
      <protection locked="0"/>
    </xf>
    <xf numFmtId="0" fontId="33" fillId="7" borderId="15" xfId="0" applyFont="1" applyFill="1" applyBorder="1" applyAlignment="1">
      <alignment vertical="top"/>
    </xf>
    <xf numFmtId="0" fontId="37" fillId="8" borderId="15" xfId="0" applyFont="1" applyFill="1" applyBorder="1" applyAlignment="1">
      <alignment vertical="top"/>
    </xf>
    <xf numFmtId="0" fontId="36" fillId="8" borderId="15" xfId="0" applyFont="1" applyFill="1" applyBorder="1" applyAlignment="1">
      <alignment vertical="top"/>
    </xf>
    <xf numFmtId="0" fontId="0" fillId="14" borderId="15" xfId="0" applyFill="1" applyBorder="1" applyAlignment="1">
      <alignment horizontal="left" vertical="top" wrapText="1"/>
    </xf>
    <xf numFmtId="0" fontId="3" fillId="8" borderId="15" xfId="0" applyFont="1" applyFill="1" applyBorder="1" applyAlignment="1">
      <alignment horizontal="center" vertical="top"/>
    </xf>
    <xf numFmtId="0" fontId="0" fillId="15" borderId="15" xfId="0" applyFill="1" applyBorder="1" applyAlignment="1">
      <alignment horizontal="left" vertical="top" wrapText="1"/>
    </xf>
    <xf numFmtId="0" fontId="0" fillId="15" borderId="15" xfId="0" applyFill="1" applyBorder="1" applyAlignment="1">
      <alignment vertical="top" wrapText="1"/>
    </xf>
    <xf numFmtId="0" fontId="36" fillId="15" borderId="15" xfId="0" applyFont="1" applyFill="1" applyBorder="1" applyAlignment="1">
      <alignment vertical="top" wrapText="1"/>
    </xf>
    <xf numFmtId="0" fontId="0" fillId="15" borderId="15" xfId="0" applyFill="1" applyBorder="1" applyAlignment="1">
      <alignment horizontal="center" vertical="top"/>
    </xf>
    <xf numFmtId="1" fontId="0" fillId="15" borderId="15" xfId="0" applyNumberFormat="1" applyFill="1" applyBorder="1" applyAlignment="1">
      <alignment horizontal="center" vertical="top"/>
    </xf>
    <xf numFmtId="0" fontId="3" fillId="15" borderId="15" xfId="0" applyFont="1" applyFill="1" applyBorder="1" applyAlignment="1">
      <alignment horizontal="center" vertical="top"/>
    </xf>
    <xf numFmtId="0" fontId="13" fillId="0" borderId="15" xfId="0" applyFont="1" applyBorder="1" applyAlignment="1" applyProtection="1">
      <alignment vertical="top" wrapText="1"/>
      <protection locked="0"/>
    </xf>
    <xf numFmtId="0" fontId="33" fillId="15" borderId="15" xfId="0" applyFont="1" applyFill="1" applyBorder="1" applyAlignment="1">
      <alignment vertical="top"/>
    </xf>
    <xf numFmtId="0" fontId="34" fillId="0" borderId="15" xfId="0" applyFont="1" applyBorder="1" applyAlignment="1">
      <alignment vertical="top"/>
    </xf>
    <xf numFmtId="0" fontId="36" fillId="15" borderId="15" xfId="0" applyFont="1" applyFill="1" applyBorder="1" applyAlignment="1">
      <alignment vertical="top"/>
    </xf>
    <xf numFmtId="0" fontId="0" fillId="9" borderId="15" xfId="0" applyFill="1" applyBorder="1" applyAlignment="1">
      <alignment horizontal="left" vertical="top" wrapText="1"/>
    </xf>
    <xf numFmtId="0" fontId="13" fillId="0" borderId="15" xfId="0" quotePrefix="1" applyFont="1" applyBorder="1" applyAlignment="1" applyProtection="1">
      <alignment horizontal="left" vertical="top" wrapText="1"/>
      <protection locked="0"/>
    </xf>
    <xf numFmtId="0" fontId="38" fillId="8" borderId="15" xfId="0" quotePrefix="1" applyFont="1" applyFill="1" applyBorder="1" applyAlignment="1">
      <alignment vertical="top" wrapText="1"/>
    </xf>
    <xf numFmtId="0" fontId="34" fillId="0" borderId="15" xfId="0" applyFont="1" applyBorder="1" applyAlignment="1">
      <alignment vertical="top" wrapText="1"/>
    </xf>
    <xf numFmtId="0" fontId="0" fillId="7" borderId="15" xfId="0" applyFill="1" applyBorder="1" applyAlignment="1">
      <alignment horizontal="left" vertical="top" wrapText="1"/>
    </xf>
    <xf numFmtId="0" fontId="0" fillId="0" borderId="26" xfId="0" applyBorder="1" applyAlignment="1">
      <alignment horizontal="left" vertical="top" wrapText="1"/>
    </xf>
    <xf numFmtId="0" fontId="37" fillId="0" borderId="15" xfId="0" applyFont="1" applyBorder="1" applyAlignment="1">
      <alignment vertical="top"/>
    </xf>
    <xf numFmtId="0" fontId="13" fillId="0" borderId="15" xfId="0" applyFont="1" applyBorder="1" applyAlignment="1">
      <alignment horizontal="left" vertical="top" wrapText="1"/>
    </xf>
    <xf numFmtId="0" fontId="38" fillId="15" borderId="15" xfId="0" quotePrefix="1" applyFont="1" applyFill="1" applyBorder="1" applyAlignment="1">
      <alignment vertical="top" wrapText="1"/>
    </xf>
    <xf numFmtId="0" fontId="0" fillId="8" borderId="21" xfId="0" quotePrefix="1" applyFill="1" applyBorder="1" applyAlignment="1">
      <alignment vertical="top" wrapText="1"/>
    </xf>
    <xf numFmtId="0" fontId="28" fillId="0" borderId="26" xfId="0" quotePrefix="1" applyFont="1" applyBorder="1" applyAlignment="1" applyProtection="1">
      <alignment horizontal="left" vertical="top" wrapText="1"/>
      <protection locked="0"/>
    </xf>
    <xf numFmtId="0" fontId="0" fillId="0" borderId="0" xfId="0" applyAlignment="1">
      <alignment vertical="top"/>
    </xf>
    <xf numFmtId="0" fontId="3" fillId="15" borderId="15" xfId="0" applyFont="1" applyFill="1" applyBorder="1" applyAlignment="1">
      <alignment vertical="top" wrapText="1"/>
    </xf>
    <xf numFmtId="0" fontId="0" fillId="0" borderId="12" xfId="0" quotePrefix="1" applyBorder="1" applyAlignment="1">
      <alignment vertical="top" wrapText="1"/>
    </xf>
    <xf numFmtId="0" fontId="0" fillId="0" borderId="12" xfId="0" applyBorder="1" applyAlignment="1">
      <alignment horizontal="center" vertical="top"/>
    </xf>
    <xf numFmtId="0" fontId="3" fillId="0" borderId="26" xfId="0" applyFont="1" applyBorder="1" applyAlignment="1" applyProtection="1">
      <alignment horizontal="left" vertical="top" wrapText="1"/>
      <protection locked="0"/>
    </xf>
    <xf numFmtId="0" fontId="3" fillId="0" borderId="15" xfId="0" applyFont="1" applyBorder="1" applyAlignment="1" applyProtection="1">
      <alignment vertical="top" wrapText="1"/>
      <protection locked="0"/>
    </xf>
    <xf numFmtId="0" fontId="0" fillId="15" borderId="12" xfId="0" quotePrefix="1" applyFill="1" applyBorder="1" applyAlignment="1">
      <alignment vertical="top" wrapText="1"/>
    </xf>
    <xf numFmtId="0" fontId="0" fillId="15" borderId="12" xfId="0" applyFill="1" applyBorder="1" applyAlignment="1">
      <alignment horizontal="center" vertical="top"/>
    </xf>
    <xf numFmtId="0" fontId="3" fillId="0" borderId="15" xfId="0" applyFont="1" applyBorder="1" applyAlignment="1">
      <alignment vertical="top" wrapText="1"/>
    </xf>
    <xf numFmtId="1" fontId="3" fillId="8" borderId="15" xfId="0" applyNumberFormat="1" applyFont="1" applyFill="1" applyBorder="1" applyAlignment="1">
      <alignment horizontal="center" vertical="top"/>
    </xf>
    <xf numFmtId="0" fontId="3" fillId="0" borderId="15" xfId="0" applyFont="1" applyBorder="1" applyAlignment="1" applyProtection="1">
      <alignment horizontal="left" vertical="top" wrapText="1"/>
      <protection locked="0"/>
    </xf>
    <xf numFmtId="0" fontId="33" fillId="0" borderId="28" xfId="0" applyFont="1" applyBorder="1" applyAlignment="1">
      <alignment vertical="top"/>
    </xf>
    <xf numFmtId="0" fontId="0" fillId="8" borderId="15" xfId="0" applyFill="1" applyBorder="1" applyAlignment="1">
      <alignment vertical="top" wrapText="1"/>
    </xf>
    <xf numFmtId="0" fontId="0" fillId="0" borderId="15" xfId="0" applyBorder="1" applyAlignment="1" applyProtection="1">
      <alignment horizontal="left" vertical="top" wrapText="1"/>
      <protection locked="0"/>
    </xf>
    <xf numFmtId="0" fontId="33" fillId="0" borderId="15" xfId="0" applyFont="1" applyBorder="1" applyAlignment="1">
      <alignment vertical="top"/>
    </xf>
    <xf numFmtId="0" fontId="13" fillId="0" borderId="15" xfId="0" applyFont="1" applyBorder="1" applyAlignment="1">
      <alignment vertical="top"/>
    </xf>
    <xf numFmtId="0" fontId="3" fillId="15" borderId="15" xfId="0" applyFont="1" applyFill="1" applyBorder="1" applyAlignment="1">
      <alignment horizontal="left" vertical="top" wrapText="1"/>
    </xf>
    <xf numFmtId="1" fontId="3" fillId="15" borderId="15" xfId="0" applyNumberFormat="1" applyFont="1" applyFill="1" applyBorder="1" applyAlignment="1">
      <alignment horizontal="center" vertical="top"/>
    </xf>
    <xf numFmtId="0" fontId="3" fillId="14" borderId="15" xfId="0" applyFont="1" applyFill="1" applyBorder="1" applyAlignment="1">
      <alignment horizontal="left" vertical="top" wrapText="1"/>
    </xf>
    <xf numFmtId="0" fontId="33" fillId="8" borderId="15" xfId="0" applyFont="1" applyFill="1" applyBorder="1" applyAlignment="1">
      <alignment vertical="top"/>
    </xf>
    <xf numFmtId="0" fontId="3" fillId="11" borderId="15" xfId="0" applyFont="1" applyFill="1" applyBorder="1" applyAlignment="1">
      <alignment horizontal="left" vertical="top" wrapText="1"/>
    </xf>
    <xf numFmtId="0" fontId="42" fillId="8" borderId="15" xfId="0" applyFont="1" applyFill="1" applyBorder="1" applyAlignment="1">
      <alignment vertical="top"/>
    </xf>
    <xf numFmtId="0" fontId="44" fillId="8" borderId="15" xfId="0" applyFont="1" applyFill="1" applyBorder="1" applyAlignment="1">
      <alignment horizontal="center" vertical="top"/>
    </xf>
    <xf numFmtId="1" fontId="44" fillId="8" borderId="15" xfId="0" applyNumberFormat="1" applyFont="1" applyFill="1" applyBorder="1" applyAlignment="1">
      <alignment horizontal="center" vertical="top"/>
    </xf>
    <xf numFmtId="0" fontId="3" fillId="11" borderId="15" xfId="0" applyFont="1" applyFill="1" applyBorder="1" applyAlignment="1">
      <alignment horizontal="center" vertical="top"/>
    </xf>
    <xf numFmtId="0" fontId="33" fillId="0" borderId="15" xfId="0" applyFont="1" applyBorder="1" applyAlignment="1" applyProtection="1">
      <alignment vertical="top" wrapText="1"/>
      <protection locked="0"/>
    </xf>
    <xf numFmtId="0" fontId="3" fillId="10" borderId="15" xfId="0" applyFont="1" applyFill="1" applyBorder="1" applyAlignment="1">
      <alignment horizontal="left" vertical="top" wrapText="1"/>
    </xf>
    <xf numFmtId="0" fontId="13" fillId="8" borderId="15" xfId="0" applyFont="1" applyFill="1" applyBorder="1" applyAlignment="1">
      <alignment vertical="top"/>
    </xf>
    <xf numFmtId="0" fontId="3" fillId="10" borderId="15" xfId="0" applyFont="1" applyFill="1" applyBorder="1" applyAlignment="1">
      <alignment horizontal="center" vertical="top"/>
    </xf>
    <xf numFmtId="0" fontId="13" fillId="0" borderId="26" xfId="0" quotePrefix="1" applyFont="1" applyBorder="1" applyAlignment="1" applyProtection="1">
      <alignment horizontal="left" vertical="top" wrapText="1"/>
      <protection locked="0"/>
    </xf>
    <xf numFmtId="0" fontId="3" fillId="8" borderId="15" xfId="0" applyFont="1" applyFill="1" applyBorder="1" applyAlignment="1">
      <alignment vertical="top" wrapText="1"/>
    </xf>
    <xf numFmtId="1" fontId="0" fillId="0" borderId="15" xfId="0" applyNumberFormat="1" applyBorder="1" applyAlignment="1">
      <alignment horizontal="center" vertical="top"/>
    </xf>
    <xf numFmtId="0" fontId="9" fillId="0" borderId="15" xfId="0" applyFont="1" applyBorder="1" applyAlignment="1">
      <alignment vertical="top" wrapText="1"/>
    </xf>
    <xf numFmtId="0" fontId="0" fillId="0" borderId="15" xfId="0" applyBorder="1" applyAlignment="1">
      <alignment horizontal="center" vertical="top"/>
    </xf>
    <xf numFmtId="0" fontId="19" fillId="0" borderId="15" xfId="0" applyFont="1" applyBorder="1" applyAlignment="1">
      <alignment horizontal="left" vertical="top" wrapText="1"/>
    </xf>
    <xf numFmtId="0" fontId="9" fillId="0" borderId="15" xfId="0" applyFont="1" applyBorder="1" applyAlignment="1">
      <alignment vertical="top"/>
    </xf>
    <xf numFmtId="1" fontId="3" fillId="0" borderId="15" xfId="0" applyNumberFormat="1" applyFont="1" applyBorder="1" applyAlignment="1">
      <alignment horizontal="center" vertical="top"/>
    </xf>
    <xf numFmtId="0" fontId="4" fillId="0" borderId="15" xfId="0" applyFont="1" applyBorder="1" applyAlignment="1">
      <alignment vertical="top"/>
    </xf>
    <xf numFmtId="0" fontId="11" fillId="0" borderId="15" xfId="0" applyFont="1" applyBorder="1" applyAlignment="1">
      <alignment vertical="top"/>
    </xf>
    <xf numFmtId="0" fontId="9" fillId="0" borderId="15" xfId="0" quotePrefix="1" applyFont="1" applyBorder="1" applyAlignment="1" applyProtection="1">
      <alignment horizontal="left" vertical="top" wrapText="1"/>
      <protection locked="0"/>
    </xf>
    <xf numFmtId="0" fontId="11" fillId="0" borderId="15" xfId="0" applyFont="1" applyBorder="1" applyAlignment="1">
      <alignment horizontal="left" vertical="top" wrapText="1"/>
    </xf>
    <xf numFmtId="0" fontId="12" fillId="0" borderId="15" xfId="0" applyFont="1" applyBorder="1" applyAlignment="1">
      <alignment horizontal="left" vertical="top" wrapText="1"/>
    </xf>
    <xf numFmtId="0" fontId="4" fillId="0" borderId="15" xfId="0" applyFont="1" applyBorder="1" applyAlignment="1">
      <alignment vertical="top" wrapText="1"/>
    </xf>
    <xf numFmtId="0" fontId="13" fillId="0" borderId="15" xfId="0" applyFont="1" applyBorder="1" applyAlignment="1">
      <alignment horizontal="center" vertical="top"/>
    </xf>
    <xf numFmtId="0" fontId="1" fillId="0" borderId="12" xfId="0" applyFont="1" applyBorder="1" applyAlignment="1" applyProtection="1">
      <alignment horizontal="center" vertical="top"/>
      <protection locked="0"/>
    </xf>
    <xf numFmtId="0" fontId="1" fillId="0" borderId="12" xfId="0" applyFont="1" applyBorder="1" applyAlignment="1" applyProtection="1">
      <alignment horizontal="center" vertical="top" wrapText="1"/>
      <protection locked="0"/>
    </xf>
    <xf numFmtId="0" fontId="1" fillId="0" borderId="17" xfId="0" applyFont="1" applyBorder="1" applyAlignment="1" applyProtection="1">
      <alignment horizontal="center" vertical="top" wrapText="1"/>
      <protection locked="0"/>
    </xf>
    <xf numFmtId="1" fontId="1" fillId="0" borderId="12" xfId="0" applyNumberFormat="1" applyFont="1" applyBorder="1" applyAlignment="1" applyProtection="1">
      <alignment horizontal="center" vertical="top" wrapText="1"/>
      <protection locked="0"/>
    </xf>
    <xf numFmtId="0" fontId="1" fillId="0" borderId="12" xfId="0" applyFont="1" applyBorder="1" applyAlignment="1" applyProtection="1">
      <alignment horizontal="left" vertical="top" wrapText="1"/>
      <protection locked="0"/>
    </xf>
    <xf numFmtId="0" fontId="39" fillId="0" borderId="0" xfId="0" applyFont="1" applyAlignment="1">
      <alignment vertical="top"/>
    </xf>
    <xf numFmtId="0" fontId="0" fillId="7" borderId="15" xfId="0" applyFill="1" applyBorder="1" applyAlignment="1">
      <alignment vertical="top"/>
    </xf>
    <xf numFmtId="0" fontId="0" fillId="10" borderId="15" xfId="0" applyFill="1" applyBorder="1" applyAlignment="1">
      <alignment vertical="top" wrapText="1"/>
    </xf>
    <xf numFmtId="0" fontId="13" fillId="10" borderId="12" xfId="0" quotePrefix="1" applyFont="1" applyFill="1" applyBorder="1" applyAlignment="1">
      <alignment horizontal="left" vertical="top" wrapText="1"/>
    </xf>
    <xf numFmtId="1" fontId="3" fillId="10" borderId="12" xfId="0" applyNumberFormat="1" applyFont="1" applyFill="1" applyBorder="1" applyAlignment="1" applyProtection="1">
      <alignment horizontal="center" vertical="top"/>
      <protection locked="0"/>
    </xf>
    <xf numFmtId="0" fontId="3" fillId="10" borderId="12" xfId="0" applyFont="1" applyFill="1" applyBorder="1" applyAlignment="1">
      <alignment horizontal="center" vertical="top"/>
    </xf>
    <xf numFmtId="0" fontId="3" fillId="0" borderId="32" xfId="0" applyFont="1" applyBorder="1" applyAlignment="1">
      <alignment horizontal="left" vertical="top" wrapText="1"/>
    </xf>
    <xf numFmtId="0" fontId="40" fillId="0" borderId="0" xfId="0" applyFont="1" applyAlignment="1">
      <alignment vertical="top"/>
    </xf>
    <xf numFmtId="0" fontId="3" fillId="0" borderId="12" xfId="0" applyFont="1" applyBorder="1" applyAlignment="1" applyProtection="1">
      <alignment vertical="top" wrapText="1"/>
      <protection locked="0"/>
    </xf>
    <xf numFmtId="1" fontId="3" fillId="8" borderId="12" xfId="0" applyNumberFormat="1" applyFont="1" applyFill="1" applyBorder="1" applyAlignment="1" applyProtection="1">
      <alignment horizontal="center" vertical="top"/>
      <protection locked="0"/>
    </xf>
    <xf numFmtId="0" fontId="3" fillId="8" borderId="12" xfId="0" applyFont="1" applyFill="1" applyBorder="1" applyAlignment="1">
      <alignment horizontal="center" vertical="top"/>
    </xf>
    <xf numFmtId="0" fontId="3" fillId="0" borderId="33" xfId="0" applyFont="1" applyBorder="1" applyAlignment="1">
      <alignment horizontal="left" vertical="top" wrapText="1"/>
    </xf>
    <xf numFmtId="0" fontId="3" fillId="0" borderId="12" xfId="0" quotePrefix="1" applyFont="1" applyBorder="1" applyAlignment="1" applyProtection="1">
      <alignment horizontal="left" vertical="top" wrapText="1"/>
      <protection locked="0"/>
    </xf>
    <xf numFmtId="0" fontId="13" fillId="8" borderId="15" xfId="0" quotePrefix="1" applyFont="1" applyFill="1" applyBorder="1" applyAlignment="1">
      <alignment vertical="top" wrapText="1"/>
    </xf>
    <xf numFmtId="0" fontId="3" fillId="7" borderId="12" xfId="0" applyFont="1" applyFill="1" applyBorder="1" applyAlignment="1">
      <alignment horizontal="left" vertical="top" wrapText="1"/>
    </xf>
    <xf numFmtId="0" fontId="33" fillId="0" borderId="12" xfId="0" applyFont="1" applyBorder="1" applyAlignment="1" applyProtection="1">
      <alignment horizontal="left" vertical="top" wrapText="1"/>
      <protection locked="0"/>
    </xf>
    <xf numFmtId="0" fontId="3" fillId="0" borderId="12" xfId="0" applyFont="1" applyBorder="1" applyAlignment="1" applyProtection="1">
      <alignment horizontal="left" vertical="top" wrapText="1"/>
      <protection locked="0"/>
    </xf>
    <xf numFmtId="0" fontId="13" fillId="10" borderId="15" xfId="0" applyFont="1" applyFill="1" applyBorder="1" applyAlignment="1">
      <alignment horizontal="center" vertical="top"/>
    </xf>
    <xf numFmtId="0" fontId="3" fillId="0" borderId="29" xfId="0" applyFont="1" applyBorder="1" applyAlignment="1">
      <alignment horizontal="left" vertical="top" wrapText="1"/>
    </xf>
    <xf numFmtId="0" fontId="13" fillId="0" borderId="12" xfId="0" quotePrefix="1" applyFont="1" applyBorder="1" applyAlignment="1">
      <alignment horizontal="left" vertical="top" wrapText="1"/>
    </xf>
    <xf numFmtId="0" fontId="3" fillId="10" borderId="12" xfId="0" applyFont="1" applyFill="1" applyBorder="1" applyAlignment="1">
      <alignment horizontal="left" vertical="top" wrapText="1"/>
    </xf>
    <xf numFmtId="0" fontId="20" fillId="0" borderId="12" xfId="0" applyFont="1" applyBorder="1" applyAlignment="1">
      <alignment vertical="top" wrapText="1"/>
    </xf>
    <xf numFmtId="0" fontId="3" fillId="7" borderId="16" xfId="0" quotePrefix="1" applyFont="1" applyFill="1" applyBorder="1" applyAlignment="1">
      <alignment horizontal="left" vertical="top" wrapText="1"/>
    </xf>
    <xf numFmtId="0" fontId="0" fillId="7" borderId="14" xfId="0" applyFill="1" applyBorder="1" applyAlignment="1">
      <alignment horizontal="center" vertical="top"/>
    </xf>
    <xf numFmtId="1" fontId="3" fillId="7" borderId="12" xfId="0" applyNumberFormat="1" applyFont="1" applyFill="1" applyBorder="1" applyAlignment="1" applyProtection="1">
      <alignment horizontal="center" vertical="top"/>
      <protection locked="0"/>
    </xf>
    <xf numFmtId="0" fontId="3" fillId="7" borderId="12" xfId="0" applyFont="1" applyFill="1" applyBorder="1" applyAlignment="1">
      <alignment horizontal="center" vertical="top"/>
    </xf>
    <xf numFmtId="0" fontId="3" fillId="0" borderId="16" xfId="0" quotePrefix="1" applyFont="1" applyBorder="1" applyAlignment="1">
      <alignment horizontal="left" vertical="top" wrapText="1"/>
    </xf>
    <xf numFmtId="0" fontId="0" fillId="0" borderId="14" xfId="0" applyBorder="1" applyAlignment="1">
      <alignment horizontal="center" vertical="top"/>
    </xf>
    <xf numFmtId="0" fontId="21" fillId="0" borderId="12" xfId="0" applyFont="1" applyBorder="1" applyAlignment="1">
      <alignment vertical="top"/>
    </xf>
    <xf numFmtId="0" fontId="13" fillId="0" borderId="12" xfId="0" applyFont="1" applyBorder="1" applyAlignment="1" applyProtection="1">
      <alignment horizontal="left" vertical="top" wrapText="1"/>
      <protection locked="0"/>
    </xf>
    <xf numFmtId="0" fontId="3" fillId="0" borderId="16" xfId="0" applyFont="1" applyBorder="1" applyAlignment="1">
      <alignment horizontal="center" vertical="top"/>
    </xf>
    <xf numFmtId="0" fontId="13" fillId="0" borderId="15" xfId="0" quotePrefix="1" applyFont="1" applyBorder="1" applyAlignment="1">
      <alignment vertical="top" wrapText="1"/>
    </xf>
    <xf numFmtId="0" fontId="21" fillId="0" borderId="12" xfId="0" applyFont="1" applyBorder="1" applyAlignment="1">
      <alignment vertical="top" wrapText="1"/>
    </xf>
    <xf numFmtId="0" fontId="3" fillId="0" borderId="17" xfId="0" applyFont="1" applyBorder="1" applyAlignment="1">
      <alignment horizontal="left" vertical="top" wrapText="1"/>
    </xf>
    <xf numFmtId="0" fontId="0" fillId="0" borderId="17" xfId="0" applyBorder="1" applyAlignment="1">
      <alignment horizontal="center" vertical="top"/>
    </xf>
    <xf numFmtId="1" fontId="3" fillId="0" borderId="17" xfId="0" applyNumberFormat="1" applyFont="1" applyBorder="1" applyAlignment="1" applyProtection="1">
      <alignment horizontal="center" vertical="top"/>
      <protection locked="0"/>
    </xf>
    <xf numFmtId="0" fontId="3" fillId="0" borderId="20" xfId="0" applyFont="1" applyBorder="1" applyAlignment="1">
      <alignment horizontal="center" vertical="top"/>
    </xf>
    <xf numFmtId="0" fontId="3" fillId="0" borderId="21" xfId="0" applyFont="1" applyBorder="1" applyAlignment="1">
      <alignment horizontal="left" vertical="top" wrapText="1"/>
    </xf>
    <xf numFmtId="0" fontId="3" fillId="0" borderId="21" xfId="0" applyFont="1" applyBorder="1" applyAlignment="1">
      <alignment vertical="top"/>
    </xf>
    <xf numFmtId="0" fontId="3" fillId="0" borderId="16" xfId="0" applyFont="1" applyBorder="1" applyAlignment="1">
      <alignment horizontal="left" vertical="top" wrapText="1"/>
    </xf>
    <xf numFmtId="0" fontId="3" fillId="0" borderId="14" xfId="0" applyFont="1" applyBorder="1" applyAlignment="1">
      <alignment horizontal="center" vertical="top"/>
    </xf>
    <xf numFmtId="0" fontId="3" fillId="0" borderId="20" xfId="0" applyFont="1" applyBorder="1" applyAlignment="1">
      <alignment horizontal="left" vertical="top" wrapText="1"/>
    </xf>
    <xf numFmtId="0" fontId="3" fillId="0" borderId="21" xfId="0" applyFont="1" applyBorder="1" applyAlignment="1">
      <alignment vertical="top" wrapText="1"/>
    </xf>
    <xf numFmtId="0" fontId="0" fillId="0" borderId="16" xfId="0" quotePrefix="1" applyBorder="1" applyAlignment="1">
      <alignment horizontal="left" vertical="top" wrapText="1"/>
    </xf>
    <xf numFmtId="0" fontId="3" fillId="0" borderId="21" xfId="0" applyFont="1" applyBorder="1" applyAlignment="1">
      <alignment horizontal="center" vertical="top"/>
    </xf>
    <xf numFmtId="1" fontId="3" fillId="0" borderId="21" xfId="0" applyNumberFormat="1" applyFont="1" applyBorder="1" applyAlignment="1">
      <alignment horizontal="center" vertical="top"/>
    </xf>
    <xf numFmtId="0" fontId="3" fillId="0" borderId="22" xfId="0" applyFont="1" applyBorder="1" applyAlignment="1">
      <alignment vertical="top"/>
    </xf>
    <xf numFmtId="0" fontId="23" fillId="0" borderId="15" xfId="0" applyFont="1" applyBorder="1" applyAlignment="1">
      <alignment vertical="top" wrapText="1"/>
    </xf>
    <xf numFmtId="0" fontId="24" fillId="0" borderId="12" xfId="0" quotePrefix="1" applyFont="1" applyBorder="1" applyAlignment="1">
      <alignment horizontal="left" vertical="top" wrapText="1"/>
    </xf>
    <xf numFmtId="0" fontId="25" fillId="0" borderId="12" xfId="0" quotePrefix="1" applyFont="1" applyBorder="1" applyAlignment="1">
      <alignment vertical="top" wrapText="1"/>
    </xf>
    <xf numFmtId="0" fontId="26" fillId="0" borderId="12" xfId="0" applyFont="1" applyBorder="1" applyAlignment="1">
      <alignment horizontal="center" vertical="top"/>
    </xf>
    <xf numFmtId="1" fontId="0" fillId="0" borderId="16" xfId="0" applyNumberFormat="1" applyBorder="1" applyAlignment="1">
      <alignment horizontal="center" vertical="top"/>
    </xf>
    <xf numFmtId="0" fontId="0" fillId="0" borderId="16" xfId="0" applyBorder="1" applyAlignment="1">
      <alignment horizontal="center" vertical="top"/>
    </xf>
    <xf numFmtId="0" fontId="32" fillId="0" borderId="0" xfId="0" applyFont="1" applyAlignment="1">
      <alignment vertical="top"/>
    </xf>
    <xf numFmtId="0" fontId="0" fillId="0" borderId="21" xfId="0" applyBorder="1" applyAlignment="1">
      <alignment horizontal="left" vertical="top" wrapText="1"/>
    </xf>
    <xf numFmtId="1" fontId="0" fillId="0" borderId="12" xfId="0" applyNumberFormat="1" applyBorder="1" applyAlignment="1" applyProtection="1">
      <alignment horizontal="center" vertical="top"/>
      <protection locked="0"/>
    </xf>
    <xf numFmtId="0" fontId="26" fillId="0" borderId="15" xfId="0" applyFont="1" applyBorder="1" applyAlignment="1">
      <alignment horizontal="center" vertical="top"/>
    </xf>
    <xf numFmtId="0" fontId="3" fillId="0" borderId="0" xfId="0" applyFont="1" applyAlignment="1">
      <alignment horizontal="center" vertical="top"/>
    </xf>
    <xf numFmtId="0" fontId="0" fillId="0" borderId="12" xfId="0" applyBorder="1" applyAlignment="1">
      <alignment vertical="top" wrapText="1"/>
    </xf>
    <xf numFmtId="0" fontId="26" fillId="0" borderId="26" xfId="0" applyFont="1" applyBorder="1" applyAlignment="1">
      <alignment horizontal="center" vertical="top"/>
    </xf>
    <xf numFmtId="0" fontId="31" fillId="0" borderId="15" xfId="0" applyFont="1" applyBorder="1" applyAlignment="1">
      <alignment vertical="top" wrapText="1"/>
    </xf>
    <xf numFmtId="0" fontId="24" fillId="0" borderId="12" xfId="0" applyFont="1" applyBorder="1" applyAlignment="1">
      <alignment horizontal="left" vertical="top" wrapText="1"/>
    </xf>
    <xf numFmtId="0" fontId="13" fillId="0" borderId="12" xfId="0" applyFont="1" applyBorder="1" applyAlignment="1">
      <alignment vertical="top" wrapText="1"/>
    </xf>
    <xf numFmtId="0" fontId="4" fillId="0" borderId="0" xfId="0" applyFont="1" applyAlignment="1">
      <alignment vertical="top"/>
    </xf>
    <xf numFmtId="1" fontId="3" fillId="0" borderId="0" xfId="0" applyNumberFormat="1" applyFont="1" applyAlignment="1">
      <alignment horizontal="center" vertical="top"/>
    </xf>
    <xf numFmtId="0" fontId="3" fillId="0" borderId="0" xfId="0" applyFont="1" applyAlignment="1">
      <alignment horizontal="left" vertical="top" wrapText="1"/>
    </xf>
    <xf numFmtId="0" fontId="3" fillId="0" borderId="12" xfId="0" applyFont="1" applyBorder="1" applyAlignment="1">
      <alignment vertical="top" wrapText="1"/>
    </xf>
    <xf numFmtId="0" fontId="3" fillId="0" borderId="12" xfId="0" applyFont="1" applyBorder="1" applyAlignment="1">
      <alignment vertical="top"/>
    </xf>
    <xf numFmtId="0" fontId="3" fillId="0" borderId="30" xfId="0" applyFont="1" applyBorder="1" applyAlignment="1" applyProtection="1">
      <alignment vertical="top" wrapText="1"/>
      <protection locked="0"/>
    </xf>
    <xf numFmtId="0" fontId="3" fillId="0" borderId="16" xfId="0" applyFont="1" applyBorder="1" applyAlignment="1" applyProtection="1">
      <alignment vertical="top" wrapText="1"/>
      <protection locked="0"/>
    </xf>
    <xf numFmtId="0" fontId="3" fillId="0" borderId="20" xfId="0" applyFont="1" applyBorder="1" applyAlignment="1" applyProtection="1">
      <alignment vertical="top" wrapText="1"/>
      <protection locked="0"/>
    </xf>
    <xf numFmtId="0" fontId="3" fillId="0" borderId="26" xfId="0" applyFont="1" applyBorder="1" applyAlignment="1" applyProtection="1">
      <alignment vertical="top" wrapText="1"/>
      <protection locked="0"/>
    </xf>
    <xf numFmtId="0" fontId="3" fillId="0" borderId="26" xfId="0" applyFont="1" applyBorder="1" applyAlignment="1">
      <alignment vertical="top"/>
    </xf>
    <xf numFmtId="0" fontId="0" fillId="0" borderId="26" xfId="0" applyBorder="1" applyAlignment="1">
      <alignment vertical="top"/>
    </xf>
    <xf numFmtId="0" fontId="0" fillId="0" borderId="22" xfId="0" applyBorder="1" applyAlignment="1">
      <alignment vertical="top"/>
    </xf>
    <xf numFmtId="0" fontId="33" fillId="10" borderId="12" xfId="0" applyFont="1" applyFill="1" applyBorder="1" applyAlignment="1">
      <alignment horizontal="left" vertical="top" wrapText="1"/>
    </xf>
    <xf numFmtId="0" fontId="0" fillId="10" borderId="12" xfId="0" applyFill="1" applyBorder="1" applyAlignment="1">
      <alignment horizontal="left" vertical="top" wrapText="1"/>
    </xf>
    <xf numFmtId="0" fontId="0" fillId="10" borderId="16" xfId="0" quotePrefix="1" applyFill="1" applyBorder="1" applyAlignment="1">
      <alignment horizontal="left" vertical="top" wrapText="1"/>
    </xf>
    <xf numFmtId="1" fontId="0" fillId="10" borderId="12" xfId="0" applyNumberFormat="1" applyFill="1" applyBorder="1" applyAlignment="1" applyProtection="1">
      <alignment horizontal="center" vertical="top"/>
      <protection locked="0"/>
    </xf>
    <xf numFmtId="0" fontId="0" fillId="8" borderId="0" xfId="0" applyFill="1" applyAlignment="1">
      <alignment vertical="top" wrapText="1"/>
    </xf>
    <xf numFmtId="0" fontId="13" fillId="0" borderId="12" xfId="0" applyFont="1" applyBorder="1" applyAlignment="1">
      <alignment horizontal="left" vertical="top" wrapText="1"/>
    </xf>
    <xf numFmtId="0" fontId="3" fillId="0" borderId="12" xfId="0" quotePrefix="1" applyFont="1" applyBorder="1" applyAlignment="1">
      <alignment vertical="top" wrapText="1"/>
    </xf>
    <xf numFmtId="0" fontId="3" fillId="0" borderId="17" xfId="0" quotePrefix="1" applyFont="1" applyBorder="1" applyAlignment="1">
      <alignment vertical="top" wrapText="1"/>
    </xf>
    <xf numFmtId="0" fontId="13" fillId="0" borderId="0" xfId="0" applyFont="1" applyAlignment="1">
      <alignment vertical="top"/>
    </xf>
    <xf numFmtId="0" fontId="3" fillId="0" borderId="16" xfId="0" applyFont="1" applyBorder="1" applyAlignment="1">
      <alignment vertical="top" wrapText="1"/>
    </xf>
    <xf numFmtId="0" fontId="22" fillId="0" borderId="15" xfId="0" quotePrefix="1" applyFont="1" applyBorder="1" applyAlignment="1">
      <alignment vertical="top" wrapText="1"/>
    </xf>
    <xf numFmtId="0" fontId="0" fillId="0" borderId="13" xfId="0" quotePrefix="1" applyBorder="1" applyAlignment="1">
      <alignment vertical="top" wrapText="1"/>
    </xf>
    <xf numFmtId="0" fontId="3" fillId="0" borderId="13" xfId="0" quotePrefix="1" applyFont="1" applyBorder="1" applyAlignment="1">
      <alignment vertical="top" wrapText="1"/>
    </xf>
    <xf numFmtId="0" fontId="3" fillId="0" borderId="17" xfId="0" quotePrefix="1" applyFont="1" applyBorder="1" applyAlignment="1" applyProtection="1">
      <alignment horizontal="left" vertical="top" wrapText="1"/>
      <protection locked="0"/>
    </xf>
    <xf numFmtId="0" fontId="0" fillId="0" borderId="12" xfId="0" applyBorder="1" applyAlignment="1" applyProtection="1">
      <alignment vertical="top" wrapText="1"/>
      <protection locked="0"/>
    </xf>
    <xf numFmtId="0" fontId="3" fillId="0" borderId="12" xfId="0" quotePrefix="1" applyFont="1" applyBorder="1" applyAlignment="1">
      <alignment horizontal="left" vertical="top" wrapText="1"/>
    </xf>
    <xf numFmtId="0" fontId="3" fillId="0" borderId="14" xfId="0" applyFont="1" applyBorder="1" applyAlignment="1" applyProtection="1">
      <alignment vertical="top" wrapText="1"/>
      <protection locked="0"/>
    </xf>
    <xf numFmtId="0" fontId="3" fillId="0" borderId="13" xfId="0" applyFont="1" applyBorder="1" applyAlignment="1" applyProtection="1">
      <alignment horizontal="left" vertical="top" wrapText="1"/>
      <protection locked="0"/>
    </xf>
    <xf numFmtId="0" fontId="22" fillId="0" borderId="0" xfId="0" applyFont="1" applyAlignment="1">
      <alignment vertical="top" wrapText="1"/>
    </xf>
    <xf numFmtId="0" fontId="3" fillId="0" borderId="17" xfId="0" quotePrefix="1" applyFont="1" applyBorder="1" applyAlignment="1">
      <alignment horizontal="left" vertical="top" wrapText="1"/>
    </xf>
    <xf numFmtId="0" fontId="3" fillId="0" borderId="17" xfId="0" applyFont="1" applyBorder="1" applyAlignment="1">
      <alignment horizontal="center" vertical="top"/>
    </xf>
    <xf numFmtId="0" fontId="0" fillId="0" borderId="21" xfId="0" applyBorder="1" applyAlignment="1">
      <alignment horizontal="center" vertical="top"/>
    </xf>
    <xf numFmtId="0" fontId="22" fillId="0" borderId="21" xfId="0" applyFont="1" applyBorder="1" applyAlignment="1">
      <alignment vertical="top" wrapText="1"/>
    </xf>
    <xf numFmtId="0" fontId="22" fillId="0" borderId="15" xfId="0" applyFont="1" applyBorder="1" applyAlignment="1">
      <alignment vertical="top" wrapText="1"/>
    </xf>
    <xf numFmtId="1" fontId="3" fillId="0" borderId="15" xfId="0" applyNumberFormat="1" applyFont="1" applyBorder="1" applyAlignment="1" applyProtection="1">
      <alignment horizontal="center" vertical="top"/>
      <protection locked="0"/>
    </xf>
    <xf numFmtId="0" fontId="0" fillId="0" borderId="14" xfId="0" applyBorder="1" applyAlignment="1" applyProtection="1">
      <alignment vertical="top" wrapText="1"/>
      <protection locked="0"/>
    </xf>
    <xf numFmtId="0" fontId="3" fillId="0" borderId="30" xfId="0" applyFont="1" applyBorder="1" applyAlignment="1">
      <alignment horizontal="left" vertical="top" wrapText="1"/>
    </xf>
    <xf numFmtId="0" fontId="3" fillId="0" borderId="13" xfId="0" applyFont="1" applyBorder="1" applyAlignment="1">
      <alignment horizontal="left" vertical="top" wrapText="1"/>
    </xf>
    <xf numFmtId="0" fontId="3" fillId="0" borderId="28" xfId="0" applyFont="1" applyBorder="1" applyAlignment="1">
      <alignment horizontal="center" vertical="top"/>
    </xf>
    <xf numFmtId="1" fontId="3" fillId="0" borderId="28" xfId="0" applyNumberFormat="1" applyFont="1" applyBorder="1" applyAlignment="1">
      <alignment horizontal="center" vertical="top"/>
    </xf>
    <xf numFmtId="0" fontId="3" fillId="0" borderId="19" xfId="0" applyFont="1" applyBorder="1" applyAlignment="1">
      <alignment horizontal="center" vertical="top"/>
    </xf>
    <xf numFmtId="0" fontId="3" fillId="0" borderId="28" xfId="0" applyFont="1" applyBorder="1" applyAlignment="1">
      <alignment horizontal="left" vertical="top" wrapText="1"/>
    </xf>
    <xf numFmtId="0" fontId="3" fillId="0" borderId="24" xfId="0" applyFont="1" applyBorder="1" applyAlignment="1">
      <alignment horizontal="left" vertical="top" wrapText="1"/>
    </xf>
    <xf numFmtId="0" fontId="3" fillId="0" borderId="25" xfId="0" applyFont="1" applyBorder="1" applyAlignment="1">
      <alignment horizontal="center" vertical="top"/>
    </xf>
    <xf numFmtId="0" fontId="13" fillId="0" borderId="12" xfId="0" quotePrefix="1" applyFont="1" applyBorder="1" applyAlignment="1" applyProtection="1">
      <alignment horizontal="left" vertical="top" wrapText="1"/>
      <protection locked="0"/>
    </xf>
    <xf numFmtId="0" fontId="3" fillId="0" borderId="25" xfId="0" applyFont="1" applyBorder="1" applyAlignment="1" applyProtection="1">
      <alignment vertical="top" wrapText="1"/>
      <protection locked="0"/>
    </xf>
    <xf numFmtId="0" fontId="13" fillId="0" borderId="0" xfId="0" applyFont="1" applyAlignment="1">
      <alignment vertical="top" wrapText="1"/>
    </xf>
    <xf numFmtId="0" fontId="17" fillId="0" borderId="0" xfId="0" applyFont="1" applyAlignment="1">
      <alignment vertical="top"/>
    </xf>
    <xf numFmtId="0" fontId="3" fillId="0" borderId="17" xfId="0" applyFont="1" applyBorder="1" applyAlignment="1">
      <alignment vertical="top" wrapText="1"/>
    </xf>
    <xf numFmtId="0" fontId="3" fillId="0" borderId="15" xfId="0" quotePrefix="1" applyFont="1" applyBorder="1" applyAlignment="1">
      <alignment vertical="top" wrapText="1"/>
    </xf>
    <xf numFmtId="0" fontId="3" fillId="0" borderId="27" xfId="0" applyFont="1" applyBorder="1" applyAlignment="1">
      <alignment vertical="top"/>
    </xf>
    <xf numFmtId="0" fontId="3" fillId="0" borderId="28" xfId="0" applyFont="1" applyBorder="1" applyAlignment="1">
      <alignment vertical="top"/>
    </xf>
    <xf numFmtId="0" fontId="3" fillId="0" borderId="13" xfId="0" applyFont="1" applyBorder="1" applyAlignment="1">
      <alignment vertical="top" wrapText="1"/>
    </xf>
    <xf numFmtId="0" fontId="4" fillId="0" borderId="28" xfId="0" applyFont="1" applyBorder="1" applyAlignment="1">
      <alignment vertical="top"/>
    </xf>
    <xf numFmtId="0" fontId="0" fillId="0" borderId="12" xfId="0" quotePrefix="1" applyBorder="1" applyAlignment="1" applyProtection="1">
      <alignment horizontal="left" vertical="top" wrapText="1"/>
      <protection locked="0"/>
    </xf>
    <xf numFmtId="0" fontId="0" fillId="0" borderId="17" xfId="0" applyBorder="1" applyAlignment="1">
      <alignment vertical="top" wrapText="1"/>
    </xf>
    <xf numFmtId="0" fontId="4" fillId="0" borderId="21" xfId="0" applyFont="1" applyBorder="1" applyAlignment="1">
      <alignment vertical="top"/>
    </xf>
    <xf numFmtId="0" fontId="3" fillId="0" borderId="22" xfId="0" applyFont="1" applyBorder="1" applyAlignment="1">
      <alignment horizontal="center" vertical="top"/>
    </xf>
    <xf numFmtId="0" fontId="13" fillId="0" borderId="21" xfId="0" applyFont="1" applyBorder="1" applyAlignment="1">
      <alignment horizontal="left" vertical="top" wrapText="1"/>
    </xf>
    <xf numFmtId="0" fontId="3" fillId="0" borderId="23" xfId="0" applyFont="1" applyBorder="1" applyAlignment="1">
      <alignment vertical="top"/>
    </xf>
    <xf numFmtId="0" fontId="22" fillId="0" borderId="28" xfId="0" applyFont="1" applyBorder="1" applyAlignment="1">
      <alignment vertical="top" wrapText="1"/>
    </xf>
    <xf numFmtId="0" fontId="0" fillId="0" borderId="28" xfId="0" quotePrefix="1" applyBorder="1" applyAlignment="1">
      <alignment horizontal="left" vertical="top" wrapText="1"/>
    </xf>
    <xf numFmtId="0" fontId="0" fillId="0" borderId="28" xfId="0" applyBorder="1" applyAlignment="1">
      <alignment horizontal="center" vertical="top"/>
    </xf>
    <xf numFmtId="0" fontId="24" fillId="0" borderId="21" xfId="0" quotePrefix="1" applyFont="1" applyBorder="1" applyAlignment="1">
      <alignment horizontal="left" vertical="top" wrapText="1"/>
    </xf>
    <xf numFmtId="0" fontId="25" fillId="0" borderId="21" xfId="0" quotePrefix="1" applyFont="1" applyBorder="1" applyAlignment="1">
      <alignment vertical="top" wrapText="1"/>
    </xf>
    <xf numFmtId="0" fontId="24" fillId="0" borderId="26" xfId="0" quotePrefix="1" applyFont="1" applyBorder="1" applyAlignment="1">
      <alignment horizontal="left" vertical="top" wrapText="1"/>
    </xf>
    <xf numFmtId="0" fontId="25" fillId="0" borderId="15" xfId="0" quotePrefix="1" applyFont="1" applyBorder="1" applyAlignment="1">
      <alignment vertical="top" wrapText="1"/>
    </xf>
    <xf numFmtId="0" fontId="0" fillId="0" borderId="23" xfId="0" applyBorder="1" applyAlignment="1">
      <alignment horizontal="center" vertical="top"/>
    </xf>
    <xf numFmtId="0" fontId="24" fillId="0" borderId="28" xfId="0" quotePrefix="1" applyFont="1" applyBorder="1" applyAlignment="1">
      <alignment horizontal="left" vertical="top" wrapText="1"/>
    </xf>
    <xf numFmtId="0" fontId="25" fillId="0" borderId="28" xfId="0" quotePrefix="1" applyFont="1" applyBorder="1" applyAlignment="1">
      <alignment vertical="top" wrapText="1"/>
    </xf>
    <xf numFmtId="0" fontId="20" fillId="0" borderId="15" xfId="0" applyFont="1" applyBorder="1" applyAlignment="1">
      <alignment vertical="top" wrapText="1"/>
    </xf>
    <xf numFmtId="0" fontId="13" fillId="0" borderId="15" xfId="0" applyFont="1" applyBorder="1" applyAlignment="1">
      <alignment vertical="top" wrapText="1"/>
    </xf>
    <xf numFmtId="0" fontId="24" fillId="0" borderId="15" xfId="0" quotePrefix="1" applyFont="1" applyBorder="1" applyAlignment="1">
      <alignment horizontal="left" vertical="top" wrapText="1"/>
    </xf>
    <xf numFmtId="0" fontId="29" fillId="0" borderId="15" xfId="0" applyFont="1" applyBorder="1" applyAlignment="1">
      <alignment vertical="top" wrapText="1"/>
    </xf>
    <xf numFmtId="0" fontId="35" fillId="0" borderId="15" xfId="0" applyFont="1" applyBorder="1" applyAlignment="1">
      <alignment horizontal="center" vertical="top" wrapText="1"/>
    </xf>
    <xf numFmtId="0" fontId="0" fillId="0" borderId="27" xfId="0" applyBorder="1" applyAlignment="1">
      <alignment horizontal="center" vertical="top"/>
    </xf>
    <xf numFmtId="0" fontId="26" fillId="0" borderId="21" xfId="0" applyFont="1" applyBorder="1" applyAlignment="1">
      <alignment horizontal="center" vertical="top"/>
    </xf>
    <xf numFmtId="0" fontId="20" fillId="0" borderId="22" xfId="0" applyFont="1" applyBorder="1" applyAlignment="1">
      <alignment vertical="top" wrapText="1"/>
    </xf>
    <xf numFmtId="0" fontId="0" fillId="0" borderId="15" xfId="0" quotePrefix="1" applyBorder="1" applyAlignment="1">
      <alignment vertical="top" wrapText="1"/>
    </xf>
    <xf numFmtId="0" fontId="3" fillId="0" borderId="26" xfId="0" applyFont="1" applyBorder="1" applyAlignment="1">
      <alignment horizontal="left" vertical="top" wrapText="1"/>
    </xf>
    <xf numFmtId="1" fontId="0" fillId="0" borderId="21" xfId="0" applyNumberFormat="1" applyBorder="1" applyAlignment="1">
      <alignment horizontal="center" vertical="top"/>
    </xf>
    <xf numFmtId="0" fontId="3" fillId="0" borderId="22" xfId="0" applyFont="1" applyBorder="1" applyAlignment="1">
      <alignment horizontal="left" vertical="top" wrapText="1"/>
    </xf>
    <xf numFmtId="0" fontId="0" fillId="0" borderId="21" xfId="0" quotePrefix="1" applyBorder="1" applyAlignment="1">
      <alignment vertical="top" wrapText="1"/>
    </xf>
    <xf numFmtId="0" fontId="4" fillId="0" borderId="21" xfId="0" applyFont="1" applyBorder="1" applyAlignment="1">
      <alignment vertical="top" wrapText="1"/>
    </xf>
    <xf numFmtId="0" fontId="17" fillId="0" borderId="15" xfId="0" applyFont="1" applyBorder="1" applyAlignment="1">
      <alignment vertical="top"/>
    </xf>
    <xf numFmtId="1" fontId="3" fillId="0" borderId="26" xfId="0" applyNumberFormat="1" applyFont="1" applyBorder="1" applyAlignment="1">
      <alignment horizontal="center" vertical="top"/>
    </xf>
    <xf numFmtId="14" fontId="15" fillId="0" borderId="18" xfId="3" applyNumberFormat="1" applyFont="1" applyBorder="1" applyAlignment="1">
      <alignment horizontal="center" vertical="center"/>
    </xf>
    <xf numFmtId="0" fontId="15" fillId="0" borderId="18" xfId="3" applyFont="1" applyBorder="1" applyAlignment="1">
      <alignment vertical="center"/>
    </xf>
    <xf numFmtId="0" fontId="47" fillId="13" borderId="16" xfId="3" applyFont="1" applyFill="1" applyBorder="1"/>
    <xf numFmtId="0" fontId="47" fillId="13" borderId="34" xfId="3" applyFont="1" applyFill="1" applyBorder="1"/>
    <xf numFmtId="0" fontId="50" fillId="16" borderId="16" xfId="3" applyFont="1" applyFill="1" applyBorder="1"/>
    <xf numFmtId="0" fontId="50" fillId="16" borderId="34" xfId="3" applyFont="1" applyFill="1" applyBorder="1"/>
    <xf numFmtId="0" fontId="52" fillId="0" borderId="16" xfId="3" applyFont="1" applyBorder="1"/>
    <xf numFmtId="0" fontId="52" fillId="0" borderId="34" xfId="3" applyFont="1" applyBorder="1"/>
    <xf numFmtId="0" fontId="47" fillId="13" borderId="12" xfId="3" applyFont="1" applyFill="1" applyBorder="1"/>
    <xf numFmtId="0" fontId="15" fillId="0" borderId="12" xfId="3" applyFont="1" applyBorder="1" applyAlignment="1">
      <alignment vertical="center"/>
    </xf>
    <xf numFmtId="0" fontId="1" fillId="2" borderId="2" xfId="0" applyFont="1" applyFill="1" applyBorder="1" applyAlignment="1">
      <alignment horizontal="center"/>
    </xf>
    <xf numFmtId="0" fontId="1" fillId="4" borderId="0" xfId="0" applyFont="1" applyFill="1" applyAlignment="1">
      <alignment horizontal="center"/>
    </xf>
    <xf numFmtId="0" fontId="1" fillId="6" borderId="2" xfId="0" applyFont="1" applyFill="1" applyBorder="1" applyAlignment="1">
      <alignment horizontal="center"/>
    </xf>
    <xf numFmtId="0" fontId="1" fillId="5" borderId="2" xfId="0" applyFont="1" applyFill="1" applyBorder="1" applyAlignment="1">
      <alignment horizontal="center"/>
    </xf>
    <xf numFmtId="0" fontId="0" fillId="0" borderId="2" xfId="0" applyBorder="1"/>
  </cellXfs>
  <cellStyles count="4">
    <cellStyle name="Hyperlink" xfId="2" builtinId="8"/>
    <cellStyle name="Normal" xfId="0" builtinId="0"/>
    <cellStyle name="Normal 2" xfId="1" xr:uid="{1DD03006-975C-4B5F-BAD6-860EEC402895}"/>
    <cellStyle name="Normal 3" xfId="3" xr:uid="{0A712ADE-6038-4828-9CB2-0CAE6A00CA47}"/>
  </cellStyles>
  <dxfs count="178">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theme="6"/>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ont>
        <b val="0"/>
        <i val="0"/>
        <strike val="0"/>
        <condense val="0"/>
        <extend val="0"/>
        <outline val="0"/>
        <shadow val="0"/>
        <u val="none"/>
        <vertAlign val="baseline"/>
        <sz val="10"/>
        <color auto="1"/>
        <name val="Arial"/>
        <family val="2"/>
        <scheme val="none"/>
      </font>
      <alignment vertical="top" textRotation="0" indent="0" justifyLastLine="0" shrinkToFit="0" readingOrder="0"/>
    </dxf>
    <dxf>
      <font>
        <b val="0"/>
        <i val="0"/>
        <strike val="0"/>
        <condense val="0"/>
        <extend val="0"/>
        <outline val="0"/>
        <shadow val="0"/>
        <u val="none"/>
        <vertAlign val="baseline"/>
        <sz val="10"/>
        <color auto="1"/>
        <name val="Arial"/>
        <family val="2"/>
        <scheme val="none"/>
      </font>
      <alignment vertical="top" textRotation="0" indent="0" justifyLastLine="0" shrinkToFit="0" readingOrder="0"/>
    </dxf>
    <dxf>
      <font>
        <b val="0"/>
        <i val="0"/>
        <strike val="0"/>
        <condense val="0"/>
        <extend val="0"/>
        <outline val="0"/>
        <shadow val="0"/>
        <u val="none"/>
        <vertAlign val="baseline"/>
        <sz val="10"/>
        <color auto="1"/>
        <name val="Arial"/>
        <family val="2"/>
        <scheme val="none"/>
      </font>
      <alignment vertical="top" textRotation="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Summary of Test Scripts</a:t>
            </a:r>
          </a:p>
        </c:rich>
      </c:tx>
      <c:layout>
        <c:manualLayout>
          <c:xMode val="edge"/>
          <c:yMode val="edge"/>
          <c:x val="0.34347864598630323"/>
          <c:y val="3.303265492768058E-2"/>
        </c:manualLayout>
      </c:layout>
      <c:overlay val="0"/>
      <c:spPr>
        <a:noFill/>
        <a:ln w="25400">
          <a:noFill/>
        </a:ln>
      </c:spPr>
    </c:title>
    <c:autoTitleDeleted val="0"/>
    <c:plotArea>
      <c:layout>
        <c:manualLayout>
          <c:layoutTarget val="inner"/>
          <c:xMode val="edge"/>
          <c:yMode val="edge"/>
          <c:x val="0.13913058246707549"/>
          <c:y val="0.18318372039144729"/>
          <c:w val="0.60434846759135907"/>
          <c:h val="0.6846866926106554"/>
        </c:manualLayout>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0-7255-44DD-B40A-3668D7B668AE}"/>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1-7255-44DD-B40A-3668D7B668AE}"/>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2-7255-44DD-B40A-3668D7B668AE}"/>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3-7255-44DD-B40A-3668D7B668AE}"/>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4-7255-44DD-B40A-3668D7B668AE}"/>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5-7255-44DD-B40A-3668D7B668AE}"/>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2</c:v>
              </c:pt>
            </c:numLit>
          </c:val>
          <c:extLst>
            <c:ext xmlns:c16="http://schemas.microsoft.com/office/drawing/2014/chart" uri="{C3380CC4-5D6E-409C-BE32-E72D297353CC}">
              <c16:uniqueId val="{00000006-7255-44DD-B40A-3668D7B668AE}"/>
            </c:ext>
          </c:extLst>
        </c:ser>
        <c:dLbls>
          <c:showLegendKey val="0"/>
          <c:showVal val="0"/>
          <c:showCatName val="0"/>
          <c:showSerName val="0"/>
          <c:showPercent val="0"/>
          <c:showBubbleSize val="0"/>
        </c:dLbls>
        <c:gapWidth val="150"/>
        <c:overlap val="100"/>
        <c:axId val="1169666431"/>
        <c:axId val="1"/>
      </c:barChart>
      <c:catAx>
        <c:axId val="1169666431"/>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Number of scripts</a:t>
                </a:r>
              </a:p>
            </c:rich>
          </c:tx>
          <c:layout>
            <c:manualLayout>
              <c:xMode val="edge"/>
              <c:yMode val="edge"/>
              <c:x val="3.478249721449117E-2"/>
              <c:y val="0.3663678675010492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169666431"/>
        <c:crosses val="autoZero"/>
        <c:crossBetween val="between"/>
      </c:valAx>
      <c:spPr>
        <a:solidFill>
          <a:srgbClr val="C0C0C0"/>
        </a:solidFill>
        <a:ln w="12700">
          <a:solidFill>
            <a:srgbClr val="808080"/>
          </a:solidFill>
          <a:prstDash val="solid"/>
        </a:ln>
      </c:spPr>
    </c:plotArea>
    <c:legend>
      <c:legendPos val="b"/>
      <c:layout>
        <c:manualLayout>
          <c:xMode val="edge"/>
          <c:yMode val="edge"/>
          <c:x val="0.25988450047744444"/>
          <c:y val="0.93731343283582091"/>
          <c:w val="0.48200800515902087"/>
          <c:h val="3.880597014925373E-2"/>
        </c:manualLayout>
      </c:layout>
      <c:overlay val="0"/>
      <c:spPr>
        <a:solidFill>
          <a:srgbClr val="FFFFFF"/>
        </a:solidFill>
        <a:ln w="3175">
          <a:solidFill>
            <a:srgbClr val="000000"/>
          </a:solidFill>
          <a:prstDash val="solid"/>
        </a:ln>
      </c:spPr>
      <c:txPr>
        <a:bodyPr/>
        <a:lstStyle/>
        <a:p>
          <a:pPr>
            <a:defRPr sz="35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75"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Summary of Test Scripts</a:t>
            </a:r>
          </a:p>
        </c:rich>
      </c:tx>
      <c:layout>
        <c:manualLayout>
          <c:xMode val="edge"/>
          <c:yMode val="edge"/>
          <c:x val="0.34490209741481426"/>
          <c:y val="4.1322178477690291E-2"/>
        </c:manualLayout>
      </c:layout>
      <c:overlay val="0"/>
      <c:spPr>
        <a:noFill/>
        <a:ln w="25400">
          <a:noFill/>
        </a:ln>
      </c:spPr>
    </c:title>
    <c:autoTitleDeleted val="0"/>
    <c:plotArea>
      <c:layout>
        <c:manualLayout>
          <c:layoutTarget val="inner"/>
          <c:xMode val="edge"/>
          <c:yMode val="edge"/>
          <c:x val="0.13882863340563992"/>
          <c:y val="0.23553719008264462"/>
          <c:w val="0.60520607375271152"/>
          <c:h val="0.5826446280991735"/>
        </c:manualLayout>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0-34E4-431B-A073-CB7535B65BE9}"/>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1-34E4-431B-A073-CB7535B65BE9}"/>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2-34E4-431B-A073-CB7535B65BE9}"/>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3-34E4-431B-A073-CB7535B65BE9}"/>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4-34E4-431B-A073-CB7535B65BE9}"/>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5-34E4-431B-A073-CB7535B65BE9}"/>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6-34E4-431B-A073-CB7535B65BE9}"/>
            </c:ext>
          </c:extLst>
        </c:ser>
        <c:dLbls>
          <c:showLegendKey val="0"/>
          <c:showVal val="0"/>
          <c:showCatName val="0"/>
          <c:showSerName val="0"/>
          <c:showPercent val="0"/>
          <c:showBubbleSize val="0"/>
        </c:dLbls>
        <c:gapWidth val="150"/>
        <c:overlap val="100"/>
        <c:axId val="1169815871"/>
        <c:axId val="1"/>
      </c:barChart>
      <c:catAx>
        <c:axId val="1169815871"/>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Number of scripts</a:t>
                </a:r>
              </a:p>
            </c:rich>
          </c:tx>
          <c:layout>
            <c:manualLayout>
              <c:xMode val="edge"/>
              <c:yMode val="edge"/>
              <c:x val="3.4707221331846796E-2"/>
              <c:y val="0.3057844852726742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169815871"/>
        <c:crosses val="autoZero"/>
        <c:crossBetween val="between"/>
      </c:valAx>
      <c:spPr>
        <a:solidFill>
          <a:srgbClr val="C0C0C0"/>
        </a:solidFill>
        <a:ln w="12700">
          <a:solidFill>
            <a:srgbClr val="808080"/>
          </a:solidFill>
          <a:prstDash val="solid"/>
        </a:ln>
      </c:spPr>
    </c:plotArea>
    <c:legend>
      <c:legendPos val="b"/>
      <c:layout>
        <c:manualLayout>
          <c:xMode val="edge"/>
          <c:yMode val="edge"/>
          <c:x val="0.23894558175268604"/>
          <c:y val="0.91639231430138413"/>
          <c:w val="0.48010362259567474"/>
          <c:h val="6.5456593878670297E-2"/>
        </c:manualLayout>
      </c:layout>
      <c:overlay val="0"/>
      <c:spPr>
        <a:solidFill>
          <a:srgbClr val="FFFFFF"/>
        </a:solidFill>
        <a:ln w="3175">
          <a:solidFill>
            <a:srgbClr val="000000"/>
          </a:solidFill>
          <a:prstDash val="solid"/>
        </a:ln>
      </c:spPr>
      <c:txPr>
        <a:bodyPr/>
        <a:lstStyle/>
        <a:p>
          <a:pPr>
            <a:defRPr sz="21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75"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Summary of Test Scripts</a:t>
            </a:r>
          </a:p>
        </c:rich>
      </c:tx>
      <c:layout>
        <c:manualLayout>
          <c:xMode val="edge"/>
          <c:yMode val="edge"/>
          <c:x val="0.34810253287759069"/>
          <c:y val="3.5713973253343329E-2"/>
        </c:manualLayout>
      </c:layout>
      <c:overlay val="0"/>
      <c:spPr>
        <a:noFill/>
        <a:ln w="25400">
          <a:noFill/>
        </a:ln>
      </c:spPr>
    </c:title>
    <c:autoTitleDeleted val="0"/>
    <c:plotArea>
      <c:layout>
        <c:manualLayout>
          <c:layoutTarget val="inner"/>
          <c:xMode val="edge"/>
          <c:yMode val="edge"/>
          <c:x val="0.14135050218902911"/>
          <c:y val="0.18154814670569053"/>
          <c:w val="0.60970589750193149"/>
          <c:h val="0.68750199818056579"/>
        </c:manualLayout>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0-873D-4B9E-BF6A-9F9D4C349B4C}"/>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1-873D-4B9E-BF6A-9F9D4C349B4C}"/>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2-873D-4B9E-BF6A-9F9D4C349B4C}"/>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3-873D-4B9E-BF6A-9F9D4C349B4C}"/>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4-873D-4B9E-BF6A-9F9D4C349B4C}"/>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5-873D-4B9E-BF6A-9F9D4C349B4C}"/>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6-873D-4B9E-BF6A-9F9D4C349B4C}"/>
            </c:ext>
          </c:extLst>
        </c:ser>
        <c:dLbls>
          <c:showLegendKey val="0"/>
          <c:showVal val="0"/>
          <c:showCatName val="0"/>
          <c:showSerName val="0"/>
          <c:showPercent val="0"/>
          <c:showBubbleSize val="0"/>
        </c:dLbls>
        <c:gapWidth val="150"/>
        <c:overlap val="100"/>
        <c:axId val="1170275039"/>
        <c:axId val="1"/>
      </c:barChart>
      <c:catAx>
        <c:axId val="1170275039"/>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Number of scripts</a:t>
                </a:r>
              </a:p>
            </c:rich>
          </c:tx>
          <c:layout>
            <c:manualLayout>
              <c:xMode val="edge"/>
              <c:yMode val="edge"/>
              <c:x val="3.3755863996789502E-2"/>
              <c:y val="0.3660723659542557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170275039"/>
        <c:crosses val="autoZero"/>
        <c:crossBetween val="between"/>
      </c:valAx>
      <c:spPr>
        <a:solidFill>
          <a:srgbClr val="C0C0C0"/>
        </a:solidFill>
        <a:ln w="12700">
          <a:solidFill>
            <a:srgbClr val="808080"/>
          </a:solidFill>
          <a:prstDash val="solid"/>
        </a:ln>
      </c:spPr>
    </c:plotArea>
    <c:legend>
      <c:legendPos val="b"/>
      <c:layout>
        <c:manualLayout>
          <c:xMode val="edge"/>
          <c:yMode val="edge"/>
          <c:x val="0.31208791208791209"/>
          <c:y val="0.94103636535813084"/>
          <c:w val="0.3802197802197802"/>
          <c:h val="3.5735558178156865E-2"/>
        </c:manualLayout>
      </c:layout>
      <c:overlay val="0"/>
      <c:spPr>
        <a:solidFill>
          <a:srgbClr val="FFFFFF"/>
        </a:solidFill>
        <a:ln w="3175">
          <a:solidFill>
            <a:srgbClr val="000000"/>
          </a:solidFill>
          <a:prstDash val="solid"/>
        </a:ln>
      </c:spPr>
      <c:txPr>
        <a:bodyPr/>
        <a:lstStyle/>
        <a:p>
          <a:pPr>
            <a:defRPr sz="28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75"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50" b="1" i="0" u="none" strike="noStrike" baseline="0">
                <a:solidFill>
                  <a:srgbClr val="000000"/>
                </a:solidFill>
                <a:latin typeface="Arial"/>
                <a:ea typeface="Arial"/>
                <a:cs typeface="Arial"/>
              </a:defRPr>
            </a:pPr>
            <a:r>
              <a:rPr lang="en-US"/>
              <a:t>Summary of Test Scripts</a:t>
            </a:r>
          </a:p>
        </c:rich>
      </c:tx>
      <c:layout>
        <c:manualLayout>
          <c:xMode val="edge"/>
          <c:yMode val="edge"/>
          <c:x val="0.35232092034189927"/>
          <c:y val="4.1494604841061537E-2"/>
        </c:manualLayout>
      </c:layout>
      <c:overlay val="0"/>
      <c:spPr>
        <a:noFill/>
        <a:ln w="25400">
          <a:noFill/>
        </a:ln>
      </c:spPr>
    </c:title>
    <c:autoTitleDeleted val="0"/>
    <c:plotArea>
      <c:layout>
        <c:manualLayout>
          <c:layoutTarget val="inner"/>
          <c:xMode val="edge"/>
          <c:yMode val="edge"/>
          <c:x val="0.13080195724954932"/>
          <c:y val="0.20746930001397987"/>
          <c:w val="0.62658356940509918"/>
          <c:h val="0.62240790004193958"/>
        </c:manualLayout>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0-C58B-4C8C-8C15-0D4C592A4E93}"/>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1-C58B-4C8C-8C15-0D4C592A4E93}"/>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2-C58B-4C8C-8C15-0D4C592A4E93}"/>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3-C58B-4C8C-8C15-0D4C592A4E93}"/>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4-C58B-4C8C-8C15-0D4C592A4E93}"/>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5-C58B-4C8C-8C15-0D4C592A4E93}"/>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6-C58B-4C8C-8C15-0D4C592A4E93}"/>
            </c:ext>
          </c:extLst>
        </c:ser>
        <c:dLbls>
          <c:showLegendKey val="0"/>
          <c:showVal val="0"/>
          <c:showCatName val="0"/>
          <c:showSerName val="0"/>
          <c:showPercent val="0"/>
          <c:showBubbleSize val="0"/>
        </c:dLbls>
        <c:gapWidth val="150"/>
        <c:overlap val="100"/>
        <c:axId val="1170270719"/>
        <c:axId val="1"/>
      </c:barChart>
      <c:catAx>
        <c:axId val="1170270719"/>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50"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50" b="1" i="0" u="none" strike="noStrike" baseline="0">
                    <a:solidFill>
                      <a:srgbClr val="000000"/>
                    </a:solidFill>
                    <a:latin typeface="Arial"/>
                    <a:ea typeface="Arial"/>
                    <a:cs typeface="Arial"/>
                  </a:defRPr>
                </a:pPr>
                <a:r>
                  <a:rPr lang="en-US"/>
                  <a:t>Number of scripts</a:t>
                </a:r>
              </a:p>
            </c:rich>
          </c:tx>
          <c:layout>
            <c:manualLayout>
              <c:xMode val="edge"/>
              <c:yMode val="edge"/>
              <c:x val="3.3755863996789502E-2"/>
              <c:y val="0.3112040682414697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50" b="1" i="0" u="none" strike="noStrike" baseline="0">
                <a:solidFill>
                  <a:srgbClr val="000000"/>
                </a:solidFill>
                <a:latin typeface="Arial"/>
                <a:ea typeface="Arial"/>
                <a:cs typeface="Arial"/>
              </a:defRPr>
            </a:pPr>
            <a:endParaRPr lang="en-US"/>
          </a:p>
        </c:txPr>
        <c:crossAx val="1170270719"/>
        <c:crosses val="autoZero"/>
        <c:crossBetween val="between"/>
      </c:valAx>
      <c:spPr>
        <a:solidFill>
          <a:srgbClr val="C0C0C0"/>
        </a:solidFill>
        <a:ln w="12700">
          <a:solidFill>
            <a:srgbClr val="808080"/>
          </a:solidFill>
          <a:prstDash val="solid"/>
        </a:ln>
      </c:spPr>
    </c:plotArea>
    <c:legend>
      <c:legendPos val="b"/>
      <c:layout>
        <c:manualLayout>
          <c:xMode val="edge"/>
          <c:yMode val="edge"/>
          <c:x val="0.2725360272995348"/>
          <c:y val="0.90548288198827243"/>
          <c:w val="0.468146563022588"/>
          <c:h val="6.5456593878670297E-2"/>
        </c:manualLayout>
      </c:layout>
      <c:overlay val="0"/>
      <c:spPr>
        <a:solidFill>
          <a:srgbClr val="FFFFFF"/>
        </a:solidFill>
        <a:ln w="3175">
          <a:solidFill>
            <a:srgbClr val="000000"/>
          </a:solidFill>
          <a:prstDash val="solid"/>
        </a:ln>
      </c:spPr>
      <c:txPr>
        <a:bodyPr/>
        <a:lstStyle/>
        <a:p>
          <a:pPr>
            <a:defRPr sz="20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50"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Summary of Test Scripts</a:t>
            </a:r>
          </a:p>
        </c:rich>
      </c:tx>
      <c:layout>
        <c:manualLayout>
          <c:xMode val="edge"/>
          <c:yMode val="edge"/>
          <c:x val="0.34490238611713664"/>
          <c:y val="4.1322314049586778E-2"/>
        </c:manualLayout>
      </c:layout>
      <c:overlay val="0"/>
      <c:spPr>
        <a:noFill/>
        <a:ln w="25400">
          <a:noFill/>
        </a:ln>
      </c:spPr>
    </c:title>
    <c:autoTitleDeleted val="0"/>
    <c:plotArea>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0-DDFA-4429-9C95-753C4CE80CB2}"/>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1-DDFA-4429-9C95-753C4CE80CB2}"/>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2-DDFA-4429-9C95-753C4CE80CB2}"/>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3-DDFA-4429-9C95-753C4CE80CB2}"/>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4-DDFA-4429-9C95-753C4CE80CB2}"/>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5-DDFA-4429-9C95-753C4CE80CB2}"/>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6-DDFA-4429-9C95-753C4CE80CB2}"/>
            </c:ext>
          </c:extLst>
        </c:ser>
        <c:dLbls>
          <c:showLegendKey val="0"/>
          <c:showVal val="0"/>
          <c:showCatName val="0"/>
          <c:showSerName val="0"/>
          <c:showPercent val="0"/>
          <c:showBubbleSize val="0"/>
        </c:dLbls>
        <c:gapWidth val="150"/>
        <c:overlap val="100"/>
        <c:axId val="1170496431"/>
        <c:axId val="1"/>
      </c:barChart>
      <c:catAx>
        <c:axId val="1170496431"/>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Number of scripts</a:t>
                </a:r>
              </a:p>
            </c:rich>
          </c:tx>
          <c:layout>
            <c:manualLayout>
              <c:xMode val="edge"/>
              <c:yMode val="edge"/>
              <c:x val="3.4707158351409979E-2"/>
              <c:y val="0.3057851239669421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170496431"/>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21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12700">
      <a:solidFill>
        <a:srgbClr val="000000"/>
      </a:solidFill>
      <a:prstDash val="solid"/>
    </a:ln>
  </c:spPr>
  <c:txPr>
    <a:bodyPr/>
    <a:lstStyle/>
    <a:p>
      <a:pPr>
        <a:defRPr sz="875"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Summary of Test Scripts</a:t>
            </a:r>
          </a:p>
        </c:rich>
      </c:tx>
      <c:layout>
        <c:manualLayout>
          <c:xMode val="edge"/>
          <c:yMode val="edge"/>
          <c:x val="0.34810253287759069"/>
          <c:y val="3.5713973253343329E-2"/>
        </c:manualLayout>
      </c:layout>
      <c:overlay val="0"/>
      <c:spPr>
        <a:noFill/>
        <a:ln w="25400">
          <a:noFill/>
        </a:ln>
      </c:spPr>
    </c:title>
    <c:autoTitleDeleted val="0"/>
    <c:plotArea>
      <c:layout>
        <c:manualLayout>
          <c:layoutTarget val="inner"/>
          <c:xMode val="edge"/>
          <c:yMode val="edge"/>
          <c:x val="0.14135050218902911"/>
          <c:y val="0.18154814670569053"/>
          <c:w val="0.60970589750193149"/>
          <c:h val="0.68750199818056579"/>
        </c:manualLayout>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0-D494-4951-90F0-BABEFB9F5E40}"/>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1-D494-4951-90F0-BABEFB9F5E40}"/>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2-D494-4951-90F0-BABEFB9F5E40}"/>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3-D494-4951-90F0-BABEFB9F5E40}"/>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4-D494-4951-90F0-BABEFB9F5E40}"/>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5-D494-4951-90F0-BABEFB9F5E40}"/>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6-D494-4951-90F0-BABEFB9F5E40}"/>
            </c:ext>
          </c:extLst>
        </c:ser>
        <c:dLbls>
          <c:showLegendKey val="0"/>
          <c:showVal val="0"/>
          <c:showCatName val="0"/>
          <c:showSerName val="0"/>
          <c:showPercent val="0"/>
          <c:showBubbleSize val="0"/>
        </c:dLbls>
        <c:gapWidth val="150"/>
        <c:overlap val="100"/>
        <c:axId val="1170275039"/>
        <c:axId val="1"/>
      </c:barChart>
      <c:catAx>
        <c:axId val="1170275039"/>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Number of scripts</a:t>
                </a:r>
              </a:p>
            </c:rich>
          </c:tx>
          <c:layout>
            <c:manualLayout>
              <c:xMode val="edge"/>
              <c:yMode val="edge"/>
              <c:x val="3.3755863996789502E-2"/>
              <c:y val="0.3660723659542557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170275039"/>
        <c:crosses val="autoZero"/>
        <c:crossBetween val="between"/>
      </c:valAx>
      <c:spPr>
        <a:solidFill>
          <a:srgbClr val="C0C0C0"/>
        </a:solidFill>
        <a:ln w="12700">
          <a:solidFill>
            <a:srgbClr val="808080"/>
          </a:solidFill>
          <a:prstDash val="solid"/>
        </a:ln>
      </c:spPr>
    </c:plotArea>
    <c:legend>
      <c:legendPos val="b"/>
      <c:layout>
        <c:manualLayout>
          <c:xMode val="edge"/>
          <c:yMode val="edge"/>
          <c:x val="0.31208791208791209"/>
          <c:y val="0.94103636535813084"/>
          <c:w val="0.3802197802197802"/>
          <c:h val="3.5735558178156865E-2"/>
        </c:manualLayout>
      </c:layout>
      <c:overlay val="0"/>
      <c:spPr>
        <a:solidFill>
          <a:srgbClr val="FFFFFF"/>
        </a:solidFill>
        <a:ln w="3175">
          <a:solidFill>
            <a:srgbClr val="000000"/>
          </a:solidFill>
          <a:prstDash val="solid"/>
        </a:ln>
      </c:spPr>
      <c:txPr>
        <a:bodyPr/>
        <a:lstStyle/>
        <a:p>
          <a:pPr>
            <a:defRPr sz="28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75"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66675</xdr:colOff>
      <xdr:row>4</xdr:row>
      <xdr:rowOff>9525</xdr:rowOff>
    </xdr:from>
    <xdr:to>
      <xdr:col>11</xdr:col>
      <xdr:colOff>85725</xdr:colOff>
      <xdr:row>18</xdr:row>
      <xdr:rowOff>0</xdr:rowOff>
    </xdr:to>
    <xdr:graphicFrame macro="">
      <xdr:nvGraphicFramePr>
        <xdr:cNvPr id="7294372" name="Chart 1">
          <a:extLst>
            <a:ext uri="{FF2B5EF4-FFF2-40B4-BE49-F238E27FC236}">
              <a16:creationId xmlns:a16="http://schemas.microsoft.com/office/drawing/2014/main" id="{80262BCC-A3AF-83D4-94E4-A44A9BBD9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66675</xdr:colOff>
      <xdr:row>25</xdr:row>
      <xdr:rowOff>9525</xdr:rowOff>
    </xdr:from>
    <xdr:to>
      <xdr:col>11</xdr:col>
      <xdr:colOff>104775</xdr:colOff>
      <xdr:row>39</xdr:row>
      <xdr:rowOff>9525</xdr:rowOff>
    </xdr:to>
    <xdr:graphicFrame macro="">
      <xdr:nvGraphicFramePr>
        <xdr:cNvPr id="7294373" name="Chart 2">
          <a:extLst>
            <a:ext uri="{FF2B5EF4-FFF2-40B4-BE49-F238E27FC236}">
              <a16:creationId xmlns:a16="http://schemas.microsoft.com/office/drawing/2014/main" id="{A0A14BBF-6B28-1F68-6728-B522A6FBD7D1}"/>
            </a:ext>
            <a:ext uri="{147F2762-F138-4A5C-976F-8EAC2B608ADB}">
              <a16:predDERef xmlns:a16="http://schemas.microsoft.com/office/drawing/2014/main" pred="{80262BCC-A3AF-83D4-94E4-A44A9BBD9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66675</xdr:colOff>
      <xdr:row>4</xdr:row>
      <xdr:rowOff>9525</xdr:rowOff>
    </xdr:from>
    <xdr:to>
      <xdr:col>24</xdr:col>
      <xdr:colOff>133350</xdr:colOff>
      <xdr:row>18</xdr:row>
      <xdr:rowOff>9525</xdr:rowOff>
    </xdr:to>
    <xdr:graphicFrame macro="">
      <xdr:nvGraphicFramePr>
        <xdr:cNvPr id="7294374" name="Chart 3">
          <a:extLst>
            <a:ext uri="{FF2B5EF4-FFF2-40B4-BE49-F238E27FC236}">
              <a16:creationId xmlns:a16="http://schemas.microsoft.com/office/drawing/2014/main" id="{05837711-61BE-FFDF-2AAF-FDDFC857DEA7}"/>
            </a:ext>
            <a:ext uri="{147F2762-F138-4A5C-976F-8EAC2B608ADB}">
              <a16:predDERef xmlns:a16="http://schemas.microsoft.com/office/drawing/2014/main" pred="{A0A14BBF-6B28-1F68-6728-B522A6FBD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66675</xdr:colOff>
      <xdr:row>25</xdr:row>
      <xdr:rowOff>9525</xdr:rowOff>
    </xdr:from>
    <xdr:to>
      <xdr:col>24</xdr:col>
      <xdr:colOff>133350</xdr:colOff>
      <xdr:row>39</xdr:row>
      <xdr:rowOff>9525</xdr:rowOff>
    </xdr:to>
    <xdr:graphicFrame macro="">
      <xdr:nvGraphicFramePr>
        <xdr:cNvPr id="7294375" name="Chart 4">
          <a:extLst>
            <a:ext uri="{FF2B5EF4-FFF2-40B4-BE49-F238E27FC236}">
              <a16:creationId xmlns:a16="http://schemas.microsoft.com/office/drawing/2014/main" id="{A0F24AB5-FFFF-7CB0-969C-A21159DEB036}"/>
            </a:ext>
            <a:ext uri="{147F2762-F138-4A5C-976F-8EAC2B608ADB}">
              <a16:predDERef xmlns:a16="http://schemas.microsoft.com/office/drawing/2014/main" pred="{05837711-61BE-FFDF-2AAF-FDDFC857DE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66675</xdr:colOff>
      <xdr:row>41</xdr:row>
      <xdr:rowOff>0</xdr:rowOff>
    </xdr:from>
    <xdr:to>
      <xdr:col>11</xdr:col>
      <xdr:colOff>104775</xdr:colOff>
      <xdr:row>41</xdr:row>
      <xdr:rowOff>0</xdr:rowOff>
    </xdr:to>
    <xdr:graphicFrame macro="">
      <xdr:nvGraphicFramePr>
        <xdr:cNvPr id="7294376" name="Chart 2">
          <a:extLst>
            <a:ext uri="{FF2B5EF4-FFF2-40B4-BE49-F238E27FC236}">
              <a16:creationId xmlns:a16="http://schemas.microsoft.com/office/drawing/2014/main" id="{506D8168-D810-27DC-7787-C8D8F1A836F9}"/>
            </a:ext>
            <a:ext uri="{147F2762-F138-4A5C-976F-8EAC2B608ADB}">
              <a16:predDERef xmlns:a16="http://schemas.microsoft.com/office/drawing/2014/main" pred="{A0F24AB5-FFFF-7CB0-969C-A21159DEB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66675</xdr:colOff>
      <xdr:row>4</xdr:row>
      <xdr:rowOff>9525</xdr:rowOff>
    </xdr:from>
    <xdr:to>
      <xdr:col>38</xdr:col>
      <xdr:colOff>133350</xdr:colOff>
      <xdr:row>18</xdr:row>
      <xdr:rowOff>9525</xdr:rowOff>
    </xdr:to>
    <xdr:graphicFrame macro="">
      <xdr:nvGraphicFramePr>
        <xdr:cNvPr id="2" name="Chart 3">
          <a:extLst>
            <a:ext uri="{FF2B5EF4-FFF2-40B4-BE49-F238E27FC236}">
              <a16:creationId xmlns:a16="http://schemas.microsoft.com/office/drawing/2014/main" id="{FBFD4432-A0F1-4B6E-9B10-4D7D2C205C63}"/>
            </a:ext>
            <a:ext uri="{147F2762-F138-4A5C-976F-8EAC2B608ADB}">
              <a16:predDERef xmlns:a16="http://schemas.microsoft.com/office/drawing/2014/main" pred="{506D8168-D810-27DC-7787-C8D8F1A836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FDEC2D-A720-41F7-A850-C7F7D7AB468F}" name="Table1" displayName="Table1" ref="SX78:SX79" insertRow="1" totalsRowShown="0" headerRowDxfId="177" dataDxfId="176">
  <autoFilter ref="SX78:SX79" xr:uid="{E0FDEC2D-A720-41F7-A850-C7F7D7AB468F}"/>
  <tableColumns count="1">
    <tableColumn id="1" xr3:uid="{0FAC254D-96A4-48EC-BB85-BE0E2B8F605D}" name="Column1" dataDxfId="175"/>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brserco.sharepoint.com/:f:/r/sites/SercoTestEvidenceRepository/Shared%20Documents/Serco%20Test%20Evidence%20Repository/2026-02-A%20-%20February%20Release/Test%20Evidence%20Screenshots/Bail%20ATV?csf=1&amp;web=1&amp;e=rAOOosreenshots\Bail%20ATV?csf=1&amp;web=1&amp;e=o7pMBy"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910B1-E8B2-4E3B-9023-D8DBEB808A73}">
  <dimension ref="C3:F48"/>
  <sheetViews>
    <sheetView workbookViewId="0">
      <selection activeCell="E18" sqref="E18"/>
    </sheetView>
  </sheetViews>
  <sheetFormatPr baseColWidth="10" defaultColWidth="8.83203125" defaultRowHeight="15" x14ac:dyDescent="0.2"/>
  <cols>
    <col min="1" max="2" width="8.83203125" style="196"/>
    <col min="3" max="3" width="16.33203125" style="196" customWidth="1"/>
    <col min="4" max="4" width="22.5" style="196" customWidth="1"/>
    <col min="5" max="5" width="55.1640625" style="196" customWidth="1"/>
    <col min="6" max="12" width="27.1640625" style="196" customWidth="1"/>
    <col min="13" max="16384" width="8.83203125" style="196"/>
  </cols>
  <sheetData>
    <row r="3" spans="3:5" ht="16" x14ac:dyDescent="0.2">
      <c r="C3" s="504" t="s">
        <v>0</v>
      </c>
      <c r="D3" s="504"/>
      <c r="E3" s="504"/>
    </row>
    <row r="4" spans="3:5" x14ac:dyDescent="0.2">
      <c r="C4" s="197" t="s">
        <v>1</v>
      </c>
      <c r="D4" s="505" t="s">
        <v>2</v>
      </c>
      <c r="E4" s="505"/>
    </row>
    <row r="5" spans="3:5" x14ac:dyDescent="0.2">
      <c r="C5" s="197" t="s">
        <v>1</v>
      </c>
      <c r="D5" s="505" t="s">
        <v>3</v>
      </c>
      <c r="E5" s="505"/>
    </row>
    <row r="6" spans="3:5" x14ac:dyDescent="0.2">
      <c r="C6" s="197" t="s">
        <v>4</v>
      </c>
      <c r="D6" s="505" t="s">
        <v>5</v>
      </c>
      <c r="E6" s="505"/>
    </row>
    <row r="7" spans="3:5" x14ac:dyDescent="0.2">
      <c r="C7" s="197" t="s">
        <v>6</v>
      </c>
      <c r="D7" s="505" t="s">
        <v>7</v>
      </c>
      <c r="E7" s="505"/>
    </row>
    <row r="8" spans="3:5" x14ac:dyDescent="0.2">
      <c r="C8" s="198"/>
      <c r="D8" s="199"/>
      <c r="E8" s="199"/>
    </row>
    <row r="9" spans="3:5" ht="16" x14ac:dyDescent="0.2">
      <c r="C9" s="498" t="s">
        <v>8</v>
      </c>
      <c r="D9" s="499"/>
      <c r="E9" s="499"/>
    </row>
    <row r="10" spans="3:5" x14ac:dyDescent="0.2">
      <c r="C10" s="200" t="s">
        <v>9</v>
      </c>
      <c r="D10" s="200" t="s">
        <v>10</v>
      </c>
      <c r="E10" s="200" t="s">
        <v>11</v>
      </c>
    </row>
    <row r="11" spans="3:5" x14ac:dyDescent="0.2">
      <c r="C11" s="208">
        <v>0.1</v>
      </c>
      <c r="D11" s="209">
        <v>46027</v>
      </c>
      <c r="E11" s="210" t="s">
        <v>12</v>
      </c>
    </row>
    <row r="12" spans="3:5" x14ac:dyDescent="0.2">
      <c r="C12" s="211">
        <v>0.2</v>
      </c>
      <c r="D12" s="496">
        <v>46053</v>
      </c>
      <c r="E12" s="497" t="s">
        <v>13</v>
      </c>
    </row>
    <row r="13" spans="3:5" x14ac:dyDescent="0.2">
      <c r="C13" s="203"/>
      <c r="D13" s="204"/>
      <c r="E13" s="202"/>
    </row>
    <row r="14" spans="3:5" x14ac:dyDescent="0.2">
      <c r="C14" s="205"/>
      <c r="D14" s="204"/>
      <c r="E14" s="202"/>
    </row>
    <row r="15" spans="3:5" x14ac:dyDescent="0.2">
      <c r="C15" s="201"/>
      <c r="D15" s="204"/>
      <c r="E15" s="202"/>
    </row>
    <row r="16" spans="3:5" x14ac:dyDescent="0.2">
      <c r="C16" s="199"/>
      <c r="D16" s="199"/>
      <c r="E16" s="199"/>
    </row>
    <row r="17" spans="3:5" ht="16" x14ac:dyDescent="0.2">
      <c r="C17" s="498" t="s">
        <v>14</v>
      </c>
      <c r="D17" s="499"/>
      <c r="E17" s="499"/>
    </row>
    <row r="18" spans="3:5" x14ac:dyDescent="0.2">
      <c r="C18" s="502" t="s">
        <v>15</v>
      </c>
      <c r="D18" s="503"/>
      <c r="E18" s="207" t="s">
        <v>16</v>
      </c>
    </row>
    <row r="19" spans="3:5" x14ac:dyDescent="0.2">
      <c r="C19" s="199"/>
      <c r="D19" s="199"/>
      <c r="E19" s="199"/>
    </row>
    <row r="20" spans="3:5" ht="16" x14ac:dyDescent="0.2">
      <c r="C20" s="498" t="s">
        <v>17</v>
      </c>
      <c r="D20" s="499"/>
      <c r="E20" s="499"/>
    </row>
    <row r="21" spans="3:5" x14ac:dyDescent="0.2">
      <c r="C21" s="500" t="s">
        <v>18</v>
      </c>
      <c r="D21" s="501"/>
      <c r="E21" s="501"/>
    </row>
    <row r="22" spans="3:5" x14ac:dyDescent="0.2">
      <c r="C22" s="235" t="s">
        <v>19</v>
      </c>
      <c r="D22" s="235" t="s">
        <v>20</v>
      </c>
      <c r="E22" s="235" t="s">
        <v>21</v>
      </c>
    </row>
    <row r="23" spans="3:5" ht="16" x14ac:dyDescent="0.2">
      <c r="C23" s="228" t="s">
        <v>22</v>
      </c>
      <c r="D23" s="229" t="s">
        <v>23</v>
      </c>
      <c r="E23" s="230" t="s">
        <v>24</v>
      </c>
    </row>
    <row r="24" spans="3:5" ht="16" x14ac:dyDescent="0.2">
      <c r="C24" s="231" t="s">
        <v>25</v>
      </c>
      <c r="D24" s="232" t="s">
        <v>23</v>
      </c>
      <c r="E24" s="233" t="s">
        <v>26</v>
      </c>
    </row>
    <row r="25" spans="3:5" ht="16" x14ac:dyDescent="0.2">
      <c r="C25" s="231" t="s">
        <v>27</v>
      </c>
      <c r="D25" s="232" t="s">
        <v>23</v>
      </c>
      <c r="E25" s="233" t="s">
        <v>28</v>
      </c>
    </row>
    <row r="26" spans="3:5" ht="16" x14ac:dyDescent="0.2">
      <c r="C26" s="231" t="s">
        <v>29</v>
      </c>
      <c r="D26" s="232" t="s">
        <v>23</v>
      </c>
      <c r="E26" s="233" t="s">
        <v>30</v>
      </c>
    </row>
    <row r="27" spans="3:5" ht="16" x14ac:dyDescent="0.2">
      <c r="C27" s="231" t="s">
        <v>31</v>
      </c>
      <c r="D27" s="232" t="s">
        <v>23</v>
      </c>
      <c r="E27" s="233" t="s">
        <v>32</v>
      </c>
    </row>
    <row r="28" spans="3:5" ht="16" x14ac:dyDescent="0.2">
      <c r="C28" s="231" t="s">
        <v>33</v>
      </c>
      <c r="D28" s="232" t="s">
        <v>23</v>
      </c>
      <c r="E28" s="233" t="s">
        <v>34</v>
      </c>
    </row>
    <row r="29" spans="3:5" ht="16" x14ac:dyDescent="0.2">
      <c r="C29" s="231" t="s">
        <v>35</v>
      </c>
      <c r="D29" s="232" t="s">
        <v>23</v>
      </c>
      <c r="E29" s="233" t="s">
        <v>36</v>
      </c>
    </row>
    <row r="30" spans="3:5" ht="32" x14ac:dyDescent="0.2">
      <c r="C30" s="231" t="s">
        <v>37</v>
      </c>
      <c r="D30" s="232" t="s">
        <v>23</v>
      </c>
      <c r="E30" s="233" t="s">
        <v>38</v>
      </c>
    </row>
    <row r="31" spans="3:5" ht="16" x14ac:dyDescent="0.2">
      <c r="C31" s="231" t="s">
        <v>39</v>
      </c>
      <c r="D31" s="232" t="s">
        <v>23</v>
      </c>
      <c r="E31" s="233" t="s">
        <v>40</v>
      </c>
    </row>
    <row r="32" spans="3:5" x14ac:dyDescent="0.2">
      <c r="C32" s="234"/>
      <c r="D32" s="234"/>
      <c r="E32" s="234"/>
    </row>
    <row r="33" spans="3:6" x14ac:dyDescent="0.2">
      <c r="C33" s="199"/>
      <c r="D33" s="206"/>
      <c r="E33" s="199"/>
    </row>
    <row r="36" spans="3:6" x14ac:dyDescent="0.2">
      <c r="C36" s="199"/>
      <c r="D36" s="199"/>
      <c r="E36" s="199"/>
    </row>
    <row r="37" spans="3:6" x14ac:dyDescent="0.2">
      <c r="C37"/>
      <c r="D37"/>
      <c r="E37"/>
    </row>
    <row r="38" spans="3:6" x14ac:dyDescent="0.2">
      <c r="C38"/>
      <c r="D38"/>
      <c r="E38"/>
    </row>
    <row r="39" spans="3:6" x14ac:dyDescent="0.2">
      <c r="C39"/>
      <c r="D39"/>
      <c r="E39"/>
      <c r="F39"/>
    </row>
    <row r="40" spans="3:6" x14ac:dyDescent="0.2">
      <c r="C40"/>
      <c r="D40"/>
      <c r="E40"/>
      <c r="F40"/>
    </row>
    <row r="41" spans="3:6" x14ac:dyDescent="0.2">
      <c r="C41"/>
      <c r="D41"/>
      <c r="E41"/>
      <c r="F41"/>
    </row>
    <row r="42" spans="3:6" x14ac:dyDescent="0.2">
      <c r="C42"/>
      <c r="D42"/>
      <c r="E42"/>
      <c r="F42"/>
    </row>
    <row r="43" spans="3:6" x14ac:dyDescent="0.2">
      <c r="C43"/>
      <c r="D43"/>
      <c r="E43"/>
      <c r="F43"/>
    </row>
    <row r="44" spans="3:6" x14ac:dyDescent="0.2">
      <c r="C44"/>
      <c r="D44"/>
      <c r="E44"/>
      <c r="F44"/>
    </row>
    <row r="45" spans="3:6" x14ac:dyDescent="0.2">
      <c r="C45"/>
      <c r="D45"/>
      <c r="E45"/>
      <c r="F45"/>
    </row>
    <row r="46" spans="3:6" x14ac:dyDescent="0.2">
      <c r="C46"/>
      <c r="D46"/>
      <c r="E46"/>
      <c r="F46"/>
    </row>
    <row r="47" spans="3:6" x14ac:dyDescent="0.2">
      <c r="C47"/>
      <c r="D47"/>
      <c r="E47"/>
      <c r="F47"/>
    </row>
    <row r="48" spans="3:6" x14ac:dyDescent="0.2">
      <c r="C48"/>
      <c r="D48"/>
      <c r="E48"/>
      <c r="F48"/>
    </row>
  </sheetData>
  <mergeCells count="10">
    <mergeCell ref="C20:E20"/>
    <mergeCell ref="C21:E21"/>
    <mergeCell ref="C17:E17"/>
    <mergeCell ref="C18:D18"/>
    <mergeCell ref="C3:E3"/>
    <mergeCell ref="D4:E4"/>
    <mergeCell ref="D5:E5"/>
    <mergeCell ref="D6:E6"/>
    <mergeCell ref="D7:E7"/>
    <mergeCell ref="C9:E9"/>
  </mergeCells>
  <hyperlinks>
    <hyperlink ref="E18" r:id="rId1" xr:uid="{5F507637-866C-4746-852E-E04E287A509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32951-2FF1-41DF-98D6-38A29A288441}">
  <dimension ref="A1:AM41"/>
  <sheetViews>
    <sheetView topLeftCell="A27" zoomScale="70" zoomScaleNormal="70" workbookViewId="0">
      <selection activeCell="P49" sqref="P49"/>
    </sheetView>
  </sheetViews>
  <sheetFormatPr baseColWidth="10" defaultColWidth="8.83203125" defaultRowHeight="13" x14ac:dyDescent="0.15"/>
  <cols>
    <col min="1" max="1" width="1.83203125" customWidth="1"/>
    <col min="2" max="2" width="18.1640625" customWidth="1"/>
    <col min="3" max="3" width="9.83203125" customWidth="1"/>
    <col min="12" max="12" width="7.33203125" customWidth="1"/>
    <col min="13" max="13" width="2.5" customWidth="1"/>
    <col min="14" max="14" width="1.83203125" customWidth="1"/>
    <col min="15" max="15" width="15.5" customWidth="1"/>
    <col min="16" max="16" width="10" customWidth="1"/>
    <col min="25" max="25" width="7.6640625" customWidth="1"/>
    <col min="29" max="29" width="13.83203125" customWidth="1"/>
  </cols>
  <sheetData>
    <row r="1" spans="1:39" ht="14" thickBot="1" x14ac:dyDescent="0.2">
      <c r="A1" s="4"/>
      <c r="B1" s="4"/>
      <c r="C1" s="4"/>
      <c r="D1" s="4"/>
      <c r="E1" s="4"/>
      <c r="F1" s="4"/>
      <c r="G1" s="4"/>
      <c r="H1" s="4"/>
      <c r="I1" s="4"/>
      <c r="J1" s="4"/>
      <c r="K1" s="4"/>
      <c r="L1" s="4"/>
    </row>
    <row r="2" spans="1:39" x14ac:dyDescent="0.15">
      <c r="A2" s="5"/>
      <c r="B2" s="5"/>
      <c r="C2" s="5"/>
      <c r="D2" s="5"/>
      <c r="E2" s="506" t="s">
        <v>41</v>
      </c>
      <c r="F2" s="506"/>
      <c r="G2" s="506"/>
      <c r="H2" s="506"/>
      <c r="I2" s="5"/>
      <c r="J2" s="5"/>
      <c r="K2" s="5"/>
      <c r="L2" s="5"/>
      <c r="M2" s="1"/>
      <c r="N2" s="42"/>
      <c r="O2" s="43"/>
      <c r="P2" s="43"/>
      <c r="Q2" s="43"/>
      <c r="R2" s="508" t="s">
        <v>42</v>
      </c>
      <c r="S2" s="508"/>
      <c r="T2" s="508"/>
      <c r="U2" s="508"/>
      <c r="V2" s="43"/>
      <c r="W2" s="43"/>
      <c r="X2" s="43"/>
      <c r="Y2" s="44"/>
      <c r="AB2" s="42"/>
      <c r="AC2" s="43"/>
      <c r="AD2" s="43"/>
      <c r="AE2" s="43"/>
      <c r="AF2" s="508" t="s">
        <v>43</v>
      </c>
      <c r="AG2" s="508"/>
      <c r="AH2" s="508"/>
      <c r="AI2" s="508"/>
      <c r="AJ2" s="43"/>
      <c r="AK2" s="43"/>
      <c r="AL2" s="43"/>
      <c r="AM2" s="44"/>
    </row>
    <row r="3" spans="1:39" ht="14" thickBot="1" x14ac:dyDescent="0.2">
      <c r="A3" s="5"/>
      <c r="B3" s="6"/>
      <c r="C3" s="6"/>
      <c r="D3" s="5"/>
      <c r="E3" s="5"/>
      <c r="F3" s="5"/>
      <c r="G3" s="5"/>
      <c r="H3" s="5"/>
      <c r="I3" s="5"/>
      <c r="J3" s="5"/>
      <c r="K3" s="5"/>
      <c r="L3" s="5"/>
      <c r="M3" s="1"/>
      <c r="N3" s="40"/>
      <c r="O3" s="39"/>
      <c r="P3" s="39"/>
      <c r="Q3" s="38"/>
      <c r="R3" s="38"/>
      <c r="S3" s="38"/>
      <c r="T3" s="38"/>
      <c r="U3" s="38"/>
      <c r="V3" s="38"/>
      <c r="W3" s="38"/>
      <c r="X3" s="38"/>
      <c r="Y3" s="45"/>
      <c r="AB3" s="40"/>
      <c r="AC3" s="39"/>
      <c r="AD3" s="39"/>
      <c r="AE3" s="38"/>
      <c r="AF3" s="38"/>
      <c r="AG3" s="38"/>
      <c r="AH3" s="38"/>
      <c r="AI3" s="38"/>
      <c r="AJ3" s="38"/>
      <c r="AK3" s="38"/>
      <c r="AL3" s="38"/>
      <c r="AM3" s="45"/>
    </row>
    <row r="4" spans="1:39" ht="18" customHeight="1" x14ac:dyDescent="0.15">
      <c r="A4" s="7"/>
      <c r="B4" s="9" t="s">
        <v>44</v>
      </c>
      <c r="C4" s="10"/>
      <c r="D4" s="5"/>
      <c r="E4" s="5"/>
      <c r="F4" s="5"/>
      <c r="G4" s="5"/>
      <c r="H4" s="5"/>
      <c r="I4" s="5"/>
      <c r="J4" s="5"/>
      <c r="K4" s="5"/>
      <c r="L4" s="5"/>
      <c r="M4" s="1"/>
      <c r="N4" s="40"/>
      <c r="O4" s="14" t="s">
        <v>44</v>
      </c>
      <c r="P4" s="16"/>
      <c r="Q4" s="38"/>
      <c r="R4" s="38"/>
      <c r="S4" s="38"/>
      <c r="T4" s="38"/>
      <c r="U4" s="38"/>
      <c r="V4" s="38"/>
      <c r="W4" s="38"/>
      <c r="X4" s="38"/>
      <c r="Y4" s="45"/>
      <c r="AB4" s="40"/>
      <c r="AC4" s="14" t="s">
        <v>44</v>
      </c>
      <c r="AD4" s="16"/>
      <c r="AE4" s="38"/>
      <c r="AF4" s="38"/>
      <c r="AG4" s="38"/>
      <c r="AH4" s="38"/>
      <c r="AI4" s="38"/>
      <c r="AJ4" s="38"/>
      <c r="AK4" s="38"/>
      <c r="AL4" s="38"/>
      <c r="AM4" s="45"/>
    </row>
    <row r="5" spans="1:39" ht="18" customHeight="1" x14ac:dyDescent="0.15">
      <c r="A5" s="7"/>
      <c r="B5" s="11" t="s">
        <v>45</v>
      </c>
      <c r="C5" s="56">
        <f>SUM(ORDERS!F2:F43)</f>
        <v>137</v>
      </c>
      <c r="D5" s="5"/>
      <c r="E5" s="5"/>
      <c r="F5" s="5"/>
      <c r="G5" s="5"/>
      <c r="H5" s="5"/>
      <c r="I5" s="5"/>
      <c r="J5" s="5"/>
      <c r="K5" s="5"/>
      <c r="L5" s="5"/>
      <c r="M5" s="1"/>
      <c r="N5" s="40"/>
      <c r="O5" s="11" t="s">
        <v>45</v>
      </c>
      <c r="P5" s="56">
        <f>SUM('Sheet 4'!F2:F41)</f>
        <v>0</v>
      </c>
      <c r="Q5" s="38"/>
      <c r="R5" s="38"/>
      <c r="S5" s="38"/>
      <c r="T5" s="38"/>
      <c r="U5" s="38"/>
      <c r="V5" s="38"/>
      <c r="W5" s="38"/>
      <c r="X5" s="38"/>
      <c r="Y5" s="45"/>
      <c r="AB5" s="40"/>
      <c r="AC5" s="11" t="s">
        <v>45</v>
      </c>
      <c r="AD5" s="56">
        <f>SUM(OVERALL!F2:F82)</f>
        <v>0</v>
      </c>
      <c r="AE5" s="38"/>
      <c r="AF5" s="38"/>
      <c r="AG5" s="38"/>
      <c r="AH5" s="38"/>
      <c r="AI5" s="38"/>
      <c r="AJ5" s="38"/>
      <c r="AK5" s="38"/>
      <c r="AL5" s="38"/>
      <c r="AM5" s="45"/>
    </row>
    <row r="6" spans="1:39" ht="18" customHeight="1" x14ac:dyDescent="0.15">
      <c r="A6" s="7"/>
      <c r="B6" s="11" t="s">
        <v>46</v>
      </c>
      <c r="C6" s="10">
        <f>C7-C5</f>
        <v>0</v>
      </c>
      <c r="D6" s="5"/>
      <c r="E6" s="5"/>
      <c r="F6" s="5"/>
      <c r="G6" s="5"/>
      <c r="H6" s="5"/>
      <c r="I6" s="5"/>
      <c r="J6" s="5"/>
      <c r="K6" s="5"/>
      <c r="L6" s="5"/>
      <c r="M6" s="1"/>
      <c r="N6" s="40"/>
      <c r="O6" s="11" t="s">
        <v>46</v>
      </c>
      <c r="P6" s="10">
        <f>SUM(P7-P5)</f>
        <v>0</v>
      </c>
      <c r="Q6" s="38"/>
      <c r="R6" s="38"/>
      <c r="S6" s="38"/>
      <c r="T6" s="38"/>
      <c r="U6" s="38"/>
      <c r="V6" s="38"/>
      <c r="W6" s="38"/>
      <c r="X6" s="38"/>
      <c r="Y6" s="45"/>
      <c r="AB6" s="40"/>
      <c r="AC6" s="11" t="s">
        <v>46</v>
      </c>
      <c r="AD6" s="10">
        <f>SUM(AD7-AD5)</f>
        <v>0</v>
      </c>
      <c r="AE6" s="38"/>
      <c r="AF6" s="38"/>
      <c r="AG6" s="38"/>
      <c r="AH6" s="38"/>
      <c r="AI6" s="38"/>
      <c r="AJ6" s="38"/>
      <c r="AK6" s="38"/>
      <c r="AL6" s="38"/>
      <c r="AM6" s="45"/>
    </row>
    <row r="7" spans="1:39" ht="18" customHeight="1" x14ac:dyDescent="0.15">
      <c r="A7" s="7"/>
      <c r="B7" s="11" t="s">
        <v>47</v>
      </c>
      <c r="C7" s="10">
        <f>SUM(ORDERS!E2:E43)</f>
        <v>137</v>
      </c>
      <c r="D7" s="5"/>
      <c r="E7" s="5"/>
      <c r="F7" s="5"/>
      <c r="G7" s="5"/>
      <c r="H7" s="5"/>
      <c r="I7" s="5"/>
      <c r="J7" s="5"/>
      <c r="K7" s="5"/>
      <c r="L7" s="5"/>
      <c r="M7" s="1"/>
      <c r="N7" s="40"/>
      <c r="O7" s="11" t="s">
        <v>47</v>
      </c>
      <c r="P7" s="10">
        <f>SUM('Sheet 4'!E2:E41)</f>
        <v>0</v>
      </c>
      <c r="Q7" s="38"/>
      <c r="R7" s="38"/>
      <c r="S7" s="38"/>
      <c r="T7" s="38"/>
      <c r="U7" s="38"/>
      <c r="V7" s="38"/>
      <c r="W7" s="38"/>
      <c r="X7" s="38"/>
      <c r="Y7" s="45"/>
      <c r="AB7" s="40"/>
      <c r="AC7" s="11" t="s">
        <v>47</v>
      </c>
      <c r="AD7" s="10">
        <f>SUM(OVERALL!E2:E82)</f>
        <v>0</v>
      </c>
      <c r="AE7" s="38"/>
      <c r="AF7" s="38"/>
      <c r="AG7" s="38"/>
      <c r="AH7" s="38"/>
      <c r="AI7" s="38"/>
      <c r="AJ7" s="38"/>
      <c r="AK7" s="38"/>
      <c r="AL7" s="38"/>
      <c r="AM7" s="45"/>
    </row>
    <row r="8" spans="1:39" ht="18" customHeight="1" x14ac:dyDescent="0.15">
      <c r="A8" s="7"/>
      <c r="B8" s="11"/>
      <c r="C8" s="10"/>
      <c r="D8" s="5"/>
      <c r="E8" s="5"/>
      <c r="F8" s="5"/>
      <c r="G8" s="5"/>
      <c r="H8" s="5"/>
      <c r="I8" s="5"/>
      <c r="J8" s="5"/>
      <c r="K8" s="5"/>
      <c r="L8" s="5"/>
      <c r="M8" s="1"/>
      <c r="N8" s="40"/>
      <c r="O8" s="11"/>
      <c r="P8" s="10"/>
      <c r="Q8" s="38"/>
      <c r="R8" s="38"/>
      <c r="S8" s="38"/>
      <c r="T8" s="38"/>
      <c r="U8" s="38"/>
      <c r="V8" s="38"/>
      <c r="W8" s="38"/>
      <c r="X8" s="38"/>
      <c r="Y8" s="45"/>
      <c r="AB8" s="40"/>
      <c r="AC8" s="11"/>
      <c r="AD8" s="10"/>
      <c r="AE8" s="38"/>
      <c r="AF8" s="38"/>
      <c r="AG8" s="38"/>
      <c r="AH8" s="38"/>
      <c r="AI8" s="38"/>
      <c r="AJ8" s="38"/>
      <c r="AK8" s="38"/>
      <c r="AL8" s="38"/>
      <c r="AM8" s="45"/>
    </row>
    <row r="9" spans="1:39" ht="18" customHeight="1" thickBot="1" x14ac:dyDescent="0.2">
      <c r="A9" s="7"/>
      <c r="B9" s="12" t="s">
        <v>48</v>
      </c>
      <c r="C9" s="13">
        <f>C5/C7</f>
        <v>1</v>
      </c>
      <c r="D9" s="5"/>
      <c r="E9" s="5"/>
      <c r="F9" s="5"/>
      <c r="G9" s="5"/>
      <c r="H9" s="5"/>
      <c r="I9" s="5"/>
      <c r="J9" s="5"/>
      <c r="K9" s="5"/>
      <c r="L9" s="5"/>
      <c r="M9" s="1"/>
      <c r="N9" s="40"/>
      <c r="O9" s="12" t="s">
        <v>48</v>
      </c>
      <c r="P9" s="13" t="e">
        <f>P5/P7</f>
        <v>#DIV/0!</v>
      </c>
      <c r="Q9" s="38"/>
      <c r="R9" s="38"/>
      <c r="S9" s="38"/>
      <c r="T9" s="38"/>
      <c r="U9" s="38"/>
      <c r="V9" s="38"/>
      <c r="W9" s="38"/>
      <c r="X9" s="38"/>
      <c r="Y9" s="45"/>
      <c r="AB9" s="40"/>
      <c r="AC9" s="12" t="s">
        <v>48</v>
      </c>
      <c r="AD9" s="13" t="e">
        <f>AD5/AD7</f>
        <v>#DIV/0!</v>
      </c>
      <c r="AE9" s="38"/>
      <c r="AF9" s="38"/>
      <c r="AG9" s="38"/>
      <c r="AH9" s="38"/>
      <c r="AI9" s="38"/>
      <c r="AJ9" s="38"/>
      <c r="AK9" s="38"/>
      <c r="AL9" s="38"/>
      <c r="AM9" s="45"/>
    </row>
    <row r="10" spans="1:39" ht="18" customHeight="1" thickBot="1" x14ac:dyDescent="0.2">
      <c r="A10" s="7"/>
      <c r="B10" s="5"/>
      <c r="C10" s="5"/>
      <c r="D10" s="5"/>
      <c r="E10" s="5"/>
      <c r="F10" s="5"/>
      <c r="G10" s="5"/>
      <c r="H10" s="5"/>
      <c r="I10" s="5"/>
      <c r="J10" s="5"/>
      <c r="K10" s="5"/>
      <c r="L10" s="5"/>
      <c r="M10" s="1"/>
      <c r="N10" s="40"/>
      <c r="O10" s="38"/>
      <c r="P10" s="38"/>
      <c r="Q10" s="38"/>
      <c r="R10" s="38"/>
      <c r="S10" s="38"/>
      <c r="T10" s="38"/>
      <c r="U10" s="38"/>
      <c r="V10" s="38"/>
      <c r="W10" s="38"/>
      <c r="X10" s="38"/>
      <c r="Y10" s="45"/>
      <c r="AB10" s="40"/>
      <c r="AC10" s="38"/>
      <c r="AD10" s="38"/>
      <c r="AE10" s="38"/>
      <c r="AF10" s="38"/>
      <c r="AG10" s="38"/>
      <c r="AH10" s="38"/>
      <c r="AI10" s="38"/>
      <c r="AJ10" s="38"/>
      <c r="AK10" s="38"/>
      <c r="AL10" s="38"/>
      <c r="AM10" s="45"/>
    </row>
    <row r="11" spans="1:39" ht="18" customHeight="1" x14ac:dyDescent="0.15">
      <c r="A11" s="7"/>
      <c r="B11" s="14" t="s">
        <v>49</v>
      </c>
      <c r="C11" s="15"/>
      <c r="D11" s="16"/>
      <c r="E11" s="5"/>
      <c r="F11" s="5"/>
      <c r="G11" s="5"/>
      <c r="H11" s="5"/>
      <c r="I11" s="5"/>
      <c r="J11" s="5"/>
      <c r="K11" s="5"/>
      <c r="L11" s="5"/>
      <c r="M11" s="1"/>
      <c r="N11" s="40"/>
      <c r="O11" s="14" t="s">
        <v>49</v>
      </c>
      <c r="P11" s="15"/>
      <c r="Q11" s="16"/>
      <c r="R11" s="38"/>
      <c r="S11" s="38"/>
      <c r="T11" s="38"/>
      <c r="U11" s="38"/>
      <c r="V11" s="38"/>
      <c r="W11" s="38"/>
      <c r="X11" s="38"/>
      <c r="Y11" s="45"/>
      <c r="AB11" s="40"/>
      <c r="AC11" s="14" t="s">
        <v>49</v>
      </c>
      <c r="AD11" s="15"/>
      <c r="AE11" s="16"/>
      <c r="AF11" s="38"/>
      <c r="AG11" s="38"/>
      <c r="AH11" s="38"/>
      <c r="AI11" s="38"/>
      <c r="AJ11" s="38"/>
      <c r="AK11" s="38"/>
      <c r="AL11" s="38"/>
      <c r="AM11" s="45"/>
    </row>
    <row r="12" spans="1:39" ht="18" customHeight="1" x14ac:dyDescent="0.15">
      <c r="A12" s="7"/>
      <c r="B12" s="11" t="s">
        <v>50</v>
      </c>
      <c r="C12" s="17">
        <f>COUNTIF(ORDERS!$G$2:$G$143,Summary!B12)</f>
        <v>14</v>
      </c>
      <c r="D12" s="18">
        <f>C12/$C$19</f>
        <v>1</v>
      </c>
      <c r="E12" s="5"/>
      <c r="F12" s="5"/>
      <c r="G12" s="5"/>
      <c r="H12" s="5"/>
      <c r="I12" s="5"/>
      <c r="J12" s="5"/>
      <c r="K12" s="5"/>
      <c r="L12" s="5"/>
      <c r="M12" s="1"/>
      <c r="N12" s="40"/>
      <c r="O12" s="11" t="s">
        <v>50</v>
      </c>
      <c r="P12" s="17">
        <f>COUNTIF('Sheet 4'!$G$2:$G$148,Summary!O12)</f>
        <v>0</v>
      </c>
      <c r="Q12" s="18" t="e">
        <f t="shared" ref="Q12:Q18" si="0">P12/$P$19</f>
        <v>#DIV/0!</v>
      </c>
      <c r="R12" s="38"/>
      <c r="S12" s="38"/>
      <c r="T12" s="38"/>
      <c r="U12" s="38"/>
      <c r="V12" s="38"/>
      <c r="W12" s="38"/>
      <c r="X12" s="38"/>
      <c r="Y12" s="45"/>
      <c r="AB12" s="40"/>
      <c r="AC12" s="11" t="s">
        <v>50</v>
      </c>
      <c r="AD12" s="17">
        <f>COUNTIF(OVERALL!$G$2:$G$150,Summary!AC12)</f>
        <v>0</v>
      </c>
      <c r="AE12" s="18" t="e">
        <f t="shared" ref="AE12:AE18" si="1">AD12/$AD$19</f>
        <v>#DIV/0!</v>
      </c>
      <c r="AF12" s="38"/>
      <c r="AG12" s="38"/>
      <c r="AH12" s="38"/>
      <c r="AI12" s="38"/>
      <c r="AJ12" s="38"/>
      <c r="AK12" s="38"/>
      <c r="AL12" s="38"/>
      <c r="AM12" s="45"/>
    </row>
    <row r="13" spans="1:39" ht="18" customHeight="1" x14ac:dyDescent="0.15">
      <c r="A13" s="7"/>
      <c r="B13" s="54" t="s">
        <v>51</v>
      </c>
      <c r="C13" s="17">
        <f>COUNTIF(ORDERS!$G$2:$G$143,Summary!B13)</f>
        <v>0</v>
      </c>
      <c r="D13" s="18">
        <f t="shared" ref="D13:D18" si="2">C13/$C$19</f>
        <v>0</v>
      </c>
      <c r="E13" s="5"/>
      <c r="F13" s="5"/>
      <c r="G13" s="5"/>
      <c r="H13" s="5"/>
      <c r="I13" s="5"/>
      <c r="J13" s="5"/>
      <c r="K13" s="5"/>
      <c r="L13" s="5"/>
      <c r="M13" s="1"/>
      <c r="N13" s="40"/>
      <c r="O13" s="11" t="s">
        <v>51</v>
      </c>
      <c r="P13" s="17">
        <f>COUNTIF('Sheet 4'!$G$2:$G$148,Summary!O13)</f>
        <v>0</v>
      </c>
      <c r="Q13" s="18" t="e">
        <f t="shared" si="0"/>
        <v>#DIV/0!</v>
      </c>
      <c r="R13" s="38"/>
      <c r="S13" s="38"/>
      <c r="T13" s="38"/>
      <c r="U13" s="38"/>
      <c r="V13" s="38"/>
      <c r="W13" s="38"/>
      <c r="X13" s="38"/>
      <c r="Y13" s="45"/>
      <c r="AB13" s="40"/>
      <c r="AC13" s="11" t="s">
        <v>51</v>
      </c>
      <c r="AD13" s="17">
        <f>COUNTIF(OVERALL!$G$2:$G$150,Summary!AC13)</f>
        <v>0</v>
      </c>
      <c r="AE13" s="18" t="e">
        <f t="shared" si="1"/>
        <v>#DIV/0!</v>
      </c>
      <c r="AF13" s="38"/>
      <c r="AG13" s="38"/>
      <c r="AH13" s="38"/>
      <c r="AI13" s="38"/>
      <c r="AJ13" s="38"/>
      <c r="AK13" s="38"/>
      <c r="AL13" s="38"/>
      <c r="AM13" s="45"/>
    </row>
    <row r="14" spans="1:39" ht="18" customHeight="1" x14ac:dyDescent="0.15">
      <c r="A14" s="7"/>
      <c r="B14" s="11" t="s">
        <v>52</v>
      </c>
      <c r="C14" s="17">
        <f>COUNTIF(ORDERS!$G$2:$G$143,Summary!B14)</f>
        <v>0</v>
      </c>
      <c r="D14" s="18">
        <f t="shared" si="2"/>
        <v>0</v>
      </c>
      <c r="E14" s="5"/>
      <c r="F14" s="5"/>
      <c r="G14" s="5"/>
      <c r="H14" s="5"/>
      <c r="I14" s="5"/>
      <c r="J14" s="5"/>
      <c r="K14" s="5"/>
      <c r="L14" s="5"/>
      <c r="M14" s="1"/>
      <c r="N14" s="40"/>
      <c r="O14" s="11" t="s">
        <v>52</v>
      </c>
      <c r="P14" s="17">
        <f>COUNTIF('Sheet 4'!$G$2:$G$148,Summary!O14)</f>
        <v>0</v>
      </c>
      <c r="Q14" s="18" t="e">
        <f t="shared" si="0"/>
        <v>#DIV/0!</v>
      </c>
      <c r="R14" s="38"/>
      <c r="S14" s="38"/>
      <c r="T14" s="38"/>
      <c r="U14" s="38"/>
      <c r="V14" s="38"/>
      <c r="W14" s="38"/>
      <c r="X14" s="38"/>
      <c r="Y14" s="45"/>
      <c r="AB14" s="40"/>
      <c r="AC14" s="11" t="s">
        <v>52</v>
      </c>
      <c r="AD14" s="17">
        <f>COUNTIF(OVERALL!$G$2:$G$150,Summary!AC14)</f>
        <v>0</v>
      </c>
      <c r="AE14" s="18" t="e">
        <f t="shared" si="1"/>
        <v>#DIV/0!</v>
      </c>
      <c r="AF14" s="38"/>
      <c r="AG14" s="38"/>
      <c r="AH14" s="38"/>
      <c r="AI14" s="38"/>
      <c r="AJ14" s="38"/>
      <c r="AK14" s="38"/>
      <c r="AL14" s="38"/>
      <c r="AM14" s="45"/>
    </row>
    <row r="15" spans="1:39" ht="18" customHeight="1" x14ac:dyDescent="0.15">
      <c r="A15" s="7"/>
      <c r="B15" s="11" t="s">
        <v>53</v>
      </c>
      <c r="C15" s="17">
        <f>COUNTIF(ORDERS!$G$2:$G$143,Summary!B15)</f>
        <v>0</v>
      </c>
      <c r="D15" s="18">
        <f t="shared" si="2"/>
        <v>0</v>
      </c>
      <c r="E15" s="5"/>
      <c r="F15" s="5"/>
      <c r="G15" s="5"/>
      <c r="H15" s="5"/>
      <c r="I15" s="5"/>
      <c r="J15" s="5"/>
      <c r="K15" s="5"/>
      <c r="L15" s="5"/>
      <c r="M15" s="1"/>
      <c r="N15" s="40"/>
      <c r="O15" s="11" t="s">
        <v>53</v>
      </c>
      <c r="P15" s="17">
        <f>COUNTIF('Sheet 4'!$G$2:$G$148,Summary!O15)</f>
        <v>0</v>
      </c>
      <c r="Q15" s="18" t="e">
        <f t="shared" si="0"/>
        <v>#DIV/0!</v>
      </c>
      <c r="R15" s="38"/>
      <c r="S15" s="38"/>
      <c r="T15" s="38"/>
      <c r="U15" s="38"/>
      <c r="V15" s="38"/>
      <c r="W15" s="38"/>
      <c r="X15" s="38"/>
      <c r="Y15" s="45"/>
      <c r="AB15" s="40"/>
      <c r="AC15" s="11" t="s">
        <v>53</v>
      </c>
      <c r="AD15" s="17">
        <f>COUNTIF(OVERALL!$G$2:$G$150,Summary!AC15)</f>
        <v>0</v>
      </c>
      <c r="AE15" s="18" t="e">
        <f t="shared" si="1"/>
        <v>#DIV/0!</v>
      </c>
      <c r="AF15" s="38"/>
      <c r="AG15" s="38"/>
      <c r="AH15" s="38"/>
      <c r="AI15" s="38"/>
      <c r="AJ15" s="38"/>
      <c r="AK15" s="38"/>
      <c r="AL15" s="38"/>
      <c r="AM15" s="45"/>
    </row>
    <row r="16" spans="1:39" ht="18" customHeight="1" x14ac:dyDescent="0.15">
      <c r="A16" s="7"/>
      <c r="B16" s="11" t="s">
        <v>54</v>
      </c>
      <c r="C16" s="17">
        <f>COUNTIF(ORDERS!$G$2:$G$143,Summary!B16)</f>
        <v>0</v>
      </c>
      <c r="D16" s="18">
        <f t="shared" si="2"/>
        <v>0</v>
      </c>
      <c r="E16" s="5"/>
      <c r="F16" s="5"/>
      <c r="G16" s="5"/>
      <c r="H16" s="5"/>
      <c r="I16" s="5"/>
      <c r="J16" s="5"/>
      <c r="K16" s="5"/>
      <c r="L16" s="5"/>
      <c r="M16" s="1"/>
      <c r="N16" s="40"/>
      <c r="O16" s="11" t="s">
        <v>54</v>
      </c>
      <c r="P16" s="17">
        <f>COUNTIF('Sheet 4'!$G$2:$G$148,Summary!O16)</f>
        <v>0</v>
      </c>
      <c r="Q16" s="18" t="e">
        <f t="shared" si="0"/>
        <v>#DIV/0!</v>
      </c>
      <c r="R16" s="38"/>
      <c r="S16" s="38"/>
      <c r="T16" s="38"/>
      <c r="U16" s="38"/>
      <c r="V16" s="38"/>
      <c r="W16" s="38"/>
      <c r="X16" s="38"/>
      <c r="Y16" s="45"/>
      <c r="AB16" s="40"/>
      <c r="AC16" s="11" t="s">
        <v>54</v>
      </c>
      <c r="AD16" s="17">
        <f>COUNTIF(OVERALL!$G$2:$G$150,Summary!AC16)</f>
        <v>0</v>
      </c>
      <c r="AE16" s="18" t="e">
        <f t="shared" si="1"/>
        <v>#DIV/0!</v>
      </c>
      <c r="AF16" s="38"/>
      <c r="AG16" s="38"/>
      <c r="AH16" s="38"/>
      <c r="AI16" s="38"/>
      <c r="AJ16" s="38"/>
      <c r="AK16" s="38"/>
      <c r="AL16" s="38"/>
      <c r="AM16" s="45"/>
    </row>
    <row r="17" spans="1:39" ht="18" customHeight="1" x14ac:dyDescent="0.15">
      <c r="A17" s="7"/>
      <c r="B17" s="11" t="s">
        <v>55</v>
      </c>
      <c r="C17" s="17">
        <f>COUNTIF(ORDERS!$G$2:$G$143,Summary!B17)</f>
        <v>0</v>
      </c>
      <c r="D17" s="18">
        <f t="shared" si="2"/>
        <v>0</v>
      </c>
      <c r="E17" s="5"/>
      <c r="F17" s="5"/>
      <c r="G17" s="5"/>
      <c r="H17" s="5"/>
      <c r="I17" s="5"/>
      <c r="J17" s="5"/>
      <c r="K17" s="5"/>
      <c r="L17" s="5"/>
      <c r="M17" s="1"/>
      <c r="N17" s="40"/>
      <c r="O17" s="11" t="s">
        <v>55</v>
      </c>
      <c r="P17" s="17">
        <f>COUNTIF('Sheet 4'!$G$2:$G$148,Summary!O17)</f>
        <v>0</v>
      </c>
      <c r="Q17" s="18" t="e">
        <f t="shared" si="0"/>
        <v>#DIV/0!</v>
      </c>
      <c r="R17" s="38"/>
      <c r="S17" s="38"/>
      <c r="T17" s="38"/>
      <c r="U17" s="38"/>
      <c r="V17" s="38"/>
      <c r="W17" s="38"/>
      <c r="X17" s="38"/>
      <c r="Y17" s="45"/>
      <c r="AB17" s="40"/>
      <c r="AC17" s="11" t="s">
        <v>55</v>
      </c>
      <c r="AD17" s="17">
        <f>COUNTIF(OVERALL!$G$2:$G$150,Summary!AC17)</f>
        <v>0</v>
      </c>
      <c r="AE17" s="18" t="e">
        <f t="shared" si="1"/>
        <v>#DIV/0!</v>
      </c>
      <c r="AF17" s="38"/>
      <c r="AG17" s="38"/>
      <c r="AH17" s="38"/>
      <c r="AI17" s="38"/>
      <c r="AJ17" s="38"/>
      <c r="AK17" s="38"/>
      <c r="AL17" s="38"/>
      <c r="AM17" s="45"/>
    </row>
    <row r="18" spans="1:39" ht="18" customHeight="1" thickBot="1" x14ac:dyDescent="0.2">
      <c r="A18" s="7"/>
      <c r="B18" s="12" t="s">
        <v>56</v>
      </c>
      <c r="C18" s="17">
        <f>COUNTIF(ORDERS!$G$2:$G$143,Summary!B18)</f>
        <v>0</v>
      </c>
      <c r="D18" s="13">
        <f t="shared" si="2"/>
        <v>0</v>
      </c>
      <c r="E18" s="5"/>
      <c r="F18" s="5"/>
      <c r="G18" s="5"/>
      <c r="H18" s="5"/>
      <c r="I18" s="5"/>
      <c r="J18" s="5"/>
      <c r="K18" s="5"/>
      <c r="L18" s="5"/>
      <c r="M18" s="1"/>
      <c r="N18" s="40"/>
      <c r="O18" s="12" t="s">
        <v>56</v>
      </c>
      <c r="P18" s="17">
        <f>COUNTIF('Sheet 4'!$G$2:$G$148,Summary!O18)</f>
        <v>0</v>
      </c>
      <c r="Q18" s="13" t="e">
        <f t="shared" si="0"/>
        <v>#DIV/0!</v>
      </c>
      <c r="R18" s="38"/>
      <c r="S18" s="38"/>
      <c r="T18" s="38"/>
      <c r="U18" s="38"/>
      <c r="V18" s="38"/>
      <c r="W18" s="38"/>
      <c r="X18" s="38"/>
      <c r="Y18" s="45"/>
      <c r="AB18" s="40"/>
      <c r="AC18" s="12" t="s">
        <v>56</v>
      </c>
      <c r="AD18" s="17">
        <f>COUNTIF(OVERALL!$G$2:$G$150,Summary!AC18)</f>
        <v>0</v>
      </c>
      <c r="AE18" s="18" t="e">
        <f t="shared" si="1"/>
        <v>#DIV/0!</v>
      </c>
      <c r="AF18" s="38"/>
      <c r="AG18" s="38"/>
      <c r="AH18" s="38"/>
      <c r="AI18" s="38"/>
      <c r="AJ18" s="38"/>
      <c r="AK18" s="38"/>
      <c r="AL18" s="38"/>
      <c r="AM18" s="45"/>
    </row>
    <row r="19" spans="1:39" ht="14" thickBot="1" x14ac:dyDescent="0.2">
      <c r="A19" s="7"/>
      <c r="B19" s="19" t="s">
        <v>57</v>
      </c>
      <c r="C19" s="20">
        <f>SUM(C12:C18)</f>
        <v>14</v>
      </c>
      <c r="D19" s="21"/>
      <c r="E19" s="5"/>
      <c r="F19" s="5"/>
      <c r="G19" s="5"/>
      <c r="H19" s="5"/>
      <c r="I19" s="5"/>
      <c r="J19" s="5"/>
      <c r="K19" s="5"/>
      <c r="L19" s="5"/>
      <c r="M19" s="1"/>
      <c r="N19" s="40"/>
      <c r="O19" s="19" t="s">
        <v>57</v>
      </c>
      <c r="P19" s="20">
        <f>SUM(P12:P18)</f>
        <v>0</v>
      </c>
      <c r="Q19" s="21"/>
      <c r="R19" s="38"/>
      <c r="S19" s="38"/>
      <c r="T19" s="38"/>
      <c r="U19" s="38"/>
      <c r="V19" s="38"/>
      <c r="W19" s="38"/>
      <c r="X19" s="38"/>
      <c r="Y19" s="45"/>
      <c r="AB19" s="40"/>
      <c r="AC19" s="19" t="s">
        <v>57</v>
      </c>
      <c r="AD19" s="20">
        <f>SUM(AD12:AD18)</f>
        <v>0</v>
      </c>
      <c r="AE19" s="21"/>
      <c r="AF19" s="38"/>
      <c r="AG19" s="38"/>
      <c r="AH19" s="38"/>
      <c r="AI19" s="38"/>
      <c r="AJ19" s="38"/>
      <c r="AK19" s="38"/>
      <c r="AL19" s="38"/>
      <c r="AM19" s="45"/>
    </row>
    <row r="20" spans="1:39" ht="14" thickBot="1" x14ac:dyDescent="0.2">
      <c r="A20" s="8"/>
      <c r="B20" s="6"/>
      <c r="C20" s="6"/>
      <c r="D20" s="6"/>
      <c r="E20" s="6"/>
      <c r="F20" s="6"/>
      <c r="G20" s="6"/>
      <c r="H20" s="6"/>
      <c r="I20" s="6"/>
      <c r="J20" s="6"/>
      <c r="K20" s="6"/>
      <c r="L20" s="6"/>
      <c r="M20" s="1"/>
      <c r="N20" s="41"/>
      <c r="O20" s="39"/>
      <c r="P20" s="39"/>
      <c r="Q20" s="39"/>
      <c r="R20" s="39"/>
      <c r="S20" s="39"/>
      <c r="T20" s="39"/>
      <c r="U20" s="39"/>
      <c r="V20" s="39"/>
      <c r="W20" s="39"/>
      <c r="X20" s="39"/>
      <c r="Y20" s="46"/>
      <c r="AB20" s="41"/>
      <c r="AC20" s="39"/>
      <c r="AD20" s="39"/>
      <c r="AE20" s="39"/>
      <c r="AF20" s="39"/>
      <c r="AG20" s="39"/>
      <c r="AH20" s="39"/>
      <c r="AI20" s="39"/>
      <c r="AJ20" s="39"/>
      <c r="AK20" s="39"/>
      <c r="AL20" s="39"/>
      <c r="AM20" s="46"/>
    </row>
    <row r="21" spans="1:39" x14ac:dyDescent="0.15">
      <c r="A21" s="3"/>
      <c r="B21" s="3"/>
      <c r="C21" s="3"/>
      <c r="D21" s="3"/>
      <c r="E21" s="3"/>
      <c r="F21" s="3"/>
      <c r="G21" s="3"/>
      <c r="H21" s="3"/>
      <c r="I21" s="3"/>
      <c r="J21" s="3"/>
      <c r="K21" s="3"/>
      <c r="L21" s="3"/>
    </row>
    <row r="22" spans="1:39" ht="14" thickBot="1" x14ac:dyDescent="0.2">
      <c r="A22" s="4"/>
      <c r="B22" s="4"/>
      <c r="C22" s="4"/>
      <c r="D22" s="4"/>
      <c r="E22" s="4"/>
      <c r="F22" s="4"/>
      <c r="G22" s="4"/>
      <c r="H22" s="4"/>
      <c r="I22" s="4"/>
      <c r="J22" s="4"/>
      <c r="K22" s="4"/>
      <c r="L22" s="4"/>
    </row>
    <row r="23" spans="1:39" x14ac:dyDescent="0.15">
      <c r="A23" s="22"/>
      <c r="B23" s="22"/>
      <c r="C23" s="22"/>
      <c r="D23" s="22"/>
      <c r="E23" s="507" t="s">
        <v>58</v>
      </c>
      <c r="F23" s="507"/>
      <c r="G23" s="507"/>
      <c r="H23" s="507"/>
      <c r="I23" s="22"/>
      <c r="J23" s="22"/>
      <c r="K23" s="22"/>
      <c r="L23" s="22"/>
      <c r="M23" s="1"/>
      <c r="N23" s="26"/>
      <c r="O23" s="27"/>
      <c r="P23" s="27"/>
      <c r="Q23" s="509" t="s">
        <v>59</v>
      </c>
      <c r="R23" s="510"/>
      <c r="S23" s="510"/>
      <c r="T23" s="510"/>
      <c r="U23" s="510"/>
      <c r="V23" s="510"/>
      <c r="W23" s="27"/>
      <c r="X23" s="27"/>
      <c r="Y23" s="28"/>
    </row>
    <row r="24" spans="1:39" ht="14" thickBot="1" x14ac:dyDescent="0.2">
      <c r="A24" s="22"/>
      <c r="B24" s="23"/>
      <c r="C24" s="23"/>
      <c r="D24" s="22"/>
      <c r="E24" s="22"/>
      <c r="F24" s="22"/>
      <c r="G24" s="22"/>
      <c r="H24" s="22"/>
      <c r="I24" s="22"/>
      <c r="J24" s="22"/>
      <c r="K24" s="22"/>
      <c r="L24" s="22"/>
      <c r="M24" s="1"/>
      <c r="N24" s="29"/>
      <c r="O24" s="30"/>
      <c r="P24" s="30"/>
      <c r="Q24" s="31"/>
      <c r="R24" s="31"/>
      <c r="S24" s="31"/>
      <c r="T24" s="31"/>
      <c r="U24" s="31"/>
      <c r="V24" s="31"/>
      <c r="W24" s="31"/>
      <c r="X24" s="31"/>
      <c r="Y24" s="32"/>
    </row>
    <row r="25" spans="1:39" x14ac:dyDescent="0.15">
      <c r="A25" s="24"/>
      <c r="B25" s="9" t="s">
        <v>44</v>
      </c>
      <c r="C25" s="10"/>
      <c r="D25" s="22"/>
      <c r="E25" s="22"/>
      <c r="F25" s="22"/>
      <c r="G25" s="22"/>
      <c r="H25" s="22"/>
      <c r="I25" s="22"/>
      <c r="J25" s="22"/>
      <c r="K25" s="22"/>
      <c r="L25" s="22"/>
      <c r="M25" s="1"/>
      <c r="N25" s="29"/>
      <c r="O25" s="14" t="s">
        <v>44</v>
      </c>
      <c r="P25" s="16"/>
      <c r="Q25" s="31"/>
      <c r="R25" s="31"/>
      <c r="S25" s="31"/>
      <c r="T25" s="31"/>
      <c r="U25" s="31"/>
      <c r="V25" s="31"/>
      <c r="W25" s="31"/>
      <c r="X25" s="31"/>
      <c r="Y25" s="32"/>
    </row>
    <row r="26" spans="1:39" x14ac:dyDescent="0.15">
      <c r="A26" s="24"/>
      <c r="B26" s="11" t="s">
        <v>45</v>
      </c>
      <c r="C26" s="56">
        <f>SUM(AcquisitiveCrime!F2:F58)</f>
        <v>14</v>
      </c>
      <c r="D26" s="22"/>
      <c r="E26" s="22"/>
      <c r="F26" s="22"/>
      <c r="G26" s="22"/>
      <c r="H26" s="22"/>
      <c r="I26" s="22"/>
      <c r="J26" s="22"/>
      <c r="K26" s="22"/>
      <c r="L26" s="22"/>
      <c r="M26" s="1"/>
      <c r="N26" s="29"/>
      <c r="O26" s="11" t="s">
        <v>45</v>
      </c>
      <c r="P26" s="56">
        <f>SUM('Bail ATV'!F2:F62)</f>
        <v>101</v>
      </c>
      <c r="Q26" s="31"/>
      <c r="R26" s="31"/>
      <c r="S26" s="31"/>
      <c r="T26" s="31"/>
      <c r="U26" s="31"/>
      <c r="V26" s="31"/>
      <c r="W26" s="31"/>
      <c r="X26" s="31"/>
      <c r="Y26" s="32"/>
    </row>
    <row r="27" spans="1:39" x14ac:dyDescent="0.15">
      <c r="A27" s="24"/>
      <c r="B27" s="11" t="s">
        <v>46</v>
      </c>
      <c r="C27" s="10">
        <f>SUM(C28-C26)</f>
        <v>0</v>
      </c>
      <c r="D27" s="22"/>
      <c r="E27" s="22"/>
      <c r="F27" s="22"/>
      <c r="G27" s="22"/>
      <c r="H27" s="22"/>
      <c r="I27" s="22"/>
      <c r="J27" s="22"/>
      <c r="K27" s="22"/>
      <c r="L27" s="22"/>
      <c r="M27" s="1"/>
      <c r="N27" s="29"/>
      <c r="O27" s="11" t="s">
        <v>46</v>
      </c>
      <c r="P27" s="10">
        <f>P28-P26</f>
        <v>0</v>
      </c>
      <c r="Q27" s="31"/>
      <c r="R27" s="31"/>
      <c r="S27" s="31"/>
      <c r="T27" s="31"/>
      <c r="U27" s="31"/>
      <c r="V27" s="31"/>
      <c r="W27" s="31"/>
      <c r="X27" s="31"/>
      <c r="Y27" s="32"/>
    </row>
    <row r="28" spans="1:39" x14ac:dyDescent="0.15">
      <c r="A28" s="24"/>
      <c r="B28" s="11" t="s">
        <v>47</v>
      </c>
      <c r="C28" s="10">
        <f>SUM(AcquisitiveCrime!E2:E58)</f>
        <v>14</v>
      </c>
      <c r="D28" s="22"/>
      <c r="E28" s="22"/>
      <c r="F28" s="22"/>
      <c r="G28" s="22"/>
      <c r="H28" s="22"/>
      <c r="I28" s="22"/>
      <c r="J28" s="22"/>
      <c r="K28" s="22"/>
      <c r="L28" s="22"/>
      <c r="M28" s="1"/>
      <c r="N28" s="29"/>
      <c r="O28" s="11" t="s">
        <v>47</v>
      </c>
      <c r="P28" s="10">
        <f>SUM('Bail ATV'!E2:E62)</f>
        <v>101</v>
      </c>
      <c r="Q28" s="31"/>
      <c r="R28" s="31"/>
      <c r="S28" s="31"/>
      <c r="T28" s="31"/>
      <c r="U28" s="31"/>
      <c r="V28" s="31"/>
      <c r="W28" s="31"/>
      <c r="X28" s="31"/>
      <c r="Y28" s="32"/>
    </row>
    <row r="29" spans="1:39" x14ac:dyDescent="0.15">
      <c r="A29" s="24"/>
      <c r="B29" s="11"/>
      <c r="C29" s="10"/>
      <c r="D29" s="22"/>
      <c r="E29" s="22"/>
      <c r="F29" s="22"/>
      <c r="G29" s="22"/>
      <c r="H29" s="22"/>
      <c r="I29" s="22"/>
      <c r="J29" s="22"/>
      <c r="K29" s="22"/>
      <c r="L29" s="22"/>
      <c r="M29" s="1"/>
      <c r="N29" s="29"/>
      <c r="O29" s="11"/>
      <c r="P29" s="10"/>
      <c r="Q29" s="31"/>
      <c r="R29" s="31"/>
      <c r="S29" s="31"/>
      <c r="T29" s="31"/>
      <c r="U29" s="31"/>
      <c r="V29" s="31"/>
      <c r="W29" s="31"/>
      <c r="X29" s="31"/>
      <c r="Y29" s="32"/>
    </row>
    <row r="30" spans="1:39" ht="14" thickBot="1" x14ac:dyDescent="0.2">
      <c r="A30" s="24"/>
      <c r="B30" s="12" t="s">
        <v>48</v>
      </c>
      <c r="C30" s="13">
        <f>C26/C28</f>
        <v>1</v>
      </c>
      <c r="D30" s="22"/>
      <c r="E30" s="22"/>
      <c r="F30" s="22"/>
      <c r="G30" s="22"/>
      <c r="H30" s="22"/>
      <c r="I30" s="22"/>
      <c r="J30" s="22"/>
      <c r="K30" s="22"/>
      <c r="L30" s="22"/>
      <c r="M30" s="1"/>
      <c r="N30" s="29"/>
      <c r="O30" s="12" t="s">
        <v>48</v>
      </c>
      <c r="P30" s="13">
        <f>P26/P28</f>
        <v>1</v>
      </c>
      <c r="Q30" s="31"/>
      <c r="R30" s="31"/>
      <c r="S30" s="31"/>
      <c r="T30" s="31"/>
      <c r="U30" s="31"/>
      <c r="V30" s="31"/>
      <c r="W30" s="31"/>
      <c r="X30" s="31"/>
      <c r="Y30" s="32"/>
    </row>
    <row r="31" spans="1:39" ht="14" thickBot="1" x14ac:dyDescent="0.2">
      <c r="A31" s="24"/>
      <c r="B31" s="22"/>
      <c r="C31" s="22"/>
      <c r="D31" s="22"/>
      <c r="E31" s="22"/>
      <c r="F31" s="22"/>
      <c r="G31" s="22"/>
      <c r="H31" s="22"/>
      <c r="I31" s="22"/>
      <c r="J31" s="22"/>
      <c r="K31" s="22"/>
      <c r="L31" s="22"/>
      <c r="M31" s="1"/>
      <c r="N31" s="29"/>
      <c r="O31" s="31"/>
      <c r="P31" s="31"/>
      <c r="Q31" s="31"/>
      <c r="R31" s="31"/>
      <c r="S31" s="31"/>
      <c r="T31" s="31"/>
      <c r="U31" s="31"/>
      <c r="V31" s="31"/>
      <c r="W31" s="31"/>
      <c r="X31" s="31"/>
      <c r="Y31" s="32"/>
    </row>
    <row r="32" spans="1:39" x14ac:dyDescent="0.15">
      <c r="A32" s="24"/>
      <c r="B32" s="14" t="s">
        <v>49</v>
      </c>
      <c r="C32" s="15"/>
      <c r="D32" s="16"/>
      <c r="E32" s="22"/>
      <c r="F32" s="22"/>
      <c r="G32" s="22"/>
      <c r="H32" s="22"/>
      <c r="I32" s="22"/>
      <c r="J32" s="22"/>
      <c r="K32" s="22"/>
      <c r="L32" s="22"/>
      <c r="M32" s="1"/>
      <c r="N32" s="29"/>
      <c r="O32" s="14" t="s">
        <v>49</v>
      </c>
      <c r="P32" s="15"/>
      <c r="Q32" s="16"/>
      <c r="R32" s="31"/>
      <c r="S32" s="31"/>
      <c r="T32" s="31"/>
      <c r="U32" s="31"/>
      <c r="V32" s="31"/>
      <c r="W32" s="31"/>
      <c r="X32" s="31"/>
      <c r="Y32" s="32"/>
    </row>
    <row r="33" spans="1:25" x14ac:dyDescent="0.15">
      <c r="A33" s="24"/>
      <c r="B33" s="11" t="s">
        <v>50</v>
      </c>
      <c r="C33" s="17">
        <f>COUNTIF(AcquisitiveCrime!$G$2:$G$148,Summary!B33)</f>
        <v>3</v>
      </c>
      <c r="D33" s="18">
        <f t="shared" ref="D33:D39" si="3">C33/$C$40</f>
        <v>1</v>
      </c>
      <c r="E33" s="22"/>
      <c r="F33" s="22"/>
      <c r="G33" s="22"/>
      <c r="H33" s="22"/>
      <c r="I33" s="22"/>
      <c r="J33" s="22"/>
      <c r="K33" s="22"/>
      <c r="L33" s="22"/>
      <c r="M33" s="1"/>
      <c r="N33" s="29"/>
      <c r="O33" s="11" t="s">
        <v>50</v>
      </c>
      <c r="P33" s="17">
        <f>COUNTIF('Bail ATV'!$G$2:$G$150,Summary!O33)</f>
        <v>35</v>
      </c>
      <c r="Q33" s="18">
        <f t="shared" ref="Q33:Q39" si="4">P33/$P$40</f>
        <v>0.76086956521739135</v>
      </c>
      <c r="R33" s="31"/>
      <c r="S33" s="31"/>
      <c r="T33" s="31"/>
      <c r="U33" s="31"/>
      <c r="V33" s="31"/>
      <c r="W33" s="31"/>
      <c r="X33" s="31"/>
      <c r="Y33" s="32"/>
    </row>
    <row r="34" spans="1:25" x14ac:dyDescent="0.15">
      <c r="A34" s="24"/>
      <c r="B34" s="11" t="s">
        <v>51</v>
      </c>
      <c r="C34" s="17">
        <f>COUNTIF(AcquisitiveCrime!$G$2:$G$148,Summary!B34)</f>
        <v>0</v>
      </c>
      <c r="D34" s="18">
        <f t="shared" si="3"/>
        <v>0</v>
      </c>
      <c r="E34" s="22"/>
      <c r="F34" s="22"/>
      <c r="G34" s="22"/>
      <c r="H34" s="22"/>
      <c r="I34" s="22"/>
      <c r="J34" s="22"/>
      <c r="K34" s="22"/>
      <c r="L34" s="22"/>
      <c r="M34" s="1"/>
      <c r="N34" s="29"/>
      <c r="O34" s="11" t="s">
        <v>51</v>
      </c>
      <c r="P34" s="17">
        <f>COUNTIF('Bail ATV'!$G$2:$G$150,Summary!O34)</f>
        <v>0</v>
      </c>
      <c r="Q34" s="18">
        <f t="shared" si="4"/>
        <v>0</v>
      </c>
      <c r="R34" s="31"/>
      <c r="S34" s="31"/>
      <c r="T34" s="31"/>
      <c r="U34" s="31"/>
      <c r="V34" s="31"/>
      <c r="W34" s="31"/>
      <c r="X34" s="31"/>
      <c r="Y34" s="32"/>
    </row>
    <row r="35" spans="1:25" x14ac:dyDescent="0.15">
      <c r="A35" s="24"/>
      <c r="B35" s="11" t="s">
        <v>52</v>
      </c>
      <c r="C35" s="17">
        <f>COUNTIF(AcquisitiveCrime!$G$2:$G$148,Summary!B35)</f>
        <v>0</v>
      </c>
      <c r="D35" s="18">
        <f t="shared" si="3"/>
        <v>0</v>
      </c>
      <c r="E35" s="22"/>
      <c r="F35" s="22"/>
      <c r="G35" s="22"/>
      <c r="H35" s="22"/>
      <c r="I35" s="22"/>
      <c r="J35" s="22"/>
      <c r="K35" s="22"/>
      <c r="L35" s="22"/>
      <c r="M35" s="1"/>
      <c r="N35" s="29"/>
      <c r="O35" s="11" t="s">
        <v>52</v>
      </c>
      <c r="P35" s="17">
        <f>COUNTIF('Bail ATV'!$G$2:$G$150,Summary!O35)</f>
        <v>0</v>
      </c>
      <c r="Q35" s="18">
        <f t="shared" si="4"/>
        <v>0</v>
      </c>
      <c r="R35" s="31"/>
      <c r="S35" s="31"/>
      <c r="T35" s="31"/>
      <c r="U35" s="31"/>
      <c r="V35" s="31"/>
      <c r="W35" s="31"/>
      <c r="X35" s="31"/>
      <c r="Y35" s="32"/>
    </row>
    <row r="36" spans="1:25" x14ac:dyDescent="0.15">
      <c r="A36" s="24"/>
      <c r="B36" s="11" t="s">
        <v>53</v>
      </c>
      <c r="C36" s="17">
        <f>COUNTIF(AcquisitiveCrime!$G$2:$G$148,Summary!B36)</f>
        <v>0</v>
      </c>
      <c r="D36" s="18">
        <f t="shared" si="3"/>
        <v>0</v>
      </c>
      <c r="E36" s="22"/>
      <c r="F36" s="22"/>
      <c r="G36" s="22"/>
      <c r="H36" s="22"/>
      <c r="I36" s="22"/>
      <c r="J36" s="22"/>
      <c r="K36" s="22"/>
      <c r="L36" s="22"/>
      <c r="M36" s="1"/>
      <c r="N36" s="29"/>
      <c r="O36" s="11" t="s">
        <v>53</v>
      </c>
      <c r="P36" s="17">
        <f>COUNTIF('Bail ATV'!$G$2:$G$150,Summary!O36)</f>
        <v>0</v>
      </c>
      <c r="Q36" s="18">
        <f t="shared" si="4"/>
        <v>0</v>
      </c>
      <c r="R36" s="31"/>
      <c r="S36" s="31"/>
      <c r="T36" s="31"/>
      <c r="U36" s="31"/>
      <c r="V36" s="31"/>
      <c r="W36" s="31"/>
      <c r="X36" s="31"/>
      <c r="Y36" s="32"/>
    </row>
    <row r="37" spans="1:25" x14ac:dyDescent="0.15">
      <c r="A37" s="24"/>
      <c r="B37" s="11" t="s">
        <v>54</v>
      </c>
      <c r="C37" s="17">
        <f>COUNTIF(AcquisitiveCrime!$G$2:$G$148,Summary!B37)</f>
        <v>0</v>
      </c>
      <c r="D37" s="18">
        <f t="shared" si="3"/>
        <v>0</v>
      </c>
      <c r="E37" s="22"/>
      <c r="F37" s="22"/>
      <c r="G37" s="22"/>
      <c r="H37" s="22"/>
      <c r="I37" s="22"/>
      <c r="J37" s="22"/>
      <c r="K37" s="22"/>
      <c r="L37" s="22"/>
      <c r="M37" s="1"/>
      <c r="N37" s="29"/>
      <c r="O37" s="11" t="s">
        <v>54</v>
      </c>
      <c r="P37" s="17">
        <f>COUNTIF('Bail ATV'!$G$2:$G$150,Summary!O37)</f>
        <v>0</v>
      </c>
      <c r="Q37" s="18">
        <f t="shared" si="4"/>
        <v>0</v>
      </c>
      <c r="R37" s="31"/>
      <c r="S37" s="31"/>
      <c r="T37" s="31"/>
      <c r="U37" s="31"/>
      <c r="V37" s="31"/>
      <c r="W37" s="31"/>
      <c r="X37" s="31"/>
      <c r="Y37" s="32"/>
    </row>
    <row r="38" spans="1:25" x14ac:dyDescent="0.15">
      <c r="A38" s="24"/>
      <c r="B38" s="11" t="s">
        <v>55</v>
      </c>
      <c r="C38" s="17">
        <f>COUNTIF(AcquisitiveCrime!$G$2:$G$148,Summary!B38)</f>
        <v>0</v>
      </c>
      <c r="D38" s="18">
        <f t="shared" si="3"/>
        <v>0</v>
      </c>
      <c r="E38" s="22"/>
      <c r="F38" s="22"/>
      <c r="G38" s="22"/>
      <c r="H38" s="22"/>
      <c r="I38" s="22"/>
      <c r="J38" s="22"/>
      <c r="K38" s="22"/>
      <c r="L38" s="22"/>
      <c r="M38" s="1"/>
      <c r="N38" s="29"/>
      <c r="O38" s="11" t="s">
        <v>55</v>
      </c>
      <c r="P38" s="17">
        <f>COUNTIF('Bail ATV'!$G$2:$G$150,Summary!O38)</f>
        <v>11</v>
      </c>
      <c r="Q38" s="18">
        <f t="shared" si="4"/>
        <v>0.2391304347826087</v>
      </c>
      <c r="R38" s="31"/>
      <c r="S38" s="31"/>
      <c r="T38" s="31"/>
      <c r="U38" s="31"/>
      <c r="V38" s="31"/>
      <c r="W38" s="31"/>
      <c r="X38" s="31"/>
      <c r="Y38" s="32"/>
    </row>
    <row r="39" spans="1:25" ht="14" thickBot="1" x14ac:dyDescent="0.2">
      <c r="A39" s="24"/>
      <c r="B39" s="12" t="s">
        <v>56</v>
      </c>
      <c r="C39" s="17">
        <f>COUNTIF(AcquisitiveCrime!$G$2:$G$148,Summary!B39)</f>
        <v>0</v>
      </c>
      <c r="D39" s="18">
        <f t="shared" si="3"/>
        <v>0</v>
      </c>
      <c r="E39" s="22"/>
      <c r="F39" s="22"/>
      <c r="G39" s="22"/>
      <c r="H39" s="22"/>
      <c r="I39" s="22"/>
      <c r="J39" s="22"/>
      <c r="K39" s="22"/>
      <c r="L39" s="22"/>
      <c r="M39" s="1"/>
      <c r="N39" s="29"/>
      <c r="O39" s="12" t="s">
        <v>56</v>
      </c>
      <c r="P39" s="17">
        <f>COUNTIF('Bail ATV'!$G$2:$G$150,Summary!O39)</f>
        <v>0</v>
      </c>
      <c r="Q39" s="13">
        <f t="shared" si="4"/>
        <v>0</v>
      </c>
      <c r="R39" s="31"/>
      <c r="S39" s="31"/>
      <c r="T39" s="31"/>
      <c r="U39" s="31"/>
      <c r="V39" s="31"/>
      <c r="W39" s="31"/>
      <c r="X39" s="31"/>
      <c r="Y39" s="32"/>
    </row>
    <row r="40" spans="1:25" ht="14" thickBot="1" x14ac:dyDescent="0.2">
      <c r="A40" s="24"/>
      <c r="B40" s="19" t="s">
        <v>57</v>
      </c>
      <c r="C40" s="20">
        <f>SUM(C33:C39)</f>
        <v>3</v>
      </c>
      <c r="D40" s="21"/>
      <c r="E40" s="22"/>
      <c r="F40" s="22"/>
      <c r="G40" s="22"/>
      <c r="H40" s="22"/>
      <c r="I40" s="22"/>
      <c r="J40" s="22"/>
      <c r="K40" s="22"/>
      <c r="L40" s="22"/>
      <c r="M40" s="1"/>
      <c r="N40" s="29"/>
      <c r="O40" s="19" t="s">
        <v>57</v>
      </c>
      <c r="P40" s="20">
        <f>SUM(P33:P39)</f>
        <v>46</v>
      </c>
      <c r="Q40" s="21"/>
      <c r="R40" s="31"/>
      <c r="S40" s="31"/>
      <c r="T40" s="31"/>
      <c r="U40" s="31"/>
      <c r="V40" s="31"/>
      <c r="W40" s="31"/>
      <c r="X40" s="31"/>
      <c r="Y40" s="32"/>
    </row>
    <row r="41" spans="1:25" ht="14" thickBot="1" x14ac:dyDescent="0.2">
      <c r="A41" s="25"/>
      <c r="B41" s="23"/>
      <c r="C41" s="23"/>
      <c r="D41" s="23"/>
      <c r="E41" s="23"/>
      <c r="F41" s="23"/>
      <c r="G41" s="23"/>
      <c r="H41" s="23"/>
      <c r="I41" s="23"/>
      <c r="J41" s="23"/>
      <c r="K41" s="23"/>
      <c r="L41" s="23"/>
      <c r="M41" s="1"/>
      <c r="N41" s="33"/>
      <c r="O41" s="30"/>
      <c r="P41" s="30"/>
      <c r="Q41" s="30"/>
      <c r="R41" s="30"/>
      <c r="S41" s="30"/>
      <c r="T41" s="30"/>
      <c r="U41" s="30"/>
      <c r="V41" s="30"/>
      <c r="W41" s="30"/>
      <c r="X41" s="30"/>
      <c r="Y41" s="34"/>
    </row>
  </sheetData>
  <mergeCells count="5">
    <mergeCell ref="E2:H2"/>
    <mergeCell ref="E23:H23"/>
    <mergeCell ref="R2:U2"/>
    <mergeCell ref="Q23:V23"/>
    <mergeCell ref="AF2:AI2"/>
  </mergeCells>
  <phoneticPr fontId="2" type="noConversion"/>
  <pageMargins left="0.75" right="0.75" top="1" bottom="1" header="0.5" footer="0.5"/>
  <pageSetup paperSize="9" scale="55" orientation="landscape" r:id="rId1"/>
  <headerFooter alignWithMargins="0">
    <oddHeader>&amp;C&amp;"Calibri"&amp;10&amp;K737373 Serco Business - Commercial in Confidence&amp;1#_x000D_</oddHeader>
    <oddFooter>&amp;CSerco Internal</oddFooter>
    <evenFooter>&amp;CSerco Internal</evenFooter>
    <firstFooter>&amp;CSerco Internal</first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5A8DA-539C-4D78-84E6-93DBE5BAAFB9}">
  <sheetPr>
    <tabColor indexed="44"/>
    <pageSetUpPr fitToPage="1"/>
  </sheetPr>
  <dimension ref="A1:SX669"/>
  <sheetViews>
    <sheetView zoomScale="70" zoomScaleNormal="70" workbookViewId="0">
      <pane ySplit="1" topLeftCell="A2" activePane="bottomLeft" state="frozen"/>
      <selection pane="bottomLeft" activeCell="C3" sqref="C3"/>
    </sheetView>
  </sheetViews>
  <sheetFormatPr baseColWidth="10" defaultColWidth="8.6640625" defaultRowHeight="12.75" customHeight="1" x14ac:dyDescent="0.15"/>
  <cols>
    <col min="1" max="1" width="9.5" style="154" bestFit="1" customWidth="1"/>
    <col min="2" max="2" width="45.33203125" style="192" customWidth="1"/>
    <col min="3" max="3" width="38.5" style="49" customWidth="1"/>
    <col min="4" max="4" width="33.5" style="408" customWidth="1"/>
    <col min="5" max="5" width="12.33203125" style="402" bestFit="1" customWidth="1"/>
    <col min="6" max="6" width="14.1640625" style="409" bestFit="1" customWidth="1"/>
    <col min="7" max="7" width="10.5" style="402" bestFit="1" customWidth="1"/>
    <col min="8" max="8" width="36.6640625" style="410" bestFit="1" customWidth="1"/>
    <col min="9" max="9" width="34" style="154" customWidth="1"/>
    <col min="10" max="517" width="8.6640625" style="154"/>
    <col min="518" max="518" width="11" style="154" customWidth="1"/>
    <col min="519" max="16384" width="8.6640625" style="154"/>
  </cols>
  <sheetData>
    <row r="1" spans="1:10" s="296" customFormat="1" ht="28" x14ac:dyDescent="0.15">
      <c r="A1" s="340" t="s">
        <v>60</v>
      </c>
      <c r="B1" s="341" t="s">
        <v>61</v>
      </c>
      <c r="C1" s="341" t="s">
        <v>62</v>
      </c>
      <c r="D1" s="342" t="s">
        <v>63</v>
      </c>
      <c r="E1" s="340" t="s">
        <v>64</v>
      </c>
      <c r="F1" s="343" t="s">
        <v>65</v>
      </c>
      <c r="G1" s="341" t="s">
        <v>66</v>
      </c>
      <c r="H1" s="344" t="s">
        <v>67</v>
      </c>
      <c r="I1" s="341" t="s">
        <v>68</v>
      </c>
      <c r="J1" s="345" t="s">
        <v>69</v>
      </c>
    </row>
    <row r="2" spans="1:10" ht="133.5" customHeight="1" x14ac:dyDescent="0.15">
      <c r="A2" s="191" t="s">
        <v>70</v>
      </c>
      <c r="B2" s="347" t="s">
        <v>71</v>
      </c>
      <c r="C2" s="348" t="s">
        <v>72</v>
      </c>
      <c r="D2" s="187" t="s">
        <v>73</v>
      </c>
      <c r="E2" s="259">
        <v>10</v>
      </c>
      <c r="F2" s="349">
        <v>10</v>
      </c>
      <c r="G2" s="350" t="s">
        <v>50</v>
      </c>
      <c r="H2" s="351" t="s">
        <v>74</v>
      </c>
      <c r="I2" s="352" t="s">
        <v>75</v>
      </c>
      <c r="J2" s="167" t="s">
        <v>76</v>
      </c>
    </row>
    <row r="3" spans="1:10" ht="140" x14ac:dyDescent="0.15">
      <c r="A3" s="191" t="s">
        <v>77</v>
      </c>
      <c r="B3" s="347" t="s">
        <v>78</v>
      </c>
      <c r="C3" s="348" t="s">
        <v>72</v>
      </c>
      <c r="D3" s="187" t="s">
        <v>73</v>
      </c>
      <c r="E3" s="259">
        <v>10</v>
      </c>
      <c r="F3" s="259">
        <v>10</v>
      </c>
      <c r="G3" s="350" t="s">
        <v>50</v>
      </c>
      <c r="H3" s="351" t="s">
        <v>74</v>
      </c>
      <c r="I3" s="353" t="s">
        <v>79</v>
      </c>
      <c r="J3" s="167" t="s">
        <v>80</v>
      </c>
    </row>
    <row r="4" spans="1:10" ht="131.25" customHeight="1" x14ac:dyDescent="0.15">
      <c r="A4" s="191" t="s">
        <v>81</v>
      </c>
      <c r="B4" s="347" t="s">
        <v>82</v>
      </c>
      <c r="C4" s="348" t="s">
        <v>72</v>
      </c>
      <c r="D4" s="187" t="s">
        <v>73</v>
      </c>
      <c r="E4" s="259">
        <v>10</v>
      </c>
      <c r="F4" s="354">
        <v>10</v>
      </c>
      <c r="G4" s="355" t="s">
        <v>50</v>
      </c>
      <c r="H4" s="356"/>
      <c r="I4" s="353" t="s">
        <v>83</v>
      </c>
      <c r="J4" s="357" t="s">
        <v>84</v>
      </c>
    </row>
    <row r="5" spans="1:10" ht="140" x14ac:dyDescent="0.15">
      <c r="A5" s="346" t="s">
        <v>85</v>
      </c>
      <c r="B5" s="347" t="s">
        <v>86</v>
      </c>
      <c r="C5" s="358" t="s">
        <v>72</v>
      </c>
      <c r="D5" s="214" t="s">
        <v>73</v>
      </c>
      <c r="E5" s="259">
        <v>10</v>
      </c>
      <c r="F5" s="349">
        <v>10</v>
      </c>
      <c r="G5" s="350" t="s">
        <v>50</v>
      </c>
      <c r="H5" s="356"/>
      <c r="I5" s="353" t="s">
        <v>87</v>
      </c>
      <c r="J5" s="357" t="s">
        <v>88</v>
      </c>
    </row>
    <row r="6" spans="1:10" ht="130.5" customHeight="1" x14ac:dyDescent="0.15">
      <c r="A6" s="359" t="s">
        <v>89</v>
      </c>
      <c r="B6" s="347" t="s">
        <v>90</v>
      </c>
      <c r="C6" s="358" t="s">
        <v>72</v>
      </c>
      <c r="D6" s="214" t="s">
        <v>73</v>
      </c>
      <c r="E6" s="259">
        <v>10</v>
      </c>
      <c r="F6" s="349">
        <v>10</v>
      </c>
      <c r="G6" s="350" t="s">
        <v>50</v>
      </c>
      <c r="H6" s="356"/>
      <c r="I6" s="353" t="s">
        <v>91</v>
      </c>
      <c r="J6" s="360" t="s">
        <v>92</v>
      </c>
    </row>
    <row r="7" spans="1:10" ht="140" x14ac:dyDescent="0.15">
      <c r="A7" s="359" t="s">
        <v>93</v>
      </c>
      <c r="B7" s="347" t="s">
        <v>94</v>
      </c>
      <c r="C7" s="358" t="s">
        <v>72</v>
      </c>
      <c r="D7" s="214" t="s">
        <v>73</v>
      </c>
      <c r="E7" s="259">
        <v>10</v>
      </c>
      <c r="F7" s="349">
        <v>10</v>
      </c>
      <c r="G7" s="350" t="s">
        <v>50</v>
      </c>
      <c r="H7" s="356"/>
      <c r="I7" s="353" t="s">
        <v>95</v>
      </c>
      <c r="J7" s="361" t="s">
        <v>96</v>
      </c>
    </row>
    <row r="8" spans="1:10" ht="140" x14ac:dyDescent="0.15">
      <c r="A8" s="346" t="s">
        <v>97</v>
      </c>
      <c r="B8" s="347" t="s">
        <v>98</v>
      </c>
      <c r="C8" s="358" t="s">
        <v>72</v>
      </c>
      <c r="D8" s="187" t="s">
        <v>73</v>
      </c>
      <c r="E8" s="362">
        <v>10</v>
      </c>
      <c r="F8" s="349">
        <v>10</v>
      </c>
      <c r="G8" s="350" t="s">
        <v>50</v>
      </c>
      <c r="H8" s="356"/>
      <c r="I8" s="353" t="s">
        <v>99</v>
      </c>
      <c r="J8" s="357" t="s">
        <v>100</v>
      </c>
    </row>
    <row r="9" spans="1:10" ht="140" x14ac:dyDescent="0.15">
      <c r="A9" s="346" t="s">
        <v>101</v>
      </c>
      <c r="B9" s="347" t="s">
        <v>102</v>
      </c>
      <c r="C9" s="358" t="s">
        <v>72</v>
      </c>
      <c r="D9" s="187" t="s">
        <v>73</v>
      </c>
      <c r="E9" s="362">
        <v>10</v>
      </c>
      <c r="F9" s="349">
        <v>10</v>
      </c>
      <c r="G9" s="350" t="s">
        <v>50</v>
      </c>
      <c r="H9" s="363"/>
      <c r="I9" s="353" t="s">
        <v>103</v>
      </c>
      <c r="J9" s="361" t="s">
        <v>104</v>
      </c>
    </row>
    <row r="10" spans="1:10" ht="140" x14ac:dyDescent="0.15">
      <c r="A10" s="82" t="s">
        <v>105</v>
      </c>
      <c r="B10" s="180" t="s">
        <v>71</v>
      </c>
      <c r="C10" s="364" t="s">
        <v>106</v>
      </c>
      <c r="D10" s="164" t="s">
        <v>73</v>
      </c>
      <c r="E10" s="259">
        <v>9</v>
      </c>
      <c r="F10" s="165">
        <v>9</v>
      </c>
      <c r="G10" s="166" t="s">
        <v>50</v>
      </c>
      <c r="H10" s="167"/>
      <c r="I10" s="353" t="s">
        <v>107</v>
      </c>
      <c r="J10" s="411" t="s">
        <v>108</v>
      </c>
    </row>
    <row r="11" spans="1:10" ht="140" x14ac:dyDescent="0.15">
      <c r="A11" s="82" t="s">
        <v>109</v>
      </c>
      <c r="B11" s="180" t="s">
        <v>78</v>
      </c>
      <c r="C11" s="364" t="s">
        <v>106</v>
      </c>
      <c r="D11" s="164" t="s">
        <v>73</v>
      </c>
      <c r="E11" s="259">
        <v>9</v>
      </c>
      <c r="F11" s="165">
        <v>9</v>
      </c>
      <c r="G11" s="166" t="s">
        <v>50</v>
      </c>
      <c r="H11" s="361"/>
      <c r="I11" s="353" t="s">
        <v>110</v>
      </c>
      <c r="J11" s="411" t="s">
        <v>111</v>
      </c>
    </row>
    <row r="12" spans="1:10" ht="140" x14ac:dyDescent="0.15">
      <c r="A12" s="82" t="s">
        <v>112</v>
      </c>
      <c r="B12" s="180" t="s">
        <v>82</v>
      </c>
      <c r="C12" s="364" t="s">
        <v>106</v>
      </c>
      <c r="D12" s="164" t="s">
        <v>73</v>
      </c>
      <c r="E12" s="259">
        <v>9</v>
      </c>
      <c r="F12" s="165">
        <v>9</v>
      </c>
      <c r="G12" s="166" t="s">
        <v>50</v>
      </c>
      <c r="H12" s="167"/>
      <c r="I12" s="353" t="s">
        <v>113</v>
      </c>
      <c r="J12" s="411" t="s">
        <v>114</v>
      </c>
    </row>
    <row r="13" spans="1:10" ht="140" x14ac:dyDescent="0.15">
      <c r="A13" s="365" t="s">
        <v>115</v>
      </c>
      <c r="B13" s="347" t="s">
        <v>116</v>
      </c>
      <c r="C13" s="348" t="s">
        <v>72</v>
      </c>
      <c r="D13" s="188" t="s">
        <v>73</v>
      </c>
      <c r="E13" s="259">
        <v>10</v>
      </c>
      <c r="F13" s="349">
        <v>10</v>
      </c>
      <c r="G13" s="350" t="s">
        <v>50</v>
      </c>
      <c r="H13" s="366"/>
      <c r="I13" s="412" t="s">
        <v>117</v>
      </c>
      <c r="J13" s="411" t="s">
        <v>118</v>
      </c>
    </row>
    <row r="14" spans="1:10" ht="140" x14ac:dyDescent="0.15">
      <c r="A14" s="365" t="s">
        <v>119</v>
      </c>
      <c r="B14" s="347" t="s">
        <v>120</v>
      </c>
      <c r="C14" s="348" t="s">
        <v>72</v>
      </c>
      <c r="D14" s="188" t="s">
        <v>73</v>
      </c>
      <c r="E14" s="259">
        <v>10</v>
      </c>
      <c r="F14" s="349">
        <v>10</v>
      </c>
      <c r="G14" s="350" t="s">
        <v>50</v>
      </c>
      <c r="H14" s="167"/>
      <c r="I14" s="353" t="s">
        <v>121</v>
      </c>
      <c r="J14" s="411" t="s">
        <v>122</v>
      </c>
    </row>
    <row r="15" spans="1:10" ht="135.75" customHeight="1" x14ac:dyDescent="0.15">
      <c r="A15" s="359" t="s">
        <v>123</v>
      </c>
      <c r="B15" s="359" t="s">
        <v>124</v>
      </c>
      <c r="C15" s="367" t="s">
        <v>72</v>
      </c>
      <c r="D15" s="189" t="s">
        <v>73</v>
      </c>
      <c r="E15" s="368">
        <v>10</v>
      </c>
      <c r="F15" s="369">
        <v>10</v>
      </c>
      <c r="G15" s="370" t="s">
        <v>50</v>
      </c>
      <c r="H15" s="167"/>
      <c r="I15" s="353" t="s">
        <v>125</v>
      </c>
      <c r="J15" s="412" t="s">
        <v>126</v>
      </c>
    </row>
    <row r="16" spans="1:10" ht="13" x14ac:dyDescent="0.15">
      <c r="A16" s="82"/>
      <c r="B16" s="82"/>
      <c r="C16" s="371"/>
      <c r="D16" s="164"/>
      <c r="E16" s="372"/>
      <c r="F16" s="165"/>
      <c r="G16" s="166"/>
      <c r="H16" s="167"/>
      <c r="I16" s="413"/>
      <c r="J16" s="412"/>
    </row>
    <row r="17" spans="1:10" ht="13" x14ac:dyDescent="0.15">
      <c r="A17" s="82"/>
      <c r="B17" s="82"/>
      <c r="C17" s="371"/>
      <c r="D17" s="164"/>
      <c r="E17" s="372"/>
      <c r="F17" s="165"/>
      <c r="G17" s="166"/>
      <c r="H17" s="167"/>
      <c r="I17" s="414"/>
      <c r="J17" s="412"/>
    </row>
    <row r="18" spans="1:10" ht="13" x14ac:dyDescent="0.15">
      <c r="A18" s="82"/>
      <c r="B18" s="82"/>
      <c r="C18" s="371"/>
      <c r="D18" s="164"/>
      <c r="E18" s="372"/>
      <c r="F18" s="165"/>
      <c r="G18" s="166"/>
      <c r="H18" s="167"/>
      <c r="I18" s="414"/>
      <c r="J18" s="412"/>
    </row>
    <row r="19" spans="1:10" ht="13" x14ac:dyDescent="0.15">
      <c r="A19" s="82"/>
      <c r="B19" s="82"/>
      <c r="C19" s="371"/>
      <c r="D19" s="164"/>
      <c r="E19" s="372"/>
      <c r="F19" s="165"/>
      <c r="G19" s="166"/>
      <c r="H19" s="357"/>
      <c r="I19" s="414"/>
      <c r="J19" s="412"/>
    </row>
    <row r="20" spans="1:10" ht="13" x14ac:dyDescent="0.15">
      <c r="A20" s="82"/>
      <c r="B20" s="82"/>
      <c r="C20" s="371"/>
      <c r="D20" s="164"/>
      <c r="E20" s="372"/>
      <c r="F20" s="165"/>
      <c r="G20" s="166"/>
      <c r="H20" s="361"/>
      <c r="I20" s="414"/>
      <c r="J20" s="412"/>
    </row>
    <row r="21" spans="1:10" ht="13" x14ac:dyDescent="0.15">
      <c r="A21" s="82"/>
      <c r="B21" s="82"/>
      <c r="C21" s="371"/>
      <c r="D21" s="164"/>
      <c r="E21" s="299"/>
      <c r="F21" s="165"/>
      <c r="G21" s="299"/>
      <c r="H21" s="167"/>
      <c r="I21" s="414"/>
      <c r="J21" s="412"/>
    </row>
    <row r="22" spans="1:10" ht="13" x14ac:dyDescent="0.15">
      <c r="A22" s="82"/>
      <c r="B22" s="82"/>
      <c r="C22" s="371"/>
      <c r="D22" s="164"/>
      <c r="E22" s="299"/>
      <c r="F22" s="165"/>
      <c r="G22" s="166"/>
      <c r="H22" s="361"/>
      <c r="I22" s="414"/>
      <c r="J22" s="412"/>
    </row>
    <row r="23" spans="1:10" ht="13" x14ac:dyDescent="0.15">
      <c r="A23" s="82"/>
      <c r="B23" s="82"/>
      <c r="C23" s="371"/>
      <c r="D23" s="164"/>
      <c r="E23" s="299"/>
      <c r="F23" s="165"/>
      <c r="G23" s="299"/>
      <c r="H23" s="361"/>
      <c r="I23" s="414"/>
      <c r="J23" s="412"/>
    </row>
    <row r="24" spans="1:10" ht="13" x14ac:dyDescent="0.15">
      <c r="A24" s="82"/>
      <c r="B24" s="82"/>
      <c r="C24" s="371"/>
      <c r="D24" s="164"/>
      <c r="E24" s="299"/>
      <c r="F24" s="165"/>
      <c r="G24" s="166"/>
      <c r="H24" s="361"/>
      <c r="I24" s="414"/>
      <c r="J24" s="412"/>
    </row>
    <row r="25" spans="1:10" ht="13" x14ac:dyDescent="0.15">
      <c r="A25" s="82"/>
      <c r="B25" s="82"/>
      <c r="C25" s="371"/>
      <c r="D25" s="164"/>
      <c r="E25" s="299"/>
      <c r="F25" s="165"/>
      <c r="G25" s="166"/>
      <c r="H25" s="361"/>
      <c r="I25" s="414"/>
      <c r="J25" s="412"/>
    </row>
    <row r="26" spans="1:10" ht="13" x14ac:dyDescent="0.15">
      <c r="A26" s="82"/>
      <c r="B26" s="82"/>
      <c r="C26" s="371"/>
      <c r="D26" s="164"/>
      <c r="E26" s="299"/>
      <c r="F26" s="165"/>
      <c r="G26" s="166"/>
      <c r="H26" s="361"/>
      <c r="I26" s="414"/>
      <c r="J26" s="412"/>
    </row>
    <row r="27" spans="1:10" ht="13" x14ac:dyDescent="0.15">
      <c r="A27" s="82"/>
      <c r="B27" s="82"/>
      <c r="C27" s="371"/>
      <c r="D27" s="164"/>
      <c r="E27" s="299"/>
      <c r="F27" s="165"/>
      <c r="G27" s="166"/>
      <c r="H27" s="361"/>
      <c r="I27" s="414"/>
      <c r="J27" s="412"/>
    </row>
    <row r="28" spans="1:10" ht="13" x14ac:dyDescent="0.15">
      <c r="A28" s="82"/>
      <c r="B28" s="82"/>
      <c r="C28" s="371"/>
      <c r="D28" s="164"/>
      <c r="E28" s="299"/>
      <c r="F28" s="165"/>
      <c r="G28" s="166"/>
      <c r="H28" s="167"/>
      <c r="I28" s="414"/>
      <c r="J28" s="412"/>
    </row>
    <row r="29" spans="1:10" ht="13" x14ac:dyDescent="0.15">
      <c r="A29" s="82"/>
      <c r="B29" s="82"/>
      <c r="C29" s="371"/>
      <c r="D29" s="164"/>
      <c r="E29" s="299"/>
      <c r="F29" s="165"/>
      <c r="G29" s="166"/>
      <c r="H29" s="167"/>
      <c r="I29" s="414"/>
      <c r="J29" s="412"/>
    </row>
    <row r="30" spans="1:10" ht="15" x14ac:dyDescent="0.15">
      <c r="A30" s="82"/>
      <c r="B30" s="82"/>
      <c r="C30" s="371"/>
      <c r="D30" s="164"/>
      <c r="E30" s="299"/>
      <c r="F30" s="165"/>
      <c r="G30" s="166"/>
      <c r="H30" s="373"/>
      <c r="I30" s="414"/>
      <c r="J30" s="412"/>
    </row>
    <row r="31" spans="1:10" ht="13" x14ac:dyDescent="0.15">
      <c r="A31" s="82"/>
      <c r="B31" s="82"/>
      <c r="C31" s="371"/>
      <c r="D31" s="164"/>
      <c r="E31" s="299"/>
      <c r="F31" s="165"/>
      <c r="G31" s="166"/>
      <c r="H31" s="167"/>
      <c r="I31" s="414"/>
      <c r="J31" s="412"/>
    </row>
    <row r="32" spans="1:10" ht="13" x14ac:dyDescent="0.15">
      <c r="A32" s="82"/>
      <c r="B32" s="82"/>
      <c r="C32" s="371"/>
      <c r="D32" s="164"/>
      <c r="E32" s="299"/>
      <c r="F32" s="165"/>
      <c r="G32" s="166"/>
      <c r="H32" s="167"/>
      <c r="I32" s="414"/>
      <c r="J32" s="412"/>
    </row>
    <row r="33" spans="1:10" ht="13" x14ac:dyDescent="0.15">
      <c r="A33" s="82"/>
      <c r="B33" s="82"/>
      <c r="C33" s="371"/>
      <c r="D33" s="164"/>
      <c r="E33" s="299"/>
      <c r="F33" s="165"/>
      <c r="G33" s="166"/>
      <c r="H33" s="167"/>
      <c r="I33" s="414"/>
      <c r="J33" s="412"/>
    </row>
    <row r="34" spans="1:10" ht="13" x14ac:dyDescent="0.15">
      <c r="A34" s="82"/>
      <c r="B34" s="82"/>
      <c r="C34" s="371"/>
      <c r="D34" s="164"/>
      <c r="E34" s="299"/>
      <c r="F34" s="165"/>
      <c r="G34" s="166"/>
      <c r="H34" s="374"/>
      <c r="I34" s="414"/>
      <c r="J34" s="412"/>
    </row>
    <row r="35" spans="1:10" ht="13" x14ac:dyDescent="0.15">
      <c r="A35" s="82"/>
      <c r="B35" s="82"/>
      <c r="C35" s="371"/>
      <c r="D35" s="164"/>
      <c r="E35" s="299"/>
      <c r="F35" s="165"/>
      <c r="G35" s="166"/>
      <c r="H35" s="167"/>
      <c r="I35" s="414"/>
      <c r="J35" s="412"/>
    </row>
    <row r="36" spans="1:10" ht="13" x14ac:dyDescent="0.15">
      <c r="A36" s="82"/>
      <c r="B36" s="82"/>
      <c r="C36" s="371"/>
      <c r="D36" s="164"/>
      <c r="E36" s="299"/>
      <c r="F36" s="165"/>
      <c r="G36" s="166"/>
      <c r="H36" s="167"/>
      <c r="I36" s="414"/>
      <c r="J36" s="412"/>
    </row>
    <row r="37" spans="1:10" ht="13" x14ac:dyDescent="0.15">
      <c r="A37" s="82"/>
      <c r="B37" s="82"/>
      <c r="C37" s="371"/>
      <c r="D37" s="164"/>
      <c r="E37" s="299"/>
      <c r="F37" s="165"/>
      <c r="G37" s="166"/>
      <c r="H37" s="167"/>
      <c r="I37" s="414"/>
      <c r="J37" s="412"/>
    </row>
    <row r="38" spans="1:10" ht="13" x14ac:dyDescent="0.15">
      <c r="A38" s="82"/>
      <c r="B38" s="82"/>
      <c r="C38" s="371"/>
      <c r="D38" s="164"/>
      <c r="E38" s="299"/>
      <c r="F38" s="165"/>
      <c r="G38" s="166"/>
      <c r="H38" s="167"/>
      <c r="I38" s="414"/>
      <c r="J38" s="412"/>
    </row>
    <row r="39" spans="1:10" ht="13" x14ac:dyDescent="0.15">
      <c r="A39" s="82"/>
      <c r="B39" s="82"/>
      <c r="C39" s="371"/>
      <c r="D39" s="164"/>
      <c r="E39" s="299"/>
      <c r="F39" s="165"/>
      <c r="G39" s="166"/>
      <c r="H39" s="167"/>
      <c r="I39" s="414"/>
      <c r="J39" s="412"/>
    </row>
    <row r="40" spans="1:10" ht="13" x14ac:dyDescent="0.15">
      <c r="A40" s="82"/>
      <c r="B40" s="82"/>
      <c r="C40" s="371"/>
      <c r="D40" s="164"/>
      <c r="E40" s="299"/>
      <c r="F40" s="165"/>
      <c r="G40" s="166"/>
      <c r="H40" s="167"/>
      <c r="I40" s="414"/>
      <c r="J40" s="412"/>
    </row>
    <row r="41" spans="1:10" ht="13" x14ac:dyDescent="0.15">
      <c r="A41" s="82"/>
      <c r="B41" s="82"/>
      <c r="C41" s="371"/>
      <c r="D41" s="164"/>
      <c r="E41" s="299"/>
      <c r="F41" s="165"/>
      <c r="G41" s="166"/>
      <c r="H41" s="167"/>
      <c r="I41" s="414"/>
      <c r="J41" s="412"/>
    </row>
    <row r="42" spans="1:10" ht="13" x14ac:dyDescent="0.15">
      <c r="A42" s="82"/>
      <c r="B42" s="82"/>
      <c r="C42" s="371"/>
      <c r="D42" s="164"/>
      <c r="E42" s="299"/>
      <c r="F42" s="165"/>
      <c r="G42" s="166"/>
      <c r="H42" s="167"/>
      <c r="I42" s="414"/>
      <c r="J42" s="412"/>
    </row>
    <row r="43" spans="1:10" ht="13" x14ac:dyDescent="0.15">
      <c r="A43" s="82"/>
      <c r="B43" s="82"/>
      <c r="C43" s="371"/>
      <c r="D43" s="164"/>
      <c r="E43" s="299"/>
      <c r="F43" s="165"/>
      <c r="G43" s="166"/>
      <c r="H43" s="167"/>
      <c r="I43" s="414"/>
      <c r="J43" s="412"/>
    </row>
    <row r="44" spans="1:10" ht="13" x14ac:dyDescent="0.15">
      <c r="A44" s="82"/>
      <c r="B44" s="82"/>
      <c r="C44" s="371"/>
      <c r="D44" s="164"/>
      <c r="E44" s="299"/>
      <c r="F44" s="165"/>
      <c r="G44" s="166"/>
      <c r="H44" s="167"/>
      <c r="I44" s="414"/>
      <c r="J44" s="412"/>
    </row>
    <row r="45" spans="1:10" ht="13" x14ac:dyDescent="0.15">
      <c r="A45" s="82"/>
      <c r="B45" s="82"/>
      <c r="C45" s="371"/>
      <c r="D45" s="164"/>
      <c r="E45" s="299"/>
      <c r="F45" s="165"/>
      <c r="G45" s="166"/>
      <c r="H45" s="167"/>
      <c r="I45" s="414"/>
      <c r="J45" s="412"/>
    </row>
    <row r="46" spans="1:10" ht="13" x14ac:dyDescent="0.15">
      <c r="A46" s="82"/>
      <c r="B46" s="82"/>
      <c r="C46" s="371"/>
      <c r="D46" s="164"/>
      <c r="E46" s="299"/>
      <c r="F46" s="165"/>
      <c r="G46" s="166"/>
      <c r="H46" s="167"/>
      <c r="I46" s="414"/>
      <c r="J46" s="412"/>
    </row>
    <row r="47" spans="1:10" ht="13" x14ac:dyDescent="0.15">
      <c r="A47" s="82"/>
      <c r="B47" s="82"/>
      <c r="C47" s="371"/>
      <c r="D47" s="164"/>
      <c r="E47" s="299"/>
      <c r="F47" s="165"/>
      <c r="G47" s="166"/>
      <c r="H47" s="167"/>
      <c r="I47" s="415"/>
      <c r="J47" s="412"/>
    </row>
    <row r="48" spans="1:10" ht="13" x14ac:dyDescent="0.15">
      <c r="A48" s="82"/>
      <c r="B48" s="82"/>
      <c r="C48" s="371"/>
      <c r="D48" s="164"/>
      <c r="E48" s="299"/>
      <c r="F48" s="165"/>
      <c r="G48" s="375"/>
      <c r="H48" s="167"/>
      <c r="I48" s="416"/>
      <c r="J48" s="412"/>
    </row>
    <row r="49" spans="1:10" ht="13" x14ac:dyDescent="0.15">
      <c r="A49" s="82"/>
      <c r="B49" s="82"/>
      <c r="C49" s="371"/>
      <c r="D49" s="164"/>
      <c r="E49" s="299"/>
      <c r="F49" s="165"/>
      <c r="G49" s="375"/>
      <c r="H49" s="167"/>
      <c r="I49" s="416"/>
      <c r="J49" s="412"/>
    </row>
    <row r="50" spans="1:10" ht="13" x14ac:dyDescent="0.15">
      <c r="A50" s="82"/>
      <c r="B50" s="82"/>
      <c r="C50" s="371"/>
      <c r="D50" s="164"/>
      <c r="E50" s="299"/>
      <c r="F50" s="165"/>
      <c r="G50" s="375"/>
      <c r="H50" s="167"/>
      <c r="I50" s="416"/>
      <c r="J50" s="412"/>
    </row>
    <row r="51" spans="1:10" ht="13" x14ac:dyDescent="0.15">
      <c r="A51" s="82"/>
      <c r="B51" s="82"/>
      <c r="C51" s="371"/>
      <c r="D51" s="164"/>
      <c r="E51" s="299"/>
      <c r="F51" s="165"/>
      <c r="G51" s="375"/>
      <c r="H51" s="167"/>
      <c r="I51" s="416"/>
      <c r="J51" s="412"/>
    </row>
    <row r="52" spans="1:10" ht="13" x14ac:dyDescent="0.15">
      <c r="A52" s="82"/>
      <c r="B52" s="82"/>
      <c r="C52" s="371"/>
      <c r="D52" s="164"/>
      <c r="E52" s="299"/>
      <c r="F52" s="165"/>
      <c r="G52" s="375"/>
      <c r="H52" s="361"/>
      <c r="I52" s="416"/>
      <c r="J52" s="412"/>
    </row>
    <row r="53" spans="1:10" ht="13" x14ac:dyDescent="0.15">
      <c r="A53" s="82"/>
      <c r="B53" s="82"/>
      <c r="C53" s="371"/>
      <c r="D53" s="376"/>
      <c r="E53" s="372"/>
      <c r="F53" s="165"/>
      <c r="G53" s="375"/>
      <c r="H53" s="167"/>
      <c r="I53" s="416"/>
      <c r="J53" s="412"/>
    </row>
    <row r="54" spans="1:10" ht="13" x14ac:dyDescent="0.15">
      <c r="A54" s="82"/>
      <c r="B54" s="82"/>
      <c r="C54" s="371"/>
      <c r="D54" s="376"/>
      <c r="E54" s="372"/>
      <c r="F54" s="165"/>
      <c r="G54" s="375"/>
      <c r="H54" s="167"/>
      <c r="I54" s="416"/>
      <c r="J54" s="412"/>
    </row>
    <row r="55" spans="1:10" ht="13" x14ac:dyDescent="0.15">
      <c r="A55" s="82"/>
      <c r="B55" s="82"/>
      <c r="C55" s="371"/>
      <c r="D55" s="376"/>
      <c r="E55" s="372"/>
      <c r="F55" s="165"/>
      <c r="G55" s="375"/>
      <c r="H55" s="167"/>
      <c r="I55" s="416"/>
      <c r="J55" s="412"/>
    </row>
    <row r="56" spans="1:10" ht="15" x14ac:dyDescent="0.15">
      <c r="A56" s="82"/>
      <c r="B56" s="82"/>
      <c r="C56" s="371"/>
      <c r="D56" s="376"/>
      <c r="E56" s="372"/>
      <c r="F56" s="165"/>
      <c r="G56" s="375"/>
      <c r="H56" s="377"/>
      <c r="I56" s="417"/>
      <c r="J56" s="412"/>
    </row>
    <row r="57" spans="1:10" ht="13" x14ac:dyDescent="0.15">
      <c r="A57" s="82"/>
      <c r="B57" s="82"/>
      <c r="C57" s="371"/>
      <c r="D57" s="376"/>
      <c r="E57" s="372"/>
      <c r="F57" s="165"/>
      <c r="G57" s="375"/>
      <c r="H57" s="167"/>
      <c r="I57" s="417"/>
      <c r="J57" s="412"/>
    </row>
    <row r="58" spans="1:10" ht="13" x14ac:dyDescent="0.15">
      <c r="A58" s="82"/>
      <c r="B58" s="82"/>
      <c r="C58" s="371"/>
      <c r="D58" s="376"/>
      <c r="E58" s="372"/>
      <c r="F58" s="165"/>
      <c r="G58" s="375"/>
      <c r="H58" s="175"/>
      <c r="I58" s="417"/>
      <c r="J58" s="412"/>
    </row>
    <row r="59" spans="1:10" ht="13" x14ac:dyDescent="0.15">
      <c r="A59" s="82"/>
      <c r="B59" s="82"/>
      <c r="C59" s="371"/>
      <c r="D59" s="376"/>
      <c r="E59" s="299"/>
      <c r="F59" s="165"/>
      <c r="G59" s="375"/>
      <c r="H59" s="167"/>
      <c r="I59" s="417"/>
      <c r="J59" s="412"/>
    </row>
    <row r="60" spans="1:10" ht="13" x14ac:dyDescent="0.15">
      <c r="A60" s="82"/>
      <c r="B60" s="82"/>
      <c r="C60" s="371"/>
      <c r="D60" s="376"/>
      <c r="E60" s="299"/>
      <c r="F60" s="165"/>
      <c r="G60" s="375"/>
      <c r="H60" s="167"/>
      <c r="I60" s="417"/>
      <c r="J60" s="412"/>
    </row>
    <row r="61" spans="1:10" ht="13" x14ac:dyDescent="0.15">
      <c r="A61" s="82"/>
      <c r="B61" s="82"/>
      <c r="C61" s="371"/>
      <c r="D61" s="376"/>
      <c r="E61" s="299"/>
      <c r="F61" s="165"/>
      <c r="G61" s="375"/>
      <c r="H61" s="175"/>
      <c r="I61" s="417"/>
      <c r="J61" s="412"/>
    </row>
    <row r="62" spans="1:10" ht="13" x14ac:dyDescent="0.15">
      <c r="A62" s="82"/>
      <c r="B62" s="82"/>
      <c r="C62" s="371"/>
      <c r="D62" s="376"/>
      <c r="E62" s="299"/>
      <c r="F62" s="165"/>
      <c r="G62" s="375"/>
      <c r="H62" s="175"/>
      <c r="I62" s="417"/>
      <c r="J62" s="412"/>
    </row>
    <row r="63" spans="1:10" ht="13" x14ac:dyDescent="0.15">
      <c r="A63" s="82"/>
      <c r="B63" s="82"/>
      <c r="C63" s="371"/>
      <c r="D63" s="376"/>
      <c r="E63" s="372"/>
      <c r="F63" s="165"/>
      <c r="G63" s="375"/>
      <c r="H63" s="175"/>
      <c r="I63" s="417"/>
      <c r="J63" s="412"/>
    </row>
    <row r="64" spans="1:10" ht="13" x14ac:dyDescent="0.15">
      <c r="A64" s="82"/>
      <c r="B64" s="82"/>
      <c r="C64" s="371"/>
      <c r="D64" s="376"/>
      <c r="E64" s="372"/>
      <c r="F64" s="165"/>
      <c r="G64" s="375"/>
      <c r="H64" s="175"/>
      <c r="I64" s="417"/>
      <c r="J64" s="412"/>
    </row>
    <row r="65" spans="1:518" ht="13" x14ac:dyDescent="0.15">
      <c r="A65" s="82"/>
      <c r="B65" s="82"/>
      <c r="C65" s="371"/>
      <c r="D65" s="376"/>
      <c r="E65" s="299"/>
      <c r="F65" s="165"/>
      <c r="G65" s="375"/>
      <c r="H65" s="175"/>
      <c r="I65" s="417"/>
      <c r="J65" s="412"/>
    </row>
    <row r="66" spans="1:518" ht="13" x14ac:dyDescent="0.15">
      <c r="A66" s="82"/>
      <c r="B66" s="82"/>
      <c r="C66" s="371"/>
      <c r="D66" s="376"/>
      <c r="E66" s="299"/>
      <c r="F66" s="165"/>
      <c r="G66" s="375"/>
      <c r="H66" s="175"/>
      <c r="I66" s="417"/>
      <c r="J66" s="412"/>
    </row>
    <row r="67" spans="1:518" ht="13" x14ac:dyDescent="0.15">
      <c r="A67" s="82"/>
      <c r="B67" s="82"/>
      <c r="C67" s="371"/>
      <c r="D67" s="376"/>
      <c r="E67" s="299"/>
      <c r="F67" s="165"/>
      <c r="G67" s="375"/>
      <c r="H67" s="175"/>
      <c r="I67" s="417"/>
      <c r="J67" s="412"/>
    </row>
    <row r="68" spans="1:518" ht="13" x14ac:dyDescent="0.15">
      <c r="A68" s="82"/>
      <c r="B68" s="82"/>
      <c r="C68" s="371"/>
      <c r="D68" s="376"/>
      <c r="E68" s="299"/>
      <c r="F68" s="165"/>
      <c r="G68" s="375"/>
      <c r="H68" s="175"/>
      <c r="I68" s="417"/>
      <c r="J68" s="412"/>
    </row>
    <row r="69" spans="1:518" ht="13" x14ac:dyDescent="0.15">
      <c r="A69" s="82"/>
      <c r="B69" s="378"/>
      <c r="C69" s="371"/>
      <c r="D69" s="376"/>
      <c r="E69" s="379"/>
      <c r="F69" s="380"/>
      <c r="G69" s="381"/>
      <c r="H69" s="382"/>
      <c r="I69" s="391"/>
      <c r="J69" s="412"/>
    </row>
    <row r="70" spans="1:518" ht="13" x14ac:dyDescent="0.15">
      <c r="A70" s="384"/>
      <c r="B70" s="82"/>
      <c r="C70" s="371"/>
      <c r="D70" s="164"/>
      <c r="E70" s="385"/>
      <c r="F70" s="165"/>
      <c r="G70" s="166"/>
      <c r="H70" s="357"/>
      <c r="I70" s="417"/>
      <c r="J70" s="412"/>
    </row>
    <row r="71" spans="1:518" ht="13" x14ac:dyDescent="0.15">
      <c r="A71" s="384"/>
      <c r="B71" s="82"/>
      <c r="C71" s="371"/>
      <c r="D71" s="164"/>
      <c r="E71" s="385"/>
      <c r="F71" s="165"/>
      <c r="G71" s="166"/>
      <c r="H71" s="175"/>
      <c r="I71" s="417"/>
      <c r="J71" s="412"/>
    </row>
    <row r="72" spans="1:518" ht="13" x14ac:dyDescent="0.15">
      <c r="A72" s="384"/>
      <c r="B72" s="82"/>
      <c r="C72" s="371"/>
      <c r="D72" s="164"/>
      <c r="E72" s="385"/>
      <c r="F72" s="165"/>
      <c r="G72" s="166"/>
      <c r="H72" s="175"/>
      <c r="I72" s="417"/>
      <c r="J72" s="412"/>
    </row>
    <row r="73" spans="1:518" ht="13" x14ac:dyDescent="0.15">
      <c r="A73" s="384"/>
      <c r="B73" s="82"/>
      <c r="C73" s="371"/>
      <c r="D73" s="164"/>
      <c r="E73" s="385"/>
      <c r="F73" s="165"/>
      <c r="G73" s="166"/>
      <c r="H73" s="175"/>
      <c r="I73" s="417"/>
      <c r="J73" s="412"/>
    </row>
    <row r="74" spans="1:518" ht="13" x14ac:dyDescent="0.15">
      <c r="A74" s="384"/>
      <c r="B74" s="82"/>
      <c r="C74" s="371"/>
      <c r="D74" s="164"/>
      <c r="E74" s="385"/>
      <c r="F74" s="165"/>
      <c r="G74" s="166"/>
      <c r="H74" s="175"/>
      <c r="I74" s="417"/>
      <c r="J74" s="412"/>
    </row>
    <row r="75" spans="1:518" ht="13" x14ac:dyDescent="0.15">
      <c r="A75" s="384"/>
      <c r="B75" s="82"/>
      <c r="C75" s="371"/>
      <c r="D75" s="164"/>
      <c r="E75" s="385"/>
      <c r="F75" s="165"/>
      <c r="G75" s="166"/>
      <c r="H75" s="175"/>
      <c r="I75" s="417"/>
      <c r="J75" s="412"/>
    </row>
    <row r="76" spans="1:518" ht="13" x14ac:dyDescent="0.15">
      <c r="A76" s="384"/>
      <c r="B76" s="82"/>
      <c r="C76" s="371"/>
      <c r="D76" s="164"/>
      <c r="E76" s="385"/>
      <c r="F76" s="165"/>
      <c r="G76" s="166"/>
      <c r="H76" s="175"/>
      <c r="I76" s="417"/>
      <c r="J76" s="412"/>
    </row>
    <row r="77" spans="1:518" ht="13" x14ac:dyDescent="0.15">
      <c r="A77" s="386"/>
      <c r="B77" s="387"/>
      <c r="C77" s="388"/>
      <c r="D77" s="164"/>
      <c r="E77" s="389"/>
      <c r="F77" s="390"/>
      <c r="G77" s="299"/>
      <c r="H77" s="382"/>
      <c r="I77" s="391"/>
      <c r="J77" s="412"/>
    </row>
    <row r="78" spans="1:518" ht="13" x14ac:dyDescent="0.15">
      <c r="A78" s="175"/>
      <c r="B78" s="304"/>
      <c r="C78" s="388"/>
      <c r="D78" s="164"/>
      <c r="E78" s="268"/>
      <c r="F78" s="332"/>
      <c r="G78" s="299"/>
      <c r="H78" s="175"/>
      <c r="I78" s="417"/>
      <c r="J78" s="412"/>
      <c r="SX78" s="154" t="s">
        <v>127</v>
      </c>
    </row>
    <row r="79" spans="1:518" ht="13" x14ac:dyDescent="0.15">
      <c r="A79" s="256"/>
      <c r="B79" s="304"/>
      <c r="C79" s="388"/>
      <c r="D79" s="164"/>
      <c r="E79" s="268"/>
      <c r="F79" s="332"/>
      <c r="G79" s="299"/>
      <c r="H79" s="175"/>
      <c r="I79" s="417"/>
      <c r="J79" s="412"/>
    </row>
    <row r="80" spans="1:518" ht="13" x14ac:dyDescent="0.15">
      <c r="A80" s="256"/>
      <c r="B80" s="180"/>
      <c r="C80" s="388"/>
      <c r="D80" s="164"/>
      <c r="E80" s="268"/>
      <c r="F80" s="332"/>
      <c r="G80" s="299"/>
      <c r="H80" s="175"/>
      <c r="I80" s="417"/>
      <c r="J80" s="412"/>
    </row>
    <row r="81" spans="1:10" ht="13" x14ac:dyDescent="0.15">
      <c r="A81" s="256"/>
      <c r="B81" s="304"/>
      <c r="C81" s="388"/>
      <c r="D81" s="164"/>
      <c r="E81" s="268"/>
      <c r="F81" s="332"/>
      <c r="G81" s="299"/>
      <c r="H81" s="175"/>
      <c r="I81" s="417"/>
      <c r="J81" s="412"/>
    </row>
    <row r="82" spans="1:10" ht="13" x14ac:dyDescent="0.15">
      <c r="A82" s="256"/>
      <c r="B82" s="304"/>
      <c r="C82" s="388"/>
      <c r="D82" s="164"/>
      <c r="E82" s="268"/>
      <c r="F82" s="332"/>
      <c r="G82" s="299"/>
      <c r="H82" s="175"/>
      <c r="I82" s="417"/>
      <c r="J82" s="412"/>
    </row>
    <row r="83" spans="1:10" ht="13" x14ac:dyDescent="0.15">
      <c r="A83" s="256"/>
      <c r="B83" s="304"/>
      <c r="C83" s="388"/>
      <c r="D83" s="164"/>
      <c r="E83" s="268"/>
      <c r="F83" s="332"/>
      <c r="G83" s="299"/>
      <c r="H83" s="175"/>
      <c r="I83" s="417"/>
      <c r="J83" s="412"/>
    </row>
    <row r="84" spans="1:10" ht="13" x14ac:dyDescent="0.15">
      <c r="A84" s="256"/>
      <c r="B84" s="304"/>
      <c r="C84" s="388"/>
      <c r="D84" s="164"/>
      <c r="E84" s="268"/>
      <c r="F84" s="332"/>
      <c r="G84" s="299"/>
      <c r="H84" s="382"/>
      <c r="I84" s="391"/>
      <c r="J84" s="412"/>
    </row>
    <row r="85" spans="1:10" ht="13" x14ac:dyDescent="0.15">
      <c r="A85" s="256"/>
      <c r="B85" s="304"/>
      <c r="C85" s="388"/>
      <c r="D85" s="164"/>
      <c r="E85" s="329"/>
      <c r="F85" s="327"/>
      <c r="G85" s="299"/>
      <c r="H85" s="256"/>
      <c r="I85" s="391"/>
      <c r="J85" s="412"/>
    </row>
    <row r="86" spans="1:10" ht="14" x14ac:dyDescent="0.15">
      <c r="A86" s="256"/>
      <c r="B86" s="392"/>
      <c r="C86" s="393"/>
      <c r="D86" s="394"/>
      <c r="E86" s="395"/>
      <c r="F86" s="396"/>
      <c r="G86" s="397"/>
      <c r="H86" s="164"/>
      <c r="I86" s="417"/>
      <c r="J86" s="412"/>
    </row>
    <row r="87" spans="1:10" ht="14" x14ac:dyDescent="0.15">
      <c r="A87" s="256"/>
      <c r="B87" s="392"/>
      <c r="C87" s="393"/>
      <c r="D87" s="394"/>
      <c r="E87" s="395"/>
      <c r="F87" s="396"/>
      <c r="G87" s="397"/>
      <c r="H87" s="164"/>
      <c r="I87" s="418"/>
      <c r="J87" s="412"/>
    </row>
    <row r="88" spans="1:10" ht="14" x14ac:dyDescent="0.15">
      <c r="A88" s="256"/>
      <c r="B88" s="392"/>
      <c r="C88" s="393"/>
      <c r="D88" s="394"/>
      <c r="E88" s="395"/>
      <c r="F88" s="396"/>
      <c r="G88" s="397"/>
      <c r="H88" s="164"/>
      <c r="I88" s="418"/>
      <c r="J88" s="412"/>
    </row>
    <row r="89" spans="1:10" ht="14" x14ac:dyDescent="0.15">
      <c r="A89" s="256"/>
      <c r="B89" s="392"/>
      <c r="C89" s="393"/>
      <c r="D89" s="394"/>
      <c r="E89" s="395"/>
      <c r="F89" s="396"/>
      <c r="G89" s="397"/>
      <c r="H89" s="164"/>
      <c r="I89" s="418"/>
      <c r="J89" s="412"/>
    </row>
    <row r="90" spans="1:10" ht="14" x14ac:dyDescent="0.15">
      <c r="A90" s="256"/>
      <c r="B90" s="180"/>
      <c r="C90" s="393"/>
      <c r="D90" s="394"/>
      <c r="E90" s="395"/>
      <c r="F90" s="396"/>
      <c r="G90" s="397"/>
      <c r="H90" s="164"/>
      <c r="I90" s="418"/>
      <c r="J90" s="412"/>
    </row>
    <row r="91" spans="1:10" ht="14" x14ac:dyDescent="0.15">
      <c r="A91" s="256"/>
      <c r="B91" s="180"/>
      <c r="C91" s="393"/>
      <c r="D91" s="394"/>
      <c r="E91" s="395"/>
      <c r="F91" s="396"/>
      <c r="G91" s="397"/>
      <c r="H91" s="256"/>
      <c r="I91" s="418"/>
      <c r="J91" s="412"/>
    </row>
    <row r="92" spans="1:10" ht="14" x14ac:dyDescent="0.15">
      <c r="A92" s="256"/>
      <c r="B92" s="172"/>
      <c r="C92" s="393"/>
      <c r="D92" s="394"/>
      <c r="E92" s="395"/>
      <c r="F92" s="396"/>
      <c r="G92" s="397"/>
      <c r="H92" s="256"/>
      <c r="I92" s="418"/>
      <c r="J92" s="412"/>
    </row>
    <row r="93" spans="1:10" ht="14" x14ac:dyDescent="0.15">
      <c r="A93" s="256"/>
      <c r="B93" s="392"/>
      <c r="C93" s="393"/>
      <c r="D93" s="394"/>
      <c r="E93" s="395"/>
      <c r="F93" s="396"/>
      <c r="G93" s="397"/>
      <c r="H93" s="256"/>
      <c r="I93" s="418"/>
      <c r="J93" s="412"/>
    </row>
    <row r="94" spans="1:10" ht="14" x14ac:dyDescent="0.15">
      <c r="A94" s="256"/>
      <c r="B94" s="392"/>
      <c r="C94" s="393"/>
      <c r="D94" s="394"/>
      <c r="E94" s="395"/>
      <c r="F94" s="396"/>
      <c r="G94" s="397"/>
      <c r="H94" s="256"/>
      <c r="I94" s="418"/>
      <c r="J94" s="412"/>
    </row>
    <row r="95" spans="1:10" ht="14" x14ac:dyDescent="0.15">
      <c r="A95" s="256"/>
      <c r="B95" s="392"/>
      <c r="C95" s="393"/>
      <c r="D95" s="394"/>
      <c r="E95" s="395"/>
      <c r="F95" s="396"/>
      <c r="G95" s="397"/>
      <c r="H95" s="256"/>
      <c r="I95" s="418"/>
      <c r="J95" s="412"/>
    </row>
    <row r="96" spans="1:10" ht="14" x14ac:dyDescent="0.15">
      <c r="A96" s="256"/>
      <c r="B96" s="392"/>
      <c r="C96" s="393"/>
      <c r="D96" s="394"/>
      <c r="E96" s="395"/>
      <c r="F96" s="396"/>
      <c r="G96" s="397"/>
      <c r="H96" s="256"/>
      <c r="I96" s="418"/>
      <c r="J96" s="412"/>
    </row>
    <row r="97" spans="1:10" ht="16" x14ac:dyDescent="0.15">
      <c r="A97" s="256"/>
      <c r="B97" s="180"/>
      <c r="C97" s="393"/>
      <c r="D97" s="394"/>
      <c r="E97" s="395"/>
      <c r="F97" s="396"/>
      <c r="G97" s="397"/>
      <c r="H97" s="398"/>
      <c r="I97" s="418"/>
      <c r="J97" s="412"/>
    </row>
    <row r="98" spans="1:10" ht="14" x14ac:dyDescent="0.15">
      <c r="A98" s="256"/>
      <c r="B98" s="180"/>
      <c r="C98" s="393"/>
      <c r="D98" s="394"/>
      <c r="E98" s="395"/>
      <c r="F98" s="396"/>
      <c r="G98" s="397"/>
      <c r="H98" s="256"/>
      <c r="I98" s="418"/>
      <c r="J98" s="412"/>
    </row>
    <row r="99" spans="1:10" ht="16" x14ac:dyDescent="0.15">
      <c r="A99" s="256"/>
      <c r="B99" s="172"/>
      <c r="C99" s="393"/>
      <c r="D99" s="394"/>
      <c r="E99" s="395"/>
      <c r="F99" s="396"/>
      <c r="G99" s="397"/>
      <c r="H99" s="398"/>
      <c r="I99" s="418"/>
      <c r="J99" s="412"/>
    </row>
    <row r="100" spans="1:10" ht="14" x14ac:dyDescent="0.15">
      <c r="A100" s="256"/>
      <c r="B100" s="180"/>
      <c r="C100" s="393"/>
      <c r="D100" s="394"/>
      <c r="E100" s="395"/>
      <c r="F100" s="396"/>
      <c r="G100" s="397"/>
      <c r="H100" s="399"/>
      <c r="I100" s="419"/>
      <c r="J100" s="412"/>
    </row>
    <row r="101" spans="1:10" ht="13" x14ac:dyDescent="0.15">
      <c r="A101" s="256"/>
      <c r="B101" s="106"/>
      <c r="C101" s="388"/>
      <c r="D101" s="164"/>
      <c r="E101" s="372"/>
      <c r="F101" s="400"/>
      <c r="G101" s="397"/>
      <c r="H101" s="175"/>
      <c r="I101" s="417"/>
      <c r="J101" s="412"/>
    </row>
    <row r="102" spans="1:10" ht="14" x14ac:dyDescent="0.15">
      <c r="A102" s="256"/>
      <c r="B102" s="172"/>
      <c r="C102" s="393"/>
      <c r="D102" s="394"/>
      <c r="E102" s="395"/>
      <c r="F102" s="395"/>
      <c r="G102" s="401"/>
      <c r="H102" s="175"/>
      <c r="I102" s="417"/>
      <c r="J102" s="412"/>
    </row>
    <row r="103" spans="1:10" ht="14" x14ac:dyDescent="0.15">
      <c r="A103" s="256"/>
      <c r="B103" s="172"/>
      <c r="C103" s="393"/>
      <c r="D103" s="394"/>
      <c r="E103" s="395"/>
      <c r="F103" s="395"/>
      <c r="G103" s="401"/>
      <c r="H103" s="175"/>
      <c r="I103" s="417"/>
      <c r="J103" s="412"/>
    </row>
    <row r="104" spans="1:10" ht="14" x14ac:dyDescent="0.15">
      <c r="A104" s="256"/>
      <c r="B104" s="172"/>
      <c r="C104" s="393"/>
      <c r="D104" s="394"/>
      <c r="E104" s="395"/>
      <c r="F104" s="395"/>
      <c r="G104" s="401"/>
      <c r="H104" s="175"/>
      <c r="I104" s="417"/>
      <c r="J104" s="412"/>
    </row>
    <row r="105" spans="1:10" ht="14" x14ac:dyDescent="0.15">
      <c r="A105" s="256"/>
      <c r="B105" s="172"/>
      <c r="C105" s="393"/>
      <c r="D105" s="394"/>
      <c r="E105" s="395"/>
      <c r="F105" s="395"/>
      <c r="H105" s="175"/>
      <c r="I105" s="417"/>
      <c r="J105" s="412"/>
    </row>
    <row r="106" spans="1:10" ht="15" x14ac:dyDescent="0.15">
      <c r="A106" s="256"/>
      <c r="B106" s="403"/>
      <c r="C106" s="393"/>
      <c r="D106" s="394"/>
      <c r="E106" s="299"/>
      <c r="F106" s="299"/>
      <c r="G106" s="404"/>
      <c r="H106" s="405"/>
      <c r="I106" s="417"/>
      <c r="J106" s="412"/>
    </row>
    <row r="107" spans="1:10" ht="15" x14ac:dyDescent="0.15">
      <c r="A107" s="256"/>
      <c r="B107" s="403"/>
      <c r="C107" s="406"/>
      <c r="D107" s="394"/>
      <c r="E107" s="299"/>
      <c r="F107" s="396"/>
      <c r="G107" s="404"/>
      <c r="H107" s="405"/>
      <c r="I107" s="417"/>
      <c r="J107" s="412"/>
    </row>
    <row r="108" spans="1:10" ht="15" x14ac:dyDescent="0.15">
      <c r="A108" s="256"/>
      <c r="B108" s="407"/>
      <c r="C108" s="406"/>
      <c r="D108" s="394"/>
      <c r="E108" s="299"/>
      <c r="F108" s="299"/>
      <c r="G108" s="404"/>
      <c r="H108" s="405"/>
      <c r="I108" s="417"/>
      <c r="J108" s="412"/>
    </row>
    <row r="109" spans="1:10" ht="15" x14ac:dyDescent="0.15">
      <c r="A109" s="256"/>
      <c r="B109" s="407"/>
      <c r="C109" s="406"/>
      <c r="D109" s="394"/>
      <c r="E109" s="299"/>
      <c r="F109" s="299"/>
      <c r="G109" s="404"/>
      <c r="H109" s="405"/>
      <c r="I109" s="417"/>
      <c r="J109" s="412"/>
    </row>
    <row r="110" spans="1:10" ht="15" x14ac:dyDescent="0.15">
      <c r="A110" s="256"/>
      <c r="B110" s="403"/>
      <c r="C110" s="406"/>
      <c r="D110" s="394"/>
      <c r="E110" s="299"/>
      <c r="F110" s="396"/>
      <c r="G110" s="404"/>
      <c r="H110" s="405"/>
      <c r="I110" s="417"/>
      <c r="J110" s="412"/>
    </row>
    <row r="111" spans="1:10" ht="13" x14ac:dyDescent="0.15"/>
    <row r="112" spans="1:10" ht="13" x14ac:dyDescent="0.15"/>
    <row r="113" ht="13.25" customHeight="1" x14ac:dyDescent="0.15"/>
    <row r="114" ht="13.25" customHeight="1" x14ac:dyDescent="0.15"/>
    <row r="115" ht="13.25" customHeight="1" x14ac:dyDescent="0.15"/>
    <row r="116" ht="13.25" customHeight="1" x14ac:dyDescent="0.15"/>
    <row r="117" ht="13.25" customHeight="1" x14ac:dyDescent="0.15"/>
    <row r="118" ht="13.25" customHeight="1" x14ac:dyDescent="0.15"/>
    <row r="119" ht="13.25" customHeight="1" x14ac:dyDescent="0.15"/>
    <row r="120" ht="13.25" customHeight="1" x14ac:dyDescent="0.15"/>
    <row r="122" ht="13.25" customHeight="1" x14ac:dyDescent="0.15"/>
    <row r="123" ht="13.25" customHeight="1" x14ac:dyDescent="0.15"/>
    <row r="124" ht="13.25" customHeight="1" x14ac:dyDescent="0.15"/>
    <row r="125" ht="13.25" customHeight="1" x14ac:dyDescent="0.15"/>
    <row r="126" ht="13.25" customHeight="1" x14ac:dyDescent="0.15"/>
    <row r="127" ht="13.25" customHeight="1" x14ac:dyDescent="0.15"/>
    <row r="128" ht="13.25" customHeight="1" x14ac:dyDescent="0.15"/>
    <row r="129" ht="13.25" customHeight="1" x14ac:dyDescent="0.15"/>
    <row r="131" ht="13.25" customHeight="1" x14ac:dyDescent="0.15"/>
    <row r="132" ht="13.25" customHeight="1" x14ac:dyDescent="0.15"/>
    <row r="133" ht="13.25" customHeight="1" x14ac:dyDescent="0.15"/>
    <row r="134" ht="13.25" customHeight="1" x14ac:dyDescent="0.15"/>
    <row r="135" ht="13.25" customHeight="1" x14ac:dyDescent="0.15"/>
    <row r="136" ht="13.25" customHeight="1" x14ac:dyDescent="0.15"/>
    <row r="137" ht="13.25" customHeight="1" x14ac:dyDescent="0.15"/>
    <row r="138" ht="13.25" customHeight="1" x14ac:dyDescent="0.15"/>
    <row r="140" ht="13.25" customHeight="1" x14ac:dyDescent="0.15"/>
    <row r="141" ht="13.25" customHeight="1" x14ac:dyDescent="0.15"/>
    <row r="142" ht="13.25" customHeight="1" x14ac:dyDescent="0.15"/>
    <row r="143" ht="13.25" customHeight="1" x14ac:dyDescent="0.15"/>
    <row r="144" ht="13.25" customHeight="1" x14ac:dyDescent="0.15"/>
    <row r="145" ht="13.25" customHeight="1" x14ac:dyDescent="0.15"/>
    <row r="146" ht="13.25" customHeight="1" x14ac:dyDescent="0.15"/>
    <row r="147" ht="13.25" customHeight="1" x14ac:dyDescent="0.15"/>
    <row r="149" ht="13.25" customHeight="1" x14ac:dyDescent="0.15"/>
    <row r="150" ht="13.25" customHeight="1" x14ac:dyDescent="0.15"/>
    <row r="151" ht="13.25" customHeight="1" x14ac:dyDescent="0.15"/>
    <row r="152" ht="13.25" customHeight="1" x14ac:dyDescent="0.15"/>
    <row r="153" ht="13.25" customHeight="1" x14ac:dyDescent="0.15"/>
    <row r="154" ht="13.25" customHeight="1" x14ac:dyDescent="0.15"/>
    <row r="155" ht="13.25" customHeight="1" x14ac:dyDescent="0.15"/>
    <row r="156" ht="13.25" customHeight="1" x14ac:dyDescent="0.15"/>
    <row r="158" ht="13.25" customHeight="1" x14ac:dyDescent="0.15"/>
    <row r="159" ht="13.25" customHeight="1" x14ac:dyDescent="0.15"/>
    <row r="160" ht="13.25" customHeight="1" x14ac:dyDescent="0.15"/>
    <row r="161" ht="13.25" customHeight="1" x14ac:dyDescent="0.15"/>
    <row r="162" ht="13.25" customHeight="1" x14ac:dyDescent="0.15"/>
    <row r="163" ht="13.25" customHeight="1" x14ac:dyDescent="0.15"/>
    <row r="164" ht="13.25" customHeight="1" x14ac:dyDescent="0.15"/>
    <row r="165" ht="13.25" customHeight="1" x14ac:dyDescent="0.15"/>
    <row r="167" ht="13.25" customHeight="1" x14ac:dyDescent="0.15"/>
    <row r="168" ht="13.25" customHeight="1" x14ac:dyDescent="0.15"/>
    <row r="169" ht="13.25" customHeight="1" x14ac:dyDescent="0.15"/>
    <row r="170" ht="13.25" customHeight="1" x14ac:dyDescent="0.15"/>
    <row r="171" ht="13.25" customHeight="1" x14ac:dyDescent="0.15"/>
    <row r="172" ht="13.25" customHeight="1" x14ac:dyDescent="0.15"/>
    <row r="173" ht="13.25" customHeight="1" x14ac:dyDescent="0.15"/>
    <row r="174" ht="13.25" customHeight="1" x14ac:dyDescent="0.15"/>
    <row r="176" ht="13.25" customHeight="1" x14ac:dyDescent="0.15"/>
    <row r="177" ht="13.25" customHeight="1" x14ac:dyDescent="0.15"/>
    <row r="178" ht="13.25" customHeight="1" x14ac:dyDescent="0.15"/>
    <row r="179" ht="13.25" customHeight="1" x14ac:dyDescent="0.15"/>
    <row r="180" ht="13.25" customHeight="1" x14ac:dyDescent="0.15"/>
    <row r="181" ht="13.25" customHeight="1" x14ac:dyDescent="0.15"/>
    <row r="182" ht="13.25" customHeight="1" x14ac:dyDescent="0.15"/>
    <row r="183" ht="13.25" customHeight="1" x14ac:dyDescent="0.15"/>
    <row r="185" ht="13.25" customHeight="1" x14ac:dyDescent="0.15"/>
    <row r="186" ht="13.25" customHeight="1" x14ac:dyDescent="0.15"/>
    <row r="187" ht="13.25" customHeight="1" x14ac:dyDescent="0.15"/>
    <row r="188" ht="13.25" customHeight="1" x14ac:dyDescent="0.15"/>
    <row r="189" ht="13.25" customHeight="1" x14ac:dyDescent="0.15"/>
    <row r="190" ht="13.25" customHeight="1" x14ac:dyDescent="0.15"/>
    <row r="191" ht="13.25" customHeight="1" x14ac:dyDescent="0.15"/>
    <row r="192" ht="13.25" customHeight="1" x14ac:dyDescent="0.15"/>
    <row r="194" ht="13.25" customHeight="1" x14ac:dyDescent="0.15"/>
    <row r="195" ht="13.25" customHeight="1" x14ac:dyDescent="0.15"/>
    <row r="196" ht="13.25" customHeight="1" x14ac:dyDescent="0.15"/>
    <row r="197" ht="13.25" customHeight="1" x14ac:dyDescent="0.15"/>
    <row r="198" ht="13.25" customHeight="1" x14ac:dyDescent="0.15"/>
    <row r="199" ht="13.25" customHeight="1" x14ac:dyDescent="0.15"/>
    <row r="200" ht="13.25" customHeight="1" x14ac:dyDescent="0.15"/>
    <row r="201" ht="13.25" customHeight="1" x14ac:dyDescent="0.15"/>
    <row r="203" ht="13.25" customHeight="1" x14ac:dyDescent="0.15"/>
    <row r="204" ht="13.25" customHeight="1" x14ac:dyDescent="0.15"/>
    <row r="205" ht="13.25" customHeight="1" x14ac:dyDescent="0.15"/>
    <row r="206" ht="13.25" customHeight="1" x14ac:dyDescent="0.15"/>
    <row r="207" ht="13.25" customHeight="1" x14ac:dyDescent="0.15"/>
    <row r="208" ht="13.25" customHeight="1" x14ac:dyDescent="0.15"/>
    <row r="209" ht="13.25" customHeight="1" x14ac:dyDescent="0.15"/>
    <row r="210" ht="13.25" customHeight="1" x14ac:dyDescent="0.15"/>
    <row r="212" ht="13.25" customHeight="1" x14ac:dyDescent="0.15"/>
    <row r="213" ht="13.25" customHeight="1" x14ac:dyDescent="0.15"/>
    <row r="214" ht="13.25" customHeight="1" x14ac:dyDescent="0.15"/>
    <row r="215" ht="13.25" customHeight="1" x14ac:dyDescent="0.15"/>
    <row r="216" ht="13.25" customHeight="1" x14ac:dyDescent="0.15"/>
    <row r="217" ht="13.25" customHeight="1" x14ac:dyDescent="0.15"/>
    <row r="218" ht="13.25" customHeight="1" x14ac:dyDescent="0.15"/>
    <row r="219" ht="13.25" customHeight="1" x14ac:dyDescent="0.15"/>
    <row r="221" ht="13.25" customHeight="1" x14ac:dyDescent="0.15"/>
    <row r="222" ht="13.25" customHeight="1" x14ac:dyDescent="0.15"/>
    <row r="223" ht="13.25" customHeight="1" x14ac:dyDescent="0.15"/>
    <row r="224" ht="13.25" customHeight="1" x14ac:dyDescent="0.15"/>
    <row r="225" ht="13.25" customHeight="1" x14ac:dyDescent="0.15"/>
    <row r="226" ht="13.25" customHeight="1" x14ac:dyDescent="0.15"/>
    <row r="227" ht="13.25" customHeight="1" x14ac:dyDescent="0.15"/>
    <row r="228" ht="13.25" customHeight="1" x14ac:dyDescent="0.15"/>
    <row r="230" ht="13.25" customHeight="1" x14ac:dyDescent="0.15"/>
    <row r="231" ht="13.25" customHeight="1" x14ac:dyDescent="0.15"/>
    <row r="232" ht="13.25" customHeight="1" x14ac:dyDescent="0.15"/>
    <row r="233" ht="13.25" customHeight="1" x14ac:dyDescent="0.15"/>
    <row r="234" ht="13.25" customHeight="1" x14ac:dyDescent="0.15"/>
    <row r="235" ht="13.25" customHeight="1" x14ac:dyDescent="0.15"/>
    <row r="236" ht="13.25" customHeight="1" x14ac:dyDescent="0.15"/>
    <row r="237" ht="13.25" customHeight="1" x14ac:dyDescent="0.15"/>
    <row r="239" ht="13.25" customHeight="1" x14ac:dyDescent="0.15"/>
    <row r="240" ht="13.25" customHeight="1" x14ac:dyDescent="0.15"/>
    <row r="241" ht="13.25" customHeight="1" x14ac:dyDescent="0.15"/>
    <row r="242" ht="13.25" customHeight="1" x14ac:dyDescent="0.15"/>
    <row r="243" ht="13.25" customHeight="1" x14ac:dyDescent="0.15"/>
    <row r="244" ht="13.25" customHeight="1" x14ac:dyDescent="0.15"/>
    <row r="245" ht="13.25" customHeight="1" x14ac:dyDescent="0.15"/>
    <row r="246" ht="13.25" customHeight="1" x14ac:dyDescent="0.15"/>
    <row r="248" ht="13.25" customHeight="1" x14ac:dyDescent="0.15"/>
    <row r="249" ht="13.25" customHeight="1" x14ac:dyDescent="0.15"/>
    <row r="250" ht="13.25" customHeight="1" x14ac:dyDescent="0.15"/>
    <row r="251" ht="13.25" customHeight="1" x14ac:dyDescent="0.15"/>
    <row r="252" ht="13.25" customHeight="1" x14ac:dyDescent="0.15"/>
    <row r="253" ht="13.25" customHeight="1" x14ac:dyDescent="0.15"/>
    <row r="254" ht="13.25" customHeight="1" x14ac:dyDescent="0.15"/>
    <row r="255" ht="13.25" customHeight="1" x14ac:dyDescent="0.15"/>
    <row r="257" ht="13.25" customHeight="1" x14ac:dyDescent="0.15"/>
    <row r="258" ht="13.25" customHeight="1" x14ac:dyDescent="0.15"/>
    <row r="259" ht="13.25" customHeight="1" x14ac:dyDescent="0.15"/>
    <row r="260" ht="13.25" customHeight="1" x14ac:dyDescent="0.15"/>
    <row r="261" ht="13.25" customHeight="1" x14ac:dyDescent="0.15"/>
    <row r="262" ht="13.25" customHeight="1" x14ac:dyDescent="0.15"/>
    <row r="263" ht="13.25" customHeight="1" x14ac:dyDescent="0.15"/>
    <row r="264" ht="13.25" customHeight="1" x14ac:dyDescent="0.15"/>
    <row r="266" ht="13.25" customHeight="1" x14ac:dyDescent="0.15"/>
    <row r="267" ht="13.25" customHeight="1" x14ac:dyDescent="0.15"/>
    <row r="268" ht="13.25" customHeight="1" x14ac:dyDescent="0.15"/>
    <row r="269" ht="13.25" customHeight="1" x14ac:dyDescent="0.15"/>
    <row r="270" ht="13.25" customHeight="1" x14ac:dyDescent="0.15"/>
    <row r="271" ht="13.25" customHeight="1" x14ac:dyDescent="0.15"/>
    <row r="272" ht="13.25" customHeight="1" x14ac:dyDescent="0.15"/>
    <row r="273" ht="13.25" customHeight="1" x14ac:dyDescent="0.15"/>
    <row r="275" ht="13.25" customHeight="1" x14ac:dyDescent="0.15"/>
    <row r="276" ht="13.25" customHeight="1" x14ac:dyDescent="0.15"/>
    <row r="277" ht="13.25" customHeight="1" x14ac:dyDescent="0.15"/>
    <row r="278" ht="13.25" customHeight="1" x14ac:dyDescent="0.15"/>
    <row r="279" ht="13.25" customHeight="1" x14ac:dyDescent="0.15"/>
    <row r="280" ht="13.25" customHeight="1" x14ac:dyDescent="0.15"/>
    <row r="281" ht="13.25" customHeight="1" x14ac:dyDescent="0.15"/>
    <row r="282" ht="13.25" customHeight="1" x14ac:dyDescent="0.15"/>
    <row r="284" ht="13.25" customHeight="1" x14ac:dyDescent="0.15"/>
    <row r="285" ht="13.25" customHeight="1" x14ac:dyDescent="0.15"/>
    <row r="286" ht="13.25" customHeight="1" x14ac:dyDescent="0.15"/>
    <row r="287" ht="13.25" customHeight="1" x14ac:dyDescent="0.15"/>
    <row r="288" ht="13.25" customHeight="1" x14ac:dyDescent="0.15"/>
    <row r="289" ht="13.25" customHeight="1" x14ac:dyDescent="0.15"/>
    <row r="290" ht="13.25" customHeight="1" x14ac:dyDescent="0.15"/>
    <row r="291" ht="13.25" customHeight="1" x14ac:dyDescent="0.15"/>
    <row r="293" ht="13.25" customHeight="1" x14ac:dyDescent="0.15"/>
    <row r="294" ht="13.25" customHeight="1" x14ac:dyDescent="0.15"/>
    <row r="295" ht="13.25" customHeight="1" x14ac:dyDescent="0.15"/>
    <row r="296" ht="13.25" customHeight="1" x14ac:dyDescent="0.15"/>
    <row r="297" ht="13.25" customHeight="1" x14ac:dyDescent="0.15"/>
    <row r="298" ht="13.25" customHeight="1" x14ac:dyDescent="0.15"/>
    <row r="299" ht="13.25" customHeight="1" x14ac:dyDescent="0.15"/>
    <row r="300" ht="13.25" customHeight="1" x14ac:dyDescent="0.15"/>
    <row r="302" ht="13.25" customHeight="1" x14ac:dyDescent="0.15"/>
    <row r="303" ht="13.25" customHeight="1" x14ac:dyDescent="0.15"/>
    <row r="304" ht="13.25" customHeight="1" x14ac:dyDescent="0.15"/>
    <row r="305" ht="13.25" customHeight="1" x14ac:dyDescent="0.15"/>
    <row r="306" ht="13.25" customHeight="1" x14ac:dyDescent="0.15"/>
    <row r="307" ht="13.25" customHeight="1" x14ac:dyDescent="0.15"/>
    <row r="308" ht="13.25" customHeight="1" x14ac:dyDescent="0.15"/>
    <row r="309" ht="13.25" customHeight="1" x14ac:dyDescent="0.15"/>
    <row r="311" ht="13.25" customHeight="1" x14ac:dyDescent="0.15"/>
    <row r="312" ht="13.25" customHeight="1" x14ac:dyDescent="0.15"/>
    <row r="313" ht="13.25" customHeight="1" x14ac:dyDescent="0.15"/>
    <row r="314" ht="13.25" customHeight="1" x14ac:dyDescent="0.15"/>
    <row r="315" ht="13.25" customHeight="1" x14ac:dyDescent="0.15"/>
    <row r="316" ht="13.25" customHeight="1" x14ac:dyDescent="0.15"/>
    <row r="317" ht="13.25" customHeight="1" x14ac:dyDescent="0.15"/>
    <row r="318" ht="13.25" customHeight="1" x14ac:dyDescent="0.15"/>
    <row r="320" ht="13.25" customHeight="1" x14ac:dyDescent="0.15"/>
    <row r="321" ht="13.25" customHeight="1" x14ac:dyDescent="0.15"/>
    <row r="322" ht="13.25" customHeight="1" x14ac:dyDescent="0.15"/>
    <row r="323" ht="13.25" customHeight="1" x14ac:dyDescent="0.15"/>
    <row r="324" ht="13.25" customHeight="1" x14ac:dyDescent="0.15"/>
    <row r="325" ht="13.25" customHeight="1" x14ac:dyDescent="0.15"/>
    <row r="326" ht="13.25" customHeight="1" x14ac:dyDescent="0.15"/>
    <row r="327" ht="13.25" customHeight="1" x14ac:dyDescent="0.15"/>
    <row r="329" ht="13.25" customHeight="1" x14ac:dyDescent="0.15"/>
    <row r="330" ht="13.25" customHeight="1" x14ac:dyDescent="0.15"/>
    <row r="331" ht="13.25" customHeight="1" x14ac:dyDescent="0.15"/>
    <row r="332" ht="13.25" customHeight="1" x14ac:dyDescent="0.15"/>
    <row r="333" ht="13.25" customHeight="1" x14ac:dyDescent="0.15"/>
    <row r="334" ht="13.25" customHeight="1" x14ac:dyDescent="0.15"/>
    <row r="335" ht="13.25" customHeight="1" x14ac:dyDescent="0.15"/>
    <row r="336" ht="13.25" customHeight="1" x14ac:dyDescent="0.15"/>
    <row r="338" ht="13.25" customHeight="1" x14ac:dyDescent="0.15"/>
    <row r="339" ht="13.25" customHeight="1" x14ac:dyDescent="0.15"/>
    <row r="340" ht="13.25" customHeight="1" x14ac:dyDescent="0.15"/>
    <row r="341" ht="13.25" customHeight="1" x14ac:dyDescent="0.15"/>
    <row r="342" ht="13.25" customHeight="1" x14ac:dyDescent="0.15"/>
    <row r="343" ht="13.25" customHeight="1" x14ac:dyDescent="0.15"/>
    <row r="344" ht="13.25" customHeight="1" x14ac:dyDescent="0.15"/>
    <row r="345" ht="13.25" customHeight="1" x14ac:dyDescent="0.15"/>
    <row r="347" ht="13.25" customHeight="1" x14ac:dyDescent="0.15"/>
    <row r="348" ht="13.25" customHeight="1" x14ac:dyDescent="0.15"/>
    <row r="349" ht="13.25" customHeight="1" x14ac:dyDescent="0.15"/>
    <row r="350" ht="13.25" customHeight="1" x14ac:dyDescent="0.15"/>
    <row r="351" ht="13.25" customHeight="1" x14ac:dyDescent="0.15"/>
    <row r="352" ht="13.25" customHeight="1" x14ac:dyDescent="0.15"/>
    <row r="353" ht="13.25" customHeight="1" x14ac:dyDescent="0.15"/>
    <row r="354" ht="13.25" customHeight="1" x14ac:dyDescent="0.15"/>
    <row r="356" ht="13.25" customHeight="1" x14ac:dyDescent="0.15"/>
    <row r="357" ht="13.25" customHeight="1" x14ac:dyDescent="0.15"/>
    <row r="358" ht="13.25" customHeight="1" x14ac:dyDescent="0.15"/>
    <row r="359" ht="13.25" customHeight="1" x14ac:dyDescent="0.15"/>
    <row r="360" ht="13.25" customHeight="1" x14ac:dyDescent="0.15"/>
    <row r="361" ht="13.25" customHeight="1" x14ac:dyDescent="0.15"/>
    <row r="362" ht="13.25" customHeight="1" x14ac:dyDescent="0.15"/>
    <row r="363" ht="13.25" customHeight="1" x14ac:dyDescent="0.15"/>
    <row r="365" ht="13.25" customHeight="1" x14ac:dyDescent="0.15"/>
    <row r="366" ht="13.25" customHeight="1" x14ac:dyDescent="0.15"/>
    <row r="367" ht="13.25" customHeight="1" x14ac:dyDescent="0.15"/>
    <row r="368" ht="13.25" customHeight="1" x14ac:dyDescent="0.15"/>
    <row r="369" ht="13.25" customHeight="1" x14ac:dyDescent="0.15"/>
    <row r="370" ht="13.25" customHeight="1" x14ac:dyDescent="0.15"/>
    <row r="371" ht="13.25" customHeight="1" x14ac:dyDescent="0.15"/>
    <row r="372" ht="13.25" customHeight="1" x14ac:dyDescent="0.15"/>
    <row r="374" ht="13.25" customHeight="1" x14ac:dyDescent="0.15"/>
    <row r="375" ht="13.25" customHeight="1" x14ac:dyDescent="0.15"/>
    <row r="376" ht="13.25" customHeight="1" x14ac:dyDescent="0.15"/>
    <row r="377" ht="13.25" customHeight="1" x14ac:dyDescent="0.15"/>
    <row r="378" ht="13.25" customHeight="1" x14ac:dyDescent="0.15"/>
    <row r="379" ht="13.25" customHeight="1" x14ac:dyDescent="0.15"/>
    <row r="380" ht="13.25" customHeight="1" x14ac:dyDescent="0.15"/>
    <row r="381" ht="13.25" customHeight="1" x14ac:dyDescent="0.15"/>
    <row r="382" ht="13" x14ac:dyDescent="0.15"/>
    <row r="383" ht="13.25" customHeight="1" x14ac:dyDescent="0.15"/>
    <row r="384" ht="13.25" customHeight="1" x14ac:dyDescent="0.15"/>
    <row r="385" ht="13.25" customHeight="1" x14ac:dyDescent="0.15"/>
    <row r="386" ht="13.25" customHeight="1" x14ac:dyDescent="0.15"/>
    <row r="387" ht="13.25" customHeight="1" x14ac:dyDescent="0.15"/>
    <row r="388" ht="13.25" customHeight="1" x14ac:dyDescent="0.15"/>
    <row r="389" ht="13.25" customHeight="1" x14ac:dyDescent="0.15"/>
    <row r="390" ht="13.25" customHeight="1" x14ac:dyDescent="0.15"/>
    <row r="391" ht="13" x14ac:dyDescent="0.15"/>
    <row r="392" ht="13.25" customHeight="1" x14ac:dyDescent="0.15"/>
    <row r="393" ht="13.25" customHeight="1" x14ac:dyDescent="0.15"/>
    <row r="394" ht="13.25" customHeight="1" x14ac:dyDescent="0.15"/>
    <row r="395" ht="13.25" customHeight="1" x14ac:dyDescent="0.15"/>
    <row r="396" ht="13.25" customHeight="1" x14ac:dyDescent="0.15"/>
    <row r="397" ht="13.25" customHeight="1" x14ac:dyDescent="0.15"/>
    <row r="398" ht="13.25" customHeight="1" x14ac:dyDescent="0.15"/>
    <row r="399" ht="13.25" customHeight="1" x14ac:dyDescent="0.15"/>
    <row r="401" ht="13.25" customHeight="1" x14ac:dyDescent="0.15"/>
    <row r="402" ht="13.25" customHeight="1" x14ac:dyDescent="0.15"/>
    <row r="403" ht="13.25" customHeight="1" x14ac:dyDescent="0.15"/>
    <row r="404" ht="13.25" customHeight="1" x14ac:dyDescent="0.15"/>
    <row r="405" ht="13.25" customHeight="1" x14ac:dyDescent="0.15"/>
    <row r="406" ht="13.25" customHeight="1" x14ac:dyDescent="0.15"/>
    <row r="407" ht="13.25" customHeight="1" x14ac:dyDescent="0.15"/>
    <row r="408" ht="13.25" customHeight="1" x14ac:dyDescent="0.15"/>
    <row r="409" ht="13" x14ac:dyDescent="0.15"/>
    <row r="410" ht="13.25" customHeight="1" x14ac:dyDescent="0.15"/>
    <row r="411" ht="13.25" customHeight="1" x14ac:dyDescent="0.15"/>
    <row r="412" ht="13.25" customHeight="1" x14ac:dyDescent="0.15"/>
    <row r="413" ht="13.25" customHeight="1" x14ac:dyDescent="0.15"/>
    <row r="414" ht="13.25" customHeight="1" x14ac:dyDescent="0.15"/>
    <row r="415" ht="13.25" customHeight="1" x14ac:dyDescent="0.15"/>
    <row r="416" ht="13.25" customHeight="1" x14ac:dyDescent="0.15"/>
    <row r="417" ht="13.25" customHeight="1" x14ac:dyDescent="0.15"/>
    <row r="418" ht="13" x14ac:dyDescent="0.15"/>
    <row r="419" ht="13.25" customHeight="1" x14ac:dyDescent="0.15"/>
    <row r="420" ht="13.25" customHeight="1" x14ac:dyDescent="0.15"/>
    <row r="421" ht="13.25" customHeight="1" x14ac:dyDescent="0.15"/>
    <row r="422" ht="13.25" customHeight="1" x14ac:dyDescent="0.15"/>
    <row r="423" ht="13.25" customHeight="1" x14ac:dyDescent="0.15"/>
    <row r="424" ht="13.25" customHeight="1" x14ac:dyDescent="0.15"/>
    <row r="425" ht="13.25" customHeight="1" x14ac:dyDescent="0.15"/>
    <row r="426" ht="13.25" customHeight="1" x14ac:dyDescent="0.15"/>
    <row r="428" ht="13.25" customHeight="1" x14ac:dyDescent="0.15"/>
    <row r="429" ht="13.25" customHeight="1" x14ac:dyDescent="0.15"/>
    <row r="430" ht="13.25" customHeight="1" x14ac:dyDescent="0.15"/>
    <row r="431" ht="13.25" customHeight="1" x14ac:dyDescent="0.15"/>
    <row r="432" ht="13.25" customHeight="1" x14ac:dyDescent="0.15"/>
    <row r="433" ht="13.25" customHeight="1" x14ac:dyDescent="0.15"/>
    <row r="434" ht="13.25" customHeight="1" x14ac:dyDescent="0.15"/>
    <row r="435" ht="13.25" customHeight="1" x14ac:dyDescent="0.15"/>
    <row r="437" ht="13.25" customHeight="1" x14ac:dyDescent="0.15"/>
    <row r="438" ht="13.25" customHeight="1" x14ac:dyDescent="0.15"/>
    <row r="439" ht="13.25" customHeight="1" x14ac:dyDescent="0.15"/>
    <row r="440" ht="13.25" customHeight="1" x14ac:dyDescent="0.15"/>
    <row r="441" ht="13.25" customHeight="1" x14ac:dyDescent="0.15"/>
    <row r="442" ht="13.25" customHeight="1" x14ac:dyDescent="0.15"/>
    <row r="443" ht="13.25" customHeight="1" x14ac:dyDescent="0.15"/>
    <row r="444" ht="13.25" customHeight="1" x14ac:dyDescent="0.15"/>
    <row r="446" ht="13.25" customHeight="1" x14ac:dyDescent="0.15"/>
    <row r="447" ht="13.25" customHeight="1" x14ac:dyDescent="0.15"/>
    <row r="448" ht="13.25" customHeight="1" x14ac:dyDescent="0.15"/>
    <row r="449" ht="13.25" customHeight="1" x14ac:dyDescent="0.15"/>
    <row r="450" ht="13.25" customHeight="1" x14ac:dyDescent="0.15"/>
    <row r="451" ht="13.25" customHeight="1" x14ac:dyDescent="0.15"/>
    <row r="452" ht="13.25" customHeight="1" x14ac:dyDescent="0.15"/>
    <row r="453" ht="13.25" customHeight="1" x14ac:dyDescent="0.15"/>
    <row r="455" ht="13.25" customHeight="1" x14ac:dyDescent="0.15"/>
    <row r="456" ht="13.25" customHeight="1" x14ac:dyDescent="0.15"/>
    <row r="457" ht="13.25" customHeight="1" x14ac:dyDescent="0.15"/>
    <row r="458" ht="13.25" customHeight="1" x14ac:dyDescent="0.15"/>
    <row r="459" ht="13.25" customHeight="1" x14ac:dyDescent="0.15"/>
    <row r="460" ht="13.25" customHeight="1" x14ac:dyDescent="0.15"/>
    <row r="461" ht="13.25" customHeight="1" x14ac:dyDescent="0.15"/>
    <row r="462" ht="13.25" customHeight="1" x14ac:dyDescent="0.15"/>
    <row r="464" ht="13.25" customHeight="1" x14ac:dyDescent="0.15"/>
    <row r="465" ht="13.25" customHeight="1" x14ac:dyDescent="0.15"/>
    <row r="466" ht="13.25" customHeight="1" x14ac:dyDescent="0.15"/>
    <row r="467" ht="13.25" customHeight="1" x14ac:dyDescent="0.15"/>
    <row r="468" ht="13.25" customHeight="1" x14ac:dyDescent="0.15"/>
    <row r="469" ht="13.25" customHeight="1" x14ac:dyDescent="0.15"/>
    <row r="470" ht="13.25" customHeight="1" x14ac:dyDescent="0.15"/>
    <row r="471" ht="13.25" customHeight="1" x14ac:dyDescent="0.15"/>
    <row r="473" ht="13.25" customHeight="1" x14ac:dyDescent="0.15"/>
    <row r="474" ht="13.25" customHeight="1" x14ac:dyDescent="0.15"/>
    <row r="475" ht="13.25" customHeight="1" x14ac:dyDescent="0.15"/>
    <row r="476" ht="13.25" customHeight="1" x14ac:dyDescent="0.15"/>
    <row r="477" ht="13.25" customHeight="1" x14ac:dyDescent="0.15"/>
    <row r="478" ht="13.25" customHeight="1" x14ac:dyDescent="0.15"/>
    <row r="479" ht="13.25" customHeight="1" x14ac:dyDescent="0.15"/>
    <row r="480" ht="13.25" customHeight="1" x14ac:dyDescent="0.15"/>
    <row r="482" ht="13.25" customHeight="1" x14ac:dyDescent="0.15"/>
    <row r="483" ht="13.25" customHeight="1" x14ac:dyDescent="0.15"/>
    <row r="484" ht="13.25" customHeight="1" x14ac:dyDescent="0.15"/>
    <row r="485" ht="13.25" customHeight="1" x14ac:dyDescent="0.15"/>
    <row r="486" ht="13.25" customHeight="1" x14ac:dyDescent="0.15"/>
    <row r="487" ht="13.25" customHeight="1" x14ac:dyDescent="0.15"/>
    <row r="488" ht="13.25" customHeight="1" x14ac:dyDescent="0.15"/>
    <row r="489" ht="13.25" customHeight="1" x14ac:dyDescent="0.15"/>
    <row r="491" ht="13.25" customHeight="1" x14ac:dyDescent="0.15"/>
    <row r="492" ht="13.25" customHeight="1" x14ac:dyDescent="0.15"/>
    <row r="493" ht="13.25" customHeight="1" x14ac:dyDescent="0.15"/>
    <row r="494" ht="13.25" customHeight="1" x14ac:dyDescent="0.15"/>
    <row r="495" ht="13.25" customHeight="1" x14ac:dyDescent="0.15"/>
    <row r="496" ht="13.25" customHeight="1" x14ac:dyDescent="0.15"/>
    <row r="497" ht="13.25" customHeight="1" x14ac:dyDescent="0.15"/>
    <row r="498" ht="13.25" customHeight="1" x14ac:dyDescent="0.15"/>
    <row r="500" ht="13.25" customHeight="1" x14ac:dyDescent="0.15"/>
    <row r="501" ht="13.25" customHeight="1" x14ac:dyDescent="0.15"/>
    <row r="502" ht="13.25" customHeight="1" x14ac:dyDescent="0.15"/>
    <row r="503" ht="13.25" customHeight="1" x14ac:dyDescent="0.15"/>
    <row r="504" ht="13.25" customHeight="1" x14ac:dyDescent="0.15"/>
    <row r="505" ht="13.25" customHeight="1" x14ac:dyDescent="0.15"/>
    <row r="506" ht="13.25" customHeight="1" x14ac:dyDescent="0.15"/>
    <row r="507" ht="13.25" customHeight="1" x14ac:dyDescent="0.15"/>
    <row r="509" ht="13.25" customHeight="1" x14ac:dyDescent="0.15"/>
    <row r="510" ht="13.25" customHeight="1" x14ac:dyDescent="0.15"/>
    <row r="511" ht="13.25" customHeight="1" x14ac:dyDescent="0.15"/>
    <row r="512" ht="13.25" customHeight="1" x14ac:dyDescent="0.15"/>
    <row r="513" ht="13.25" customHeight="1" x14ac:dyDescent="0.15"/>
    <row r="514" ht="13.25" customHeight="1" x14ac:dyDescent="0.15"/>
    <row r="515" ht="13.25" customHeight="1" x14ac:dyDescent="0.15"/>
    <row r="516" ht="13.25" customHeight="1" x14ac:dyDescent="0.15"/>
    <row r="518" ht="13.25" customHeight="1" x14ac:dyDescent="0.15"/>
    <row r="519" ht="13.25" customHeight="1" x14ac:dyDescent="0.15"/>
    <row r="520" ht="13.25" customHeight="1" x14ac:dyDescent="0.15"/>
    <row r="521" ht="13.25" customHeight="1" x14ac:dyDescent="0.15"/>
    <row r="522" ht="13.25" customHeight="1" x14ac:dyDescent="0.15"/>
    <row r="523" ht="13.25" customHeight="1" x14ac:dyDescent="0.15"/>
    <row r="524" ht="13.25" customHeight="1" x14ac:dyDescent="0.15"/>
    <row r="525" ht="13.25" customHeight="1" x14ac:dyDescent="0.15"/>
    <row r="527" ht="13.25" customHeight="1" x14ac:dyDescent="0.15"/>
    <row r="528" ht="13.25" customHeight="1" x14ac:dyDescent="0.15"/>
    <row r="529" ht="13.25" customHeight="1" x14ac:dyDescent="0.15"/>
    <row r="530" ht="13.25" customHeight="1" x14ac:dyDescent="0.15"/>
    <row r="531" ht="13.25" customHeight="1" x14ac:dyDescent="0.15"/>
    <row r="532" ht="13.25" customHeight="1" x14ac:dyDescent="0.15"/>
    <row r="533" ht="13.25" customHeight="1" x14ac:dyDescent="0.15"/>
    <row r="534" ht="13.25" customHeight="1" x14ac:dyDescent="0.15"/>
    <row r="536" ht="13.25" customHeight="1" x14ac:dyDescent="0.15"/>
    <row r="537" ht="13.25" customHeight="1" x14ac:dyDescent="0.15"/>
    <row r="538" ht="13.25" customHeight="1" x14ac:dyDescent="0.15"/>
    <row r="539" ht="13.25" customHeight="1" x14ac:dyDescent="0.15"/>
    <row r="540" ht="13.25" customHeight="1" x14ac:dyDescent="0.15"/>
    <row r="541" ht="13.25" customHeight="1" x14ac:dyDescent="0.15"/>
    <row r="542" ht="13.25" customHeight="1" x14ac:dyDescent="0.15"/>
    <row r="543" ht="13.25" customHeight="1" x14ac:dyDescent="0.15"/>
    <row r="545" ht="13.25" customHeight="1" x14ac:dyDescent="0.15"/>
    <row r="546" ht="13.25" customHeight="1" x14ac:dyDescent="0.15"/>
    <row r="547" ht="13.25" customHeight="1" x14ac:dyDescent="0.15"/>
    <row r="548" ht="13.25" customHeight="1" x14ac:dyDescent="0.15"/>
    <row r="549" ht="13.25" customHeight="1" x14ac:dyDescent="0.15"/>
    <row r="550" ht="13.25" customHeight="1" x14ac:dyDescent="0.15"/>
    <row r="551" ht="13.25" customHeight="1" x14ac:dyDescent="0.15"/>
    <row r="552" ht="13.25" customHeight="1" x14ac:dyDescent="0.15"/>
    <row r="554" ht="13.25" customHeight="1" x14ac:dyDescent="0.15"/>
    <row r="555" ht="13.25" customHeight="1" x14ac:dyDescent="0.15"/>
    <row r="556" ht="13.25" customHeight="1" x14ac:dyDescent="0.15"/>
    <row r="557" ht="13.25" customHeight="1" x14ac:dyDescent="0.15"/>
    <row r="558" ht="13.25" customHeight="1" x14ac:dyDescent="0.15"/>
    <row r="559" ht="13.25" customHeight="1" x14ac:dyDescent="0.15"/>
    <row r="560" ht="13.25" customHeight="1" x14ac:dyDescent="0.15"/>
    <row r="561" ht="13.25" customHeight="1" x14ac:dyDescent="0.15"/>
    <row r="563" ht="13.25" customHeight="1" x14ac:dyDescent="0.15"/>
    <row r="564" ht="13.25" customHeight="1" x14ac:dyDescent="0.15"/>
    <row r="565" ht="13.25" customHeight="1" x14ac:dyDescent="0.15"/>
    <row r="566" ht="13.25" customHeight="1" x14ac:dyDescent="0.15"/>
    <row r="567" ht="13.25" customHeight="1" x14ac:dyDescent="0.15"/>
    <row r="568" ht="13.25" customHeight="1" x14ac:dyDescent="0.15"/>
    <row r="569" ht="13.25" customHeight="1" x14ac:dyDescent="0.15"/>
    <row r="570" ht="13.25" customHeight="1" x14ac:dyDescent="0.15"/>
    <row r="571" ht="13" x14ac:dyDescent="0.15"/>
    <row r="572" ht="13.25" customHeight="1" x14ac:dyDescent="0.15"/>
    <row r="573" ht="13.25" customHeight="1" x14ac:dyDescent="0.15"/>
    <row r="574" ht="13.25" customHeight="1" x14ac:dyDescent="0.15"/>
    <row r="575" ht="13.25" customHeight="1" x14ac:dyDescent="0.15"/>
    <row r="576" ht="13.25" customHeight="1" x14ac:dyDescent="0.15"/>
    <row r="577" ht="13.25" customHeight="1" x14ac:dyDescent="0.15"/>
    <row r="578" ht="13.25" customHeight="1" x14ac:dyDescent="0.15"/>
    <row r="579" ht="13.25" customHeight="1" x14ac:dyDescent="0.15"/>
    <row r="581" ht="13.25" customHeight="1" x14ac:dyDescent="0.15"/>
    <row r="582" ht="13.25" customHeight="1" x14ac:dyDescent="0.15"/>
    <row r="583" ht="13.25" customHeight="1" x14ac:dyDescent="0.15"/>
    <row r="584" ht="13.25" customHeight="1" x14ac:dyDescent="0.15"/>
    <row r="585" ht="13.25" customHeight="1" x14ac:dyDescent="0.15"/>
    <row r="586" ht="13.25" customHeight="1" x14ac:dyDescent="0.15"/>
    <row r="587" ht="13.25" customHeight="1" x14ac:dyDescent="0.15"/>
    <row r="588" ht="13.25" customHeight="1" x14ac:dyDescent="0.15"/>
    <row r="590" ht="13.25" customHeight="1" x14ac:dyDescent="0.15"/>
    <row r="591" ht="13.25" customHeight="1" x14ac:dyDescent="0.15"/>
    <row r="592" ht="13.25" customHeight="1" x14ac:dyDescent="0.15"/>
    <row r="593" ht="13.25" customHeight="1" x14ac:dyDescent="0.15"/>
    <row r="594" ht="13.25" customHeight="1" x14ac:dyDescent="0.15"/>
    <row r="595" ht="13.25" customHeight="1" x14ac:dyDescent="0.15"/>
    <row r="596" ht="13.25" customHeight="1" x14ac:dyDescent="0.15"/>
    <row r="597" ht="13.25" customHeight="1" x14ac:dyDescent="0.15"/>
    <row r="599" ht="13.25" customHeight="1" x14ac:dyDescent="0.15"/>
    <row r="600" ht="13.25" customHeight="1" x14ac:dyDescent="0.15"/>
    <row r="601" ht="13.25" customHeight="1" x14ac:dyDescent="0.15"/>
    <row r="602" ht="13.25" customHeight="1" x14ac:dyDescent="0.15"/>
    <row r="603" ht="13.25" customHeight="1" x14ac:dyDescent="0.15"/>
    <row r="604" ht="13.25" customHeight="1" x14ac:dyDescent="0.15"/>
    <row r="605" ht="13.25" customHeight="1" x14ac:dyDescent="0.15"/>
    <row r="606" ht="13.25" customHeight="1" x14ac:dyDescent="0.15"/>
    <row r="607" ht="13" x14ac:dyDescent="0.15"/>
    <row r="608" ht="13.25" customHeight="1" x14ac:dyDescent="0.15"/>
    <row r="609" ht="13.25" customHeight="1" x14ac:dyDescent="0.15"/>
    <row r="610" ht="13.25" customHeight="1" x14ac:dyDescent="0.15"/>
    <row r="611" ht="13.25" customHeight="1" x14ac:dyDescent="0.15"/>
    <row r="612" ht="13.25" customHeight="1" x14ac:dyDescent="0.15"/>
    <row r="613" ht="13.25" customHeight="1" x14ac:dyDescent="0.15"/>
    <row r="614" ht="13.25" customHeight="1" x14ac:dyDescent="0.15"/>
    <row r="615" ht="13.25" customHeight="1" x14ac:dyDescent="0.15"/>
    <row r="617" ht="13.25" customHeight="1" x14ac:dyDescent="0.15"/>
    <row r="618" ht="13.25" customHeight="1" x14ac:dyDescent="0.15"/>
    <row r="619" ht="13.25" customHeight="1" x14ac:dyDescent="0.15"/>
    <row r="620" ht="13.25" customHeight="1" x14ac:dyDescent="0.15"/>
    <row r="621" ht="13.25" customHeight="1" x14ac:dyDescent="0.15"/>
    <row r="622" ht="13.25" customHeight="1" x14ac:dyDescent="0.15"/>
    <row r="623" ht="13.25" customHeight="1" x14ac:dyDescent="0.15"/>
    <row r="624" ht="13.25" customHeight="1" x14ac:dyDescent="0.15"/>
    <row r="626" ht="13.25" customHeight="1" x14ac:dyDescent="0.15"/>
    <row r="627" ht="13.25" customHeight="1" x14ac:dyDescent="0.15"/>
    <row r="628" ht="13.25" customHeight="1" x14ac:dyDescent="0.15"/>
    <row r="629" ht="13.25" customHeight="1" x14ac:dyDescent="0.15"/>
    <row r="630" ht="13.25" customHeight="1" x14ac:dyDescent="0.15"/>
    <row r="631" ht="13.25" customHeight="1" x14ac:dyDescent="0.15"/>
    <row r="632" ht="13.25" customHeight="1" x14ac:dyDescent="0.15"/>
    <row r="633" ht="13.25" customHeight="1" x14ac:dyDescent="0.15"/>
    <row r="635" ht="13.25" customHeight="1" x14ac:dyDescent="0.15"/>
    <row r="636" ht="13.25" customHeight="1" x14ac:dyDescent="0.15"/>
    <row r="637" ht="13.25" customHeight="1" x14ac:dyDescent="0.15"/>
    <row r="638" ht="13.25" customHeight="1" x14ac:dyDescent="0.15"/>
    <row r="639" ht="13.25" customHeight="1" x14ac:dyDescent="0.15"/>
    <row r="640" ht="13.25" customHeight="1" x14ac:dyDescent="0.15"/>
    <row r="641" ht="13.25" customHeight="1" x14ac:dyDescent="0.15"/>
    <row r="642" ht="13.25" customHeight="1" x14ac:dyDescent="0.15"/>
    <row r="644" ht="13.25" customHeight="1" x14ac:dyDescent="0.15"/>
    <row r="645" ht="13.25" customHeight="1" x14ac:dyDescent="0.15"/>
    <row r="646" ht="13.25" customHeight="1" x14ac:dyDescent="0.15"/>
    <row r="647" ht="13.25" customHeight="1" x14ac:dyDescent="0.15"/>
    <row r="648" ht="13.25" customHeight="1" x14ac:dyDescent="0.15"/>
    <row r="649" ht="13.25" customHeight="1" x14ac:dyDescent="0.15"/>
    <row r="650" ht="13.25" customHeight="1" x14ac:dyDescent="0.15"/>
    <row r="651" ht="13.25" customHeight="1" x14ac:dyDescent="0.15"/>
    <row r="653" ht="13.25" customHeight="1" x14ac:dyDescent="0.15"/>
    <row r="654" ht="13.25" customHeight="1" x14ac:dyDescent="0.15"/>
    <row r="655" ht="13.25" customHeight="1" x14ac:dyDescent="0.15"/>
    <row r="656" ht="13.25" customHeight="1" x14ac:dyDescent="0.15"/>
    <row r="657" ht="13.25" customHeight="1" x14ac:dyDescent="0.15"/>
    <row r="658" ht="13.25" customHeight="1" x14ac:dyDescent="0.15"/>
    <row r="659" ht="13.25" customHeight="1" x14ac:dyDescent="0.15"/>
    <row r="660" ht="13.25" customHeight="1" x14ac:dyDescent="0.15"/>
    <row r="662" ht="13.25" customHeight="1" x14ac:dyDescent="0.15"/>
    <row r="663" ht="13.25" customHeight="1" x14ac:dyDescent="0.15"/>
    <row r="664" ht="13.25" customHeight="1" x14ac:dyDescent="0.15"/>
    <row r="665" ht="13.25" customHeight="1" x14ac:dyDescent="0.15"/>
    <row r="666" ht="13.25" customHeight="1" x14ac:dyDescent="0.15"/>
    <row r="667" ht="13.25" customHeight="1" x14ac:dyDescent="0.15"/>
    <row r="668" ht="13.25" customHeight="1" x14ac:dyDescent="0.15"/>
    <row r="669" ht="13.25" customHeight="1" x14ac:dyDescent="0.15"/>
  </sheetData>
  <autoFilter ref="A1:I106" xr:uid="{D1C5A8DA-539C-4D78-84E6-93DBE5BAAFB9}"/>
  <phoneticPr fontId="2" type="noConversion"/>
  <conditionalFormatting sqref="A5:A8">
    <cfRule type="expression" dxfId="174" priority="13" stopIfTrue="1">
      <formula>($G5="Fail")</formula>
    </cfRule>
    <cfRule type="expression" dxfId="173" priority="14" stopIfTrue="1">
      <formula>($G5="Pass")</formula>
    </cfRule>
  </conditionalFormatting>
  <conditionalFormatting sqref="A21:F21">
    <cfRule type="expression" dxfId="172" priority="225" stopIfTrue="1">
      <formula>($G22="Pass")</formula>
    </cfRule>
    <cfRule type="expression" dxfId="171" priority="224" stopIfTrue="1">
      <formula>($G22="Fail")</formula>
    </cfRule>
  </conditionalFormatting>
  <conditionalFormatting sqref="A22:F22">
    <cfRule type="expression" dxfId="170" priority="227" stopIfTrue="1">
      <formula>(#REF!="Pass")</formula>
    </cfRule>
    <cfRule type="expression" dxfId="169" priority="226" stopIfTrue="1">
      <formula>(#REF!="Fail")</formula>
    </cfRule>
  </conditionalFormatting>
  <conditionalFormatting sqref="C2:C4">
    <cfRule type="expression" dxfId="168" priority="11" stopIfTrue="1">
      <formula>($G2="Fail")</formula>
    </cfRule>
    <cfRule type="expression" dxfId="167" priority="12" stopIfTrue="1">
      <formula>($G2="Pass")</formula>
    </cfRule>
  </conditionalFormatting>
  <conditionalFormatting sqref="C10:C14">
    <cfRule type="expression" dxfId="166" priority="1" stopIfTrue="1">
      <formula>($G10="Fail")</formula>
    </cfRule>
    <cfRule type="expression" dxfId="165" priority="2" stopIfTrue="1">
      <formula>($G10="Pass")</formula>
    </cfRule>
  </conditionalFormatting>
  <conditionalFormatting sqref="D2:D14">
    <cfRule type="expression" dxfId="164" priority="10" stopIfTrue="1">
      <formula>($G2="Pass")</formula>
    </cfRule>
    <cfRule type="expression" dxfId="163" priority="9" stopIfTrue="1">
      <formula>($G2="Fail")</formula>
    </cfRule>
  </conditionalFormatting>
  <conditionalFormatting sqref="D70:D85">
    <cfRule type="expression" dxfId="162" priority="63" stopIfTrue="1">
      <formula>($G70="Fail")</formula>
    </cfRule>
    <cfRule type="expression" dxfId="161" priority="64" stopIfTrue="1">
      <formula>($G70="Pass")</formula>
    </cfRule>
  </conditionalFormatting>
  <conditionalFormatting sqref="E106 E110">
    <cfRule type="expression" dxfId="160" priority="37" stopIfTrue="1">
      <formula>($G106="Pass")</formula>
    </cfRule>
  </conditionalFormatting>
  <conditionalFormatting sqref="E106:E110">
    <cfRule type="expression" dxfId="159" priority="36" stopIfTrue="1">
      <formula>($G106="Fail")</formula>
    </cfRule>
  </conditionalFormatting>
  <conditionalFormatting sqref="E107:E110">
    <cfRule type="expression" dxfId="158" priority="35" stopIfTrue="1">
      <formula>($G107="Pass")</formula>
    </cfRule>
  </conditionalFormatting>
  <conditionalFormatting sqref="F108:F109">
    <cfRule type="expression" dxfId="157" priority="31" stopIfTrue="1">
      <formula>($G108="Fail")</formula>
    </cfRule>
    <cfRule type="expression" dxfId="156" priority="32" stopIfTrue="1">
      <formula>($G108="Pass")</formula>
    </cfRule>
  </conditionalFormatting>
  <conditionalFormatting sqref="F2:G2 B2:B8 G3:G9 F4:F7 E8:F9 A9:B14 F10:G14 A15:G20 G21:G26 D23:D52 B23:B76 E23:G76 C23:C85 A23:A110 B101:G101 G102:G104">
    <cfRule type="expression" dxfId="155" priority="179" stopIfTrue="1">
      <formula>($G2="Fail")</formula>
    </cfRule>
    <cfRule type="expression" dxfId="154" priority="180" stopIfTrue="1">
      <formula>($G2="Pass")</formula>
    </cfRule>
  </conditionalFormatting>
  <conditionalFormatting sqref="F106:G106">
    <cfRule type="expression" dxfId="153" priority="29" stopIfTrue="1">
      <formula>($G106="Fail")</formula>
    </cfRule>
    <cfRule type="expression" dxfId="152" priority="30" stopIfTrue="1">
      <formula>($G106="Pass")</formula>
    </cfRule>
  </conditionalFormatting>
  <conditionalFormatting sqref="G77:G100">
    <cfRule type="expression" dxfId="151" priority="99" stopIfTrue="1">
      <formula>($G77="Fail")</formula>
    </cfRule>
    <cfRule type="expression" dxfId="150" priority="100" stopIfTrue="1">
      <formula>($G77="Pass")</formula>
    </cfRule>
  </conditionalFormatting>
  <conditionalFormatting sqref="G107:G110">
    <cfRule type="expression" dxfId="149" priority="22" stopIfTrue="1">
      <formula>($G107="Pass")</formula>
    </cfRule>
    <cfRule type="expression" dxfId="148" priority="21" stopIfTrue="1">
      <formula>($G107="Fail")</formula>
    </cfRule>
  </conditionalFormatting>
  <dataValidations count="1">
    <dataValidation type="list" allowBlank="1" showInputMessage="1" showErrorMessage="1" sqref="G1:G1048576" xr:uid="{8C9B7158-30C4-49A9-B4E1-A265D03D5913}">
      <formula1>statuslist</formula1>
    </dataValidation>
  </dataValidations>
  <pageMargins left="0.51181102362204722" right="0.51181102362204722" top="0.74803149606299213" bottom="0.51181102362204722" header="0.51181102362204722" footer="0.51181102362204722"/>
  <pageSetup paperSize="8" scale="62" fitToHeight="0" orientation="landscape" horizontalDpi="4294967295" verticalDpi="4294967295" r:id="rId1"/>
  <headerFooter alignWithMargins="0">
    <oddHeader>&amp;C&amp;"Calibri"&amp;10&amp;K737373 Serco Business - Commercial in Confidence&amp;1#_x000D_</oddHeader>
    <oddFooter>&amp;CSerco Internal</oddFooter>
    <evenFooter>&amp;CSerco Internal</evenFooter>
    <firstFooter>&amp;CSerco Internal</first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1A539-3A9E-4C6D-B38B-62A292B61864}">
  <sheetPr>
    <tabColor theme="9" tint="0.39997558519241921"/>
  </sheetPr>
  <dimension ref="A1:I131"/>
  <sheetViews>
    <sheetView tabSelected="1" zoomScale="86" zoomScaleNormal="86" workbookViewId="0">
      <pane ySplit="1" topLeftCell="A40" activePane="bottomLeft" state="frozen"/>
      <selection pane="bottomLeft" activeCell="A44" sqref="A44:H44"/>
    </sheetView>
  </sheetViews>
  <sheetFormatPr baseColWidth="10" defaultColWidth="8.6640625" defaultRowHeight="13" x14ac:dyDescent="0.15"/>
  <cols>
    <col min="1" max="1" width="11.1640625" style="255" customWidth="1"/>
    <col min="2" max="2" width="44.33203125" style="304" customWidth="1"/>
    <col min="3" max="3" width="42.6640625" style="174" customWidth="1"/>
    <col min="4" max="4" width="33.5" style="333" customWidth="1"/>
    <col min="5" max="5" width="10.5" style="268" bestFit="1" customWidth="1"/>
    <col min="6" max="6" width="11.83203125" style="332" customWidth="1"/>
    <col min="7" max="7" width="15.33203125" style="268" customWidth="1"/>
    <col min="8" max="8" width="46.83203125" style="175" customWidth="1"/>
    <col min="9" max="9" width="27.6640625" style="255" customWidth="1"/>
    <col min="10" max="16384" width="8.6640625" style="255"/>
  </cols>
  <sheetData>
    <row r="1" spans="1:9" ht="28" x14ac:dyDescent="0.15">
      <c r="A1" s="251" t="s">
        <v>60</v>
      </c>
      <c r="B1" s="252" t="s">
        <v>61</v>
      </c>
      <c r="C1" s="252" t="s">
        <v>62</v>
      </c>
      <c r="D1" s="252" t="s">
        <v>63</v>
      </c>
      <c r="E1" s="251" t="s">
        <v>64</v>
      </c>
      <c r="F1" s="253" t="s">
        <v>65</v>
      </c>
      <c r="G1" s="252" t="s">
        <v>66</v>
      </c>
      <c r="H1" s="254" t="s">
        <v>67</v>
      </c>
      <c r="I1" s="252" t="s">
        <v>128</v>
      </c>
    </row>
    <row r="2" spans="1:9" ht="28" x14ac:dyDescent="0.15">
      <c r="A2" s="256" t="s">
        <v>129</v>
      </c>
      <c r="B2" s="257" t="s">
        <v>130</v>
      </c>
      <c r="C2" s="212" t="s">
        <v>131</v>
      </c>
      <c r="D2" s="258" t="s">
        <v>132</v>
      </c>
      <c r="E2" s="259">
        <v>2</v>
      </c>
      <c r="F2" s="260">
        <v>2</v>
      </c>
      <c r="G2" s="261" t="s">
        <v>50</v>
      </c>
      <c r="H2" s="262"/>
      <c r="I2" s="263" t="s">
        <v>70</v>
      </c>
    </row>
    <row r="3" spans="1:9" ht="54.75" customHeight="1" x14ac:dyDescent="0.15">
      <c r="A3" s="256" t="s">
        <v>133</v>
      </c>
      <c r="B3" s="257" t="s">
        <v>130</v>
      </c>
      <c r="C3" s="264" t="s">
        <v>134</v>
      </c>
      <c r="D3" s="265" t="s">
        <v>132</v>
      </c>
      <c r="E3" s="266">
        <v>2</v>
      </c>
      <c r="F3" s="267">
        <v>2</v>
      </c>
      <c r="G3" s="268" t="s">
        <v>50</v>
      </c>
      <c r="H3" s="269" t="s">
        <v>135</v>
      </c>
      <c r="I3" s="270" t="s">
        <v>70</v>
      </c>
    </row>
    <row r="4" spans="1:9" ht="35.25" customHeight="1" x14ac:dyDescent="0.15">
      <c r="A4" s="256" t="s">
        <v>136</v>
      </c>
      <c r="B4" s="257" t="s">
        <v>130</v>
      </c>
      <c r="C4" s="271" t="s">
        <v>137</v>
      </c>
      <c r="D4" s="272" t="s">
        <v>138</v>
      </c>
      <c r="E4" s="259">
        <v>1</v>
      </c>
      <c r="F4" s="259">
        <v>1</v>
      </c>
      <c r="G4" s="268" t="s">
        <v>50</v>
      </c>
      <c r="H4" s="269"/>
      <c r="I4" s="270" t="s">
        <v>70</v>
      </c>
    </row>
    <row r="5" spans="1:9" ht="28.5" customHeight="1" x14ac:dyDescent="0.15">
      <c r="A5" s="256" t="s">
        <v>139</v>
      </c>
      <c r="B5" s="257" t="s">
        <v>130</v>
      </c>
      <c r="C5" s="212" t="s">
        <v>140</v>
      </c>
      <c r="D5" s="258" t="s">
        <v>132</v>
      </c>
      <c r="E5" s="259">
        <v>2</v>
      </c>
      <c r="F5" s="260">
        <v>2</v>
      </c>
      <c r="G5" s="268" t="s">
        <v>50</v>
      </c>
      <c r="H5" s="269"/>
      <c r="I5" s="270" t="s">
        <v>70</v>
      </c>
    </row>
    <row r="6" spans="1:9" ht="28" x14ac:dyDescent="0.15">
      <c r="A6" s="256" t="s">
        <v>141</v>
      </c>
      <c r="B6" s="180" t="s">
        <v>142</v>
      </c>
      <c r="C6" s="271" t="s">
        <v>143</v>
      </c>
      <c r="D6" s="258" t="s">
        <v>132</v>
      </c>
      <c r="E6" s="259">
        <v>2</v>
      </c>
      <c r="F6" s="260">
        <v>2</v>
      </c>
      <c r="G6" s="268" t="s">
        <v>50</v>
      </c>
      <c r="H6" s="269"/>
      <c r="I6" s="270" t="s">
        <v>77</v>
      </c>
    </row>
    <row r="7" spans="1:9" ht="27" customHeight="1" x14ac:dyDescent="0.15">
      <c r="A7" s="256" t="s">
        <v>144</v>
      </c>
      <c r="B7" s="180" t="s">
        <v>142</v>
      </c>
      <c r="C7" s="271" t="s">
        <v>145</v>
      </c>
      <c r="D7" s="258" t="s">
        <v>132</v>
      </c>
      <c r="E7" s="259">
        <v>2</v>
      </c>
      <c r="F7" s="260">
        <v>2</v>
      </c>
      <c r="G7" s="268" t="s">
        <v>50</v>
      </c>
      <c r="H7" s="269" t="s">
        <v>146</v>
      </c>
      <c r="I7" s="270" t="s">
        <v>77</v>
      </c>
    </row>
    <row r="8" spans="1:9" ht="27.75" customHeight="1" x14ac:dyDescent="0.15">
      <c r="A8" s="273" t="s">
        <v>147</v>
      </c>
      <c r="B8" s="180" t="s">
        <v>142</v>
      </c>
      <c r="C8" s="271" t="s">
        <v>148</v>
      </c>
      <c r="D8" s="272" t="s">
        <v>138</v>
      </c>
      <c r="E8" s="259">
        <v>1</v>
      </c>
      <c r="F8" s="260">
        <v>1</v>
      </c>
      <c r="G8" s="274" t="s">
        <v>50</v>
      </c>
      <c r="H8" s="269"/>
      <c r="I8" s="270" t="s">
        <v>77</v>
      </c>
    </row>
    <row r="9" spans="1:9" ht="28" x14ac:dyDescent="0.15">
      <c r="A9" s="275" t="s">
        <v>149</v>
      </c>
      <c r="B9" s="276" t="s">
        <v>142</v>
      </c>
      <c r="C9" s="221" t="s">
        <v>150</v>
      </c>
      <c r="D9" s="277" t="s">
        <v>132</v>
      </c>
      <c r="E9" s="278">
        <v>2</v>
      </c>
      <c r="F9" s="279">
        <v>2</v>
      </c>
      <c r="G9" s="280" t="s">
        <v>55</v>
      </c>
      <c r="H9" s="269" t="s">
        <v>151</v>
      </c>
      <c r="I9" s="270" t="s">
        <v>77</v>
      </c>
    </row>
    <row r="10" spans="1:9" ht="28" x14ac:dyDescent="0.15">
      <c r="A10" s="275" t="s">
        <v>152</v>
      </c>
      <c r="B10" s="276" t="s">
        <v>153</v>
      </c>
      <c r="C10" s="221" t="s">
        <v>143</v>
      </c>
      <c r="D10" s="277" t="s">
        <v>132</v>
      </c>
      <c r="E10" s="278">
        <v>2</v>
      </c>
      <c r="F10" s="279">
        <v>2</v>
      </c>
      <c r="G10" s="280" t="s">
        <v>55</v>
      </c>
      <c r="H10" s="269" t="s">
        <v>154</v>
      </c>
      <c r="I10" s="281" t="s">
        <v>81</v>
      </c>
    </row>
    <row r="11" spans="1:9" ht="27" customHeight="1" x14ac:dyDescent="0.15">
      <c r="A11" s="275" t="s">
        <v>155</v>
      </c>
      <c r="B11" s="282" t="s">
        <v>153</v>
      </c>
      <c r="C11" s="221" t="s">
        <v>145</v>
      </c>
      <c r="D11" s="277" t="s">
        <v>132</v>
      </c>
      <c r="E11" s="278">
        <v>2</v>
      </c>
      <c r="F11" s="279">
        <v>2</v>
      </c>
      <c r="G11" s="280" t="s">
        <v>55</v>
      </c>
      <c r="H11" s="269" t="s">
        <v>154</v>
      </c>
      <c r="I11" s="283" t="s">
        <v>81</v>
      </c>
    </row>
    <row r="12" spans="1:9" ht="14" x14ac:dyDescent="0.15">
      <c r="A12" s="275" t="s">
        <v>156</v>
      </c>
      <c r="B12" s="276" t="s">
        <v>153</v>
      </c>
      <c r="C12" s="221" t="s">
        <v>148</v>
      </c>
      <c r="D12" s="284" t="s">
        <v>138</v>
      </c>
      <c r="E12" s="278">
        <v>1</v>
      </c>
      <c r="F12" s="279">
        <v>1</v>
      </c>
      <c r="G12" s="280" t="s">
        <v>55</v>
      </c>
      <c r="H12" s="269" t="s">
        <v>154</v>
      </c>
      <c r="I12" s="283" t="s">
        <v>81</v>
      </c>
    </row>
    <row r="13" spans="1:9" ht="44.25" customHeight="1" x14ac:dyDescent="0.15">
      <c r="A13" s="275" t="s">
        <v>157</v>
      </c>
      <c r="B13" s="282" t="s">
        <v>153</v>
      </c>
      <c r="C13" s="221" t="s">
        <v>150</v>
      </c>
      <c r="D13" s="277" t="s">
        <v>132</v>
      </c>
      <c r="E13" s="278">
        <v>2</v>
      </c>
      <c r="F13" s="279">
        <v>2</v>
      </c>
      <c r="G13" s="280" t="s">
        <v>55</v>
      </c>
      <c r="H13" s="269" t="s">
        <v>154</v>
      </c>
      <c r="I13" s="283" t="s">
        <v>81</v>
      </c>
    </row>
    <row r="14" spans="1:9" ht="28" x14ac:dyDescent="0.15">
      <c r="A14" s="285" t="s">
        <v>158</v>
      </c>
      <c r="B14" s="180" t="s">
        <v>159</v>
      </c>
      <c r="C14" s="212" t="s">
        <v>131</v>
      </c>
      <c r="D14" s="258" t="s">
        <v>132</v>
      </c>
      <c r="E14" s="259">
        <v>2</v>
      </c>
      <c r="F14" s="260">
        <v>2</v>
      </c>
      <c r="G14" s="268" t="s">
        <v>50</v>
      </c>
      <c r="H14" s="269" t="s">
        <v>160</v>
      </c>
      <c r="I14" s="286" t="s">
        <v>85</v>
      </c>
    </row>
    <row r="15" spans="1:9" ht="63" customHeight="1" x14ac:dyDescent="0.15">
      <c r="A15" s="285" t="s">
        <v>161</v>
      </c>
      <c r="B15" s="180" t="s">
        <v>159</v>
      </c>
      <c r="C15" s="212" t="s">
        <v>162</v>
      </c>
      <c r="D15" s="287" t="s">
        <v>132</v>
      </c>
      <c r="E15" s="259">
        <v>2</v>
      </c>
      <c r="F15" s="260">
        <v>2</v>
      </c>
      <c r="G15" s="268" t="s">
        <v>50</v>
      </c>
      <c r="H15" s="269" t="s">
        <v>135</v>
      </c>
      <c r="I15" s="288" t="s">
        <v>85</v>
      </c>
    </row>
    <row r="16" spans="1:9" ht="14" x14ac:dyDescent="0.15">
      <c r="A16" s="289" t="s">
        <v>163</v>
      </c>
      <c r="B16" s="180" t="s">
        <v>159</v>
      </c>
      <c r="C16" s="271" t="s">
        <v>137</v>
      </c>
      <c r="D16" s="272" t="s">
        <v>138</v>
      </c>
      <c r="E16" s="259">
        <v>1</v>
      </c>
      <c r="F16" s="259">
        <v>1</v>
      </c>
      <c r="G16" s="268" t="s">
        <v>50</v>
      </c>
      <c r="H16" s="269"/>
      <c r="I16" s="283" t="s">
        <v>85</v>
      </c>
    </row>
    <row r="17" spans="1:9" ht="28" x14ac:dyDescent="0.15">
      <c r="A17" s="289" t="s">
        <v>164</v>
      </c>
      <c r="B17" s="180" t="s">
        <v>159</v>
      </c>
      <c r="C17" s="212" t="s">
        <v>140</v>
      </c>
      <c r="D17" s="258" t="s">
        <v>132</v>
      </c>
      <c r="E17" s="259">
        <v>2</v>
      </c>
      <c r="F17" s="260">
        <v>2</v>
      </c>
      <c r="G17" s="274" t="s">
        <v>50</v>
      </c>
      <c r="H17" s="269"/>
      <c r="I17" s="283" t="s">
        <v>85</v>
      </c>
    </row>
    <row r="18" spans="1:9" ht="28" x14ac:dyDescent="0.15">
      <c r="A18" s="256" t="s">
        <v>165</v>
      </c>
      <c r="B18" s="271" t="s">
        <v>90</v>
      </c>
      <c r="C18" s="212" t="s">
        <v>131</v>
      </c>
      <c r="D18" s="287" t="s">
        <v>132</v>
      </c>
      <c r="E18" s="259">
        <v>2</v>
      </c>
      <c r="F18" s="259">
        <v>2</v>
      </c>
      <c r="G18" s="268" t="s">
        <v>50</v>
      </c>
      <c r="H18" s="290"/>
      <c r="I18" s="281" t="s">
        <v>89</v>
      </c>
    </row>
    <row r="19" spans="1:9" ht="47.25" customHeight="1" x14ac:dyDescent="0.15">
      <c r="A19" s="256" t="s">
        <v>166</v>
      </c>
      <c r="B19" s="271" t="s">
        <v>90</v>
      </c>
      <c r="C19" s="212" t="s">
        <v>134</v>
      </c>
      <c r="D19" s="287" t="s">
        <v>132</v>
      </c>
      <c r="E19" s="259">
        <v>2</v>
      </c>
      <c r="F19" s="259">
        <v>2</v>
      </c>
      <c r="G19" s="268" t="s">
        <v>50</v>
      </c>
      <c r="H19" s="290" t="s">
        <v>167</v>
      </c>
      <c r="I19" s="281" t="s">
        <v>89</v>
      </c>
    </row>
    <row r="20" spans="1:9" ht="28" x14ac:dyDescent="0.15">
      <c r="A20" s="256" t="s">
        <v>168</v>
      </c>
      <c r="B20" s="291" t="s">
        <v>169</v>
      </c>
      <c r="C20" s="212" t="s">
        <v>131</v>
      </c>
      <c r="D20" s="287" t="s">
        <v>132</v>
      </c>
      <c r="E20" s="259">
        <v>2</v>
      </c>
      <c r="F20" s="259">
        <v>2</v>
      </c>
      <c r="G20" s="268" t="s">
        <v>50</v>
      </c>
      <c r="H20" s="290"/>
      <c r="I20" s="292" t="s">
        <v>93</v>
      </c>
    </row>
    <row r="21" spans="1:9" ht="69" customHeight="1" x14ac:dyDescent="0.15">
      <c r="A21" s="256" t="s">
        <v>170</v>
      </c>
      <c r="B21" s="291" t="s">
        <v>169</v>
      </c>
      <c r="C21" s="212" t="s">
        <v>134</v>
      </c>
      <c r="D21" s="287" t="s">
        <v>132</v>
      </c>
      <c r="E21" s="259">
        <v>2</v>
      </c>
      <c r="F21" s="259">
        <v>2</v>
      </c>
      <c r="G21" s="268" t="s">
        <v>50</v>
      </c>
      <c r="H21" s="290" t="s">
        <v>167</v>
      </c>
      <c r="I21" s="292" t="s">
        <v>93</v>
      </c>
    </row>
    <row r="22" spans="1:9" ht="42" x14ac:dyDescent="0.15">
      <c r="A22" s="275" t="s">
        <v>171</v>
      </c>
      <c r="B22" s="276" t="s">
        <v>172</v>
      </c>
      <c r="C22" s="221" t="s">
        <v>173</v>
      </c>
      <c r="D22" s="293" t="s">
        <v>174</v>
      </c>
      <c r="E22" s="278">
        <v>1</v>
      </c>
      <c r="F22" s="279">
        <v>1</v>
      </c>
      <c r="G22" s="280" t="s">
        <v>55</v>
      </c>
      <c r="H22" s="290" t="s">
        <v>175</v>
      </c>
      <c r="I22" s="281" t="s">
        <v>70</v>
      </c>
    </row>
    <row r="23" spans="1:9" ht="14" x14ac:dyDescent="0.15">
      <c r="A23" s="273" t="s">
        <v>176</v>
      </c>
      <c r="B23" s="180" t="s">
        <v>142</v>
      </c>
      <c r="C23" s="212" t="s">
        <v>173</v>
      </c>
      <c r="D23" s="287" t="s">
        <v>174</v>
      </c>
      <c r="E23" s="259">
        <v>1</v>
      </c>
      <c r="F23" s="260">
        <v>1</v>
      </c>
      <c r="G23" s="274" t="s">
        <v>50</v>
      </c>
      <c r="H23" s="290"/>
      <c r="I23" s="281" t="s">
        <v>77</v>
      </c>
    </row>
    <row r="24" spans="1:9" ht="14" x14ac:dyDescent="0.15">
      <c r="A24" s="275" t="s">
        <v>177</v>
      </c>
      <c r="B24" s="276" t="s">
        <v>153</v>
      </c>
      <c r="C24" s="221" t="s">
        <v>173</v>
      </c>
      <c r="D24" s="293" t="s">
        <v>174</v>
      </c>
      <c r="E24" s="278">
        <v>1</v>
      </c>
      <c r="F24" s="279">
        <v>1</v>
      </c>
      <c r="G24" s="280" t="s">
        <v>55</v>
      </c>
      <c r="H24" s="269" t="s">
        <v>154</v>
      </c>
      <c r="I24" s="281" t="s">
        <v>81</v>
      </c>
    </row>
    <row r="25" spans="1:9" ht="42" x14ac:dyDescent="0.15">
      <c r="A25" s="275" t="s">
        <v>178</v>
      </c>
      <c r="B25" s="276" t="s">
        <v>159</v>
      </c>
      <c r="C25" s="221" t="s">
        <v>173</v>
      </c>
      <c r="D25" s="293" t="s">
        <v>174</v>
      </c>
      <c r="E25" s="278">
        <v>1</v>
      </c>
      <c r="F25" s="279">
        <v>1</v>
      </c>
      <c r="G25" s="280" t="s">
        <v>55</v>
      </c>
      <c r="H25" s="290" t="s">
        <v>175</v>
      </c>
      <c r="I25" s="281" t="s">
        <v>85</v>
      </c>
    </row>
    <row r="26" spans="1:9" ht="56" x14ac:dyDescent="0.15">
      <c r="A26" s="256" t="s">
        <v>179</v>
      </c>
      <c r="B26" s="180" t="s">
        <v>180</v>
      </c>
      <c r="C26" s="294" t="s">
        <v>181</v>
      </c>
      <c r="D26" s="294" t="s">
        <v>182</v>
      </c>
      <c r="E26" s="259">
        <v>3</v>
      </c>
      <c r="F26" s="260">
        <v>3</v>
      </c>
      <c r="G26" s="268" t="s">
        <v>50</v>
      </c>
      <c r="H26" s="295"/>
      <c r="I26" s="281" t="s">
        <v>97</v>
      </c>
    </row>
    <row r="27" spans="1:9" ht="42" x14ac:dyDescent="0.15">
      <c r="A27" s="256" t="s">
        <v>183</v>
      </c>
      <c r="B27" s="180" t="s">
        <v>184</v>
      </c>
      <c r="C27" s="294" t="s">
        <v>185</v>
      </c>
      <c r="D27" s="294" t="s">
        <v>182</v>
      </c>
      <c r="E27" s="259">
        <v>3</v>
      </c>
      <c r="F27" s="259">
        <v>3</v>
      </c>
      <c r="G27" s="268" t="s">
        <v>50</v>
      </c>
      <c r="H27" s="295"/>
      <c r="I27" s="296" t="s">
        <v>186</v>
      </c>
    </row>
    <row r="28" spans="1:9" ht="70" x14ac:dyDescent="0.15">
      <c r="A28" s="273" t="s">
        <v>187</v>
      </c>
      <c r="B28" s="297" t="s">
        <v>172</v>
      </c>
      <c r="C28" s="298" t="s">
        <v>188</v>
      </c>
      <c r="D28" s="186" t="s">
        <v>189</v>
      </c>
      <c r="E28" s="299">
        <v>5</v>
      </c>
      <c r="F28" s="259">
        <v>5</v>
      </c>
      <c r="G28" s="268" t="s">
        <v>50</v>
      </c>
      <c r="H28" s="300"/>
      <c r="I28" s="301" t="s">
        <v>97</v>
      </c>
    </row>
    <row r="29" spans="1:9" ht="70" x14ac:dyDescent="0.15">
      <c r="A29" s="275" t="s">
        <v>190</v>
      </c>
      <c r="B29" s="276" t="s">
        <v>184</v>
      </c>
      <c r="C29" s="302" t="s">
        <v>191</v>
      </c>
      <c r="D29" s="222" t="s">
        <v>189</v>
      </c>
      <c r="E29" s="303">
        <v>5</v>
      </c>
      <c r="F29" s="278">
        <v>5</v>
      </c>
      <c r="G29" s="280" t="s">
        <v>55</v>
      </c>
      <c r="H29" s="300" t="s">
        <v>192</v>
      </c>
      <c r="I29" s="301" t="s">
        <v>101</v>
      </c>
    </row>
    <row r="30" spans="1:9" ht="42" x14ac:dyDescent="0.15">
      <c r="A30" s="175" t="s">
        <v>193</v>
      </c>
      <c r="B30" s="304" t="s">
        <v>172</v>
      </c>
      <c r="C30" s="190" t="s">
        <v>194</v>
      </c>
      <c r="D30" s="191" t="s">
        <v>195</v>
      </c>
      <c r="E30" s="274">
        <v>3</v>
      </c>
      <c r="F30" s="305">
        <v>3</v>
      </c>
      <c r="G30" s="274" t="s">
        <v>50</v>
      </c>
      <c r="H30" s="306" t="s">
        <v>196</v>
      </c>
      <c r="I30" s="307" t="s">
        <v>105</v>
      </c>
    </row>
    <row r="31" spans="1:9" ht="42" x14ac:dyDescent="0.15">
      <c r="A31" s="175" t="s">
        <v>197</v>
      </c>
      <c r="B31" s="308" t="s">
        <v>142</v>
      </c>
      <c r="C31" s="190" t="s">
        <v>194</v>
      </c>
      <c r="D31" s="191" t="s">
        <v>198</v>
      </c>
      <c r="E31" s="274">
        <v>3</v>
      </c>
      <c r="F31" s="305">
        <v>3</v>
      </c>
      <c r="G31" s="268" t="s">
        <v>50</v>
      </c>
      <c r="H31" s="309" t="s">
        <v>196</v>
      </c>
      <c r="I31" s="310" t="s">
        <v>109</v>
      </c>
    </row>
    <row r="32" spans="1:9" ht="28" x14ac:dyDescent="0.15">
      <c r="A32" s="175" t="s">
        <v>199</v>
      </c>
      <c r="B32" s="180" t="s">
        <v>172</v>
      </c>
      <c r="C32" s="190" t="s">
        <v>200</v>
      </c>
      <c r="D32" s="193" t="s">
        <v>201</v>
      </c>
      <c r="E32" s="274">
        <v>2</v>
      </c>
      <c r="F32" s="305">
        <v>2</v>
      </c>
      <c r="G32" s="268" t="s">
        <v>50</v>
      </c>
      <c r="H32" s="262"/>
      <c r="I32" s="311" t="s">
        <v>105</v>
      </c>
    </row>
    <row r="33" spans="1:9" ht="28" x14ac:dyDescent="0.15">
      <c r="A33" s="175" t="s">
        <v>202</v>
      </c>
      <c r="B33" s="180" t="s">
        <v>142</v>
      </c>
      <c r="C33" s="190" t="s">
        <v>200</v>
      </c>
      <c r="D33" s="193" t="s">
        <v>201</v>
      </c>
      <c r="E33" s="274">
        <v>2</v>
      </c>
      <c r="F33" s="305">
        <v>2</v>
      </c>
      <c r="G33" s="268" t="s">
        <v>50</v>
      </c>
      <c r="H33" s="262"/>
      <c r="I33" s="281" t="s">
        <v>109</v>
      </c>
    </row>
    <row r="34" spans="1:9" ht="56" x14ac:dyDescent="0.15">
      <c r="A34" s="312" t="s">
        <v>203</v>
      </c>
      <c r="B34" s="297" t="s">
        <v>172</v>
      </c>
      <c r="C34" s="223" t="s">
        <v>204</v>
      </c>
      <c r="D34" s="224" t="s">
        <v>205</v>
      </c>
      <c r="E34" s="280">
        <v>4</v>
      </c>
      <c r="F34" s="313">
        <v>4</v>
      </c>
      <c r="G34" s="280" t="s">
        <v>55</v>
      </c>
      <c r="H34" s="262" t="s">
        <v>206</v>
      </c>
      <c r="I34" s="301" t="s">
        <v>70</v>
      </c>
    </row>
    <row r="35" spans="1:9" ht="56" x14ac:dyDescent="0.15">
      <c r="A35" s="314" t="s">
        <v>207</v>
      </c>
      <c r="B35" s="180" t="s">
        <v>142</v>
      </c>
      <c r="C35" s="213" t="s">
        <v>204</v>
      </c>
      <c r="D35" s="193" t="s">
        <v>205</v>
      </c>
      <c r="E35" s="274">
        <v>4</v>
      </c>
      <c r="F35" s="305">
        <v>4</v>
      </c>
      <c r="G35" s="274" t="s">
        <v>50</v>
      </c>
      <c r="H35" s="262"/>
      <c r="I35" s="301" t="s">
        <v>77</v>
      </c>
    </row>
    <row r="36" spans="1:9" ht="42" x14ac:dyDescent="0.15">
      <c r="A36" s="175" t="s">
        <v>208</v>
      </c>
      <c r="B36" s="315" t="s">
        <v>153</v>
      </c>
      <c r="C36" s="190" t="s">
        <v>194</v>
      </c>
      <c r="D36" s="191" t="s">
        <v>195</v>
      </c>
      <c r="E36" s="274">
        <v>3</v>
      </c>
      <c r="F36" s="305">
        <v>3</v>
      </c>
      <c r="G36" s="268" t="s">
        <v>50</v>
      </c>
      <c r="H36" s="309" t="s">
        <v>196</v>
      </c>
      <c r="I36" s="301" t="s">
        <v>112</v>
      </c>
    </row>
    <row r="37" spans="1:9" ht="28" x14ac:dyDescent="0.15">
      <c r="A37" s="316" t="s">
        <v>209</v>
      </c>
      <c r="B37" s="317" t="s">
        <v>210</v>
      </c>
      <c r="C37" s="194" t="s">
        <v>200</v>
      </c>
      <c r="D37" s="195" t="s">
        <v>201</v>
      </c>
      <c r="E37" s="318">
        <v>2</v>
      </c>
      <c r="F37" s="319">
        <v>2</v>
      </c>
      <c r="G37" s="320" t="s">
        <v>50</v>
      </c>
      <c r="H37" s="262" t="s">
        <v>211</v>
      </c>
      <c r="I37" s="321" t="s">
        <v>112</v>
      </c>
    </row>
    <row r="38" spans="1:9" ht="70" x14ac:dyDescent="0.15">
      <c r="A38" s="322" t="s">
        <v>212</v>
      </c>
      <c r="B38" s="323" t="s">
        <v>213</v>
      </c>
      <c r="C38" s="213" t="s">
        <v>214</v>
      </c>
      <c r="D38" s="193" t="s">
        <v>205</v>
      </c>
      <c r="E38" s="274">
        <v>5</v>
      </c>
      <c r="F38" s="305">
        <v>5</v>
      </c>
      <c r="G38" s="324" t="s">
        <v>50</v>
      </c>
      <c r="H38" s="262" t="s">
        <v>215</v>
      </c>
      <c r="I38" s="281" t="s">
        <v>81</v>
      </c>
    </row>
    <row r="39" spans="1:9" ht="28" x14ac:dyDescent="0.15">
      <c r="A39" s="175" t="s">
        <v>216</v>
      </c>
      <c r="B39" s="308" t="s">
        <v>217</v>
      </c>
      <c r="C39" s="212" t="s">
        <v>131</v>
      </c>
      <c r="D39" s="258" t="s">
        <v>132</v>
      </c>
      <c r="E39" s="259">
        <v>2</v>
      </c>
      <c r="F39" s="260">
        <v>2</v>
      </c>
      <c r="G39" s="268" t="s">
        <v>50</v>
      </c>
      <c r="H39" s="262"/>
      <c r="I39" s="281" t="s">
        <v>115</v>
      </c>
    </row>
    <row r="40" spans="1:9" ht="252" x14ac:dyDescent="0.15">
      <c r="A40" s="175" t="s">
        <v>218</v>
      </c>
      <c r="B40" s="180" t="s">
        <v>217</v>
      </c>
      <c r="C40" s="212" t="s">
        <v>134</v>
      </c>
      <c r="D40" s="287" t="s">
        <v>132</v>
      </c>
      <c r="E40" s="259">
        <v>2</v>
      </c>
      <c r="F40" s="260">
        <v>2</v>
      </c>
      <c r="G40" s="268" t="s">
        <v>50</v>
      </c>
      <c r="H40" s="269" t="s">
        <v>135</v>
      </c>
      <c r="I40" s="281" t="s">
        <v>115</v>
      </c>
    </row>
    <row r="41" spans="1:9" ht="14" x14ac:dyDescent="0.15">
      <c r="A41" s="175" t="s">
        <v>219</v>
      </c>
      <c r="B41" s="180" t="s">
        <v>217</v>
      </c>
      <c r="C41" s="271" t="s">
        <v>137</v>
      </c>
      <c r="D41" s="272" t="s">
        <v>138</v>
      </c>
      <c r="E41" s="259">
        <v>1</v>
      </c>
      <c r="F41" s="259">
        <v>1</v>
      </c>
      <c r="G41" s="268" t="s">
        <v>50</v>
      </c>
      <c r="H41" s="269"/>
      <c r="I41" s="281" t="s">
        <v>115</v>
      </c>
    </row>
    <row r="42" spans="1:9" ht="28" x14ac:dyDescent="0.15">
      <c r="A42" s="175" t="s">
        <v>220</v>
      </c>
      <c r="B42" s="180" t="s">
        <v>217</v>
      </c>
      <c r="C42" s="212" t="s">
        <v>140</v>
      </c>
      <c r="D42" s="258" t="s">
        <v>132</v>
      </c>
      <c r="E42" s="259">
        <v>2</v>
      </c>
      <c r="F42" s="260">
        <v>2</v>
      </c>
      <c r="G42" s="268" t="s">
        <v>50</v>
      </c>
      <c r="H42" s="269"/>
      <c r="I42" s="281" t="s">
        <v>115</v>
      </c>
    </row>
    <row r="43" spans="1:9" ht="28" x14ac:dyDescent="0.15">
      <c r="A43" s="175" t="s">
        <v>221</v>
      </c>
      <c r="B43" s="180" t="s">
        <v>120</v>
      </c>
      <c r="C43" s="271" t="s">
        <v>143</v>
      </c>
      <c r="D43" s="258" t="s">
        <v>132</v>
      </c>
      <c r="E43" s="259">
        <v>2</v>
      </c>
      <c r="F43" s="260">
        <v>2</v>
      </c>
      <c r="G43" s="268" t="s">
        <v>50</v>
      </c>
      <c r="H43" s="269"/>
      <c r="I43" s="301" t="s">
        <v>119</v>
      </c>
    </row>
    <row r="44" spans="1:9" ht="252" x14ac:dyDescent="0.15">
      <c r="A44" s="175" t="s">
        <v>222</v>
      </c>
      <c r="B44" s="180" t="s">
        <v>120</v>
      </c>
      <c r="C44" s="271" t="s">
        <v>145</v>
      </c>
      <c r="D44" s="258" t="s">
        <v>132</v>
      </c>
      <c r="E44" s="259">
        <v>2</v>
      </c>
      <c r="F44" s="260">
        <v>2</v>
      </c>
      <c r="G44" s="268" t="s">
        <v>50</v>
      </c>
      <c r="H44" s="325" t="s">
        <v>223</v>
      </c>
      <c r="I44" s="301" t="s">
        <v>119</v>
      </c>
    </row>
    <row r="45" spans="1:9" ht="68.25" customHeight="1" x14ac:dyDescent="0.15">
      <c r="A45" s="175" t="s">
        <v>224</v>
      </c>
      <c r="B45" s="180" t="s">
        <v>120</v>
      </c>
      <c r="C45" s="271" t="s">
        <v>148</v>
      </c>
      <c r="D45" s="272" t="s">
        <v>138</v>
      </c>
      <c r="E45" s="259">
        <v>2</v>
      </c>
      <c r="F45" s="260">
        <v>2</v>
      </c>
      <c r="G45" s="268" t="s">
        <v>50</v>
      </c>
      <c r="H45" s="269" t="s">
        <v>225</v>
      </c>
      <c r="I45" s="301" t="s">
        <v>119</v>
      </c>
    </row>
    <row r="46" spans="1:9" ht="28" x14ac:dyDescent="0.15">
      <c r="A46" s="312" t="s">
        <v>226</v>
      </c>
      <c r="B46" s="276" t="s">
        <v>120</v>
      </c>
      <c r="C46" s="221" t="s">
        <v>150</v>
      </c>
      <c r="D46" s="277" t="s">
        <v>132</v>
      </c>
      <c r="E46" s="278">
        <v>2</v>
      </c>
      <c r="F46" s="279">
        <v>2</v>
      </c>
      <c r="G46" s="280" t="s">
        <v>55</v>
      </c>
      <c r="H46" s="269" t="s">
        <v>151</v>
      </c>
      <c r="I46" s="301" t="s">
        <v>119</v>
      </c>
    </row>
    <row r="47" spans="1:9" ht="62.25" customHeight="1" x14ac:dyDescent="0.15">
      <c r="A47" s="322" t="s">
        <v>126</v>
      </c>
      <c r="B47" s="326" t="s">
        <v>227</v>
      </c>
      <c r="C47" s="214" t="s">
        <v>228</v>
      </c>
      <c r="D47" s="190"/>
      <c r="E47" s="274">
        <v>2</v>
      </c>
      <c r="F47" s="260">
        <v>2</v>
      </c>
      <c r="G47" s="274" t="s">
        <v>50</v>
      </c>
      <c r="H47" s="309"/>
      <c r="I47" s="255" t="s">
        <v>123</v>
      </c>
    </row>
    <row r="48" spans="1:9" x14ac:dyDescent="0.15">
      <c r="A48" s="175"/>
      <c r="C48" s="115"/>
      <c r="D48" s="173"/>
      <c r="F48" s="327"/>
      <c r="H48" s="309"/>
      <c r="I48" s="328"/>
    </row>
    <row r="49" spans="1:9" x14ac:dyDescent="0.15">
      <c r="A49" s="175"/>
      <c r="B49" s="180"/>
      <c r="C49" s="164"/>
      <c r="D49" s="173"/>
      <c r="E49" s="329"/>
      <c r="F49" s="327"/>
      <c r="H49" s="330"/>
      <c r="I49" s="331"/>
    </row>
    <row r="50" spans="1:9" x14ac:dyDescent="0.15">
      <c r="A50" s="175"/>
      <c r="C50" s="115"/>
      <c r="D50" s="173"/>
      <c r="I50" s="331"/>
    </row>
    <row r="51" spans="1:9" x14ac:dyDescent="0.15">
      <c r="A51" s="175"/>
      <c r="C51" s="115"/>
      <c r="D51" s="173"/>
      <c r="I51" s="331"/>
    </row>
    <row r="52" spans="1:9" x14ac:dyDescent="0.15">
      <c r="A52" s="175"/>
      <c r="C52" s="115"/>
      <c r="D52" s="173"/>
      <c r="I52" s="331"/>
    </row>
    <row r="53" spans="1:9" x14ac:dyDescent="0.15">
      <c r="A53" s="175"/>
      <c r="C53" s="115"/>
      <c r="D53" s="173"/>
      <c r="I53" s="331"/>
    </row>
    <row r="54" spans="1:9" x14ac:dyDescent="0.15">
      <c r="A54" s="175"/>
      <c r="C54" s="115"/>
      <c r="D54" s="173"/>
      <c r="I54" s="331"/>
    </row>
    <row r="55" spans="1:9" x14ac:dyDescent="0.15">
      <c r="A55" s="175"/>
      <c r="C55" s="115"/>
      <c r="D55" s="173"/>
      <c r="G55" s="329"/>
      <c r="H55" s="292"/>
      <c r="I55" s="331"/>
    </row>
    <row r="56" spans="1:9" x14ac:dyDescent="0.15">
      <c r="A56" s="175"/>
      <c r="C56" s="115"/>
      <c r="I56" s="331"/>
    </row>
    <row r="57" spans="1:9" x14ac:dyDescent="0.15">
      <c r="A57" s="175"/>
      <c r="C57" s="115"/>
      <c r="I57" s="331"/>
    </row>
    <row r="58" spans="1:9" x14ac:dyDescent="0.15">
      <c r="A58" s="175"/>
      <c r="C58" s="115"/>
      <c r="I58" s="331"/>
    </row>
    <row r="59" spans="1:9" x14ac:dyDescent="0.15">
      <c r="A59" s="175"/>
      <c r="C59" s="115"/>
      <c r="I59" s="331"/>
    </row>
    <row r="60" spans="1:9" x14ac:dyDescent="0.15">
      <c r="A60" s="175"/>
      <c r="C60" s="115"/>
      <c r="I60" s="331"/>
    </row>
    <row r="61" spans="1:9" x14ac:dyDescent="0.15">
      <c r="A61" s="175"/>
      <c r="C61" s="175"/>
      <c r="I61" s="331"/>
    </row>
    <row r="62" spans="1:9" x14ac:dyDescent="0.15">
      <c r="A62" s="175"/>
      <c r="C62" s="115"/>
    </row>
    <row r="63" spans="1:9" x14ac:dyDescent="0.15">
      <c r="A63" s="175"/>
      <c r="C63" s="115"/>
    </row>
    <row r="64" spans="1:9" x14ac:dyDescent="0.15">
      <c r="A64" s="175"/>
      <c r="C64" s="115"/>
    </row>
    <row r="65" spans="1:9" x14ac:dyDescent="0.15">
      <c r="A65" s="175"/>
      <c r="C65" s="115"/>
      <c r="I65" s="328"/>
    </row>
    <row r="66" spans="1:9" x14ac:dyDescent="0.15">
      <c r="A66" s="175"/>
      <c r="C66" s="115"/>
      <c r="I66" s="328"/>
    </row>
    <row r="67" spans="1:9" x14ac:dyDescent="0.15">
      <c r="A67" s="175"/>
      <c r="C67" s="185"/>
      <c r="I67" s="328"/>
    </row>
    <row r="68" spans="1:9" x14ac:dyDescent="0.15">
      <c r="A68" s="175"/>
      <c r="C68" s="115"/>
      <c r="H68" s="262"/>
      <c r="I68" s="331"/>
    </row>
    <row r="69" spans="1:9" x14ac:dyDescent="0.15">
      <c r="A69" s="175"/>
      <c r="C69" s="115"/>
      <c r="I69" s="331"/>
    </row>
    <row r="70" spans="1:9" x14ac:dyDescent="0.15">
      <c r="A70" s="175"/>
      <c r="B70" s="180"/>
      <c r="C70" s="185"/>
      <c r="I70" s="328"/>
    </row>
    <row r="71" spans="1:9" x14ac:dyDescent="0.15">
      <c r="A71" s="175"/>
      <c r="B71" s="180"/>
      <c r="C71" s="185"/>
      <c r="I71" s="328"/>
    </row>
    <row r="72" spans="1:9" x14ac:dyDescent="0.15">
      <c r="A72" s="175"/>
      <c r="B72" s="180"/>
      <c r="C72" s="185"/>
      <c r="I72" s="328"/>
    </row>
    <row r="73" spans="1:9" x14ac:dyDescent="0.15">
      <c r="A73" s="175"/>
      <c r="B73" s="180"/>
      <c r="C73" s="185"/>
      <c r="I73" s="328"/>
    </row>
    <row r="74" spans="1:9" x14ac:dyDescent="0.15">
      <c r="A74" s="175"/>
      <c r="B74" s="180"/>
      <c r="C74" s="185"/>
      <c r="I74" s="328"/>
    </row>
    <row r="75" spans="1:9" x14ac:dyDescent="0.15">
      <c r="A75" s="175"/>
      <c r="B75" s="180"/>
      <c r="C75" s="185"/>
      <c r="I75" s="328"/>
    </row>
    <row r="76" spans="1:9" x14ac:dyDescent="0.15">
      <c r="A76" s="175"/>
      <c r="B76" s="180"/>
      <c r="C76" s="115"/>
    </row>
    <row r="77" spans="1:9" x14ac:dyDescent="0.15">
      <c r="A77" s="175"/>
      <c r="B77" s="180"/>
      <c r="C77" s="185"/>
      <c r="I77" s="328"/>
    </row>
    <row r="78" spans="1:9" x14ac:dyDescent="0.15">
      <c r="A78" s="175"/>
      <c r="B78" s="180"/>
      <c r="C78" s="185"/>
      <c r="I78" s="304"/>
    </row>
    <row r="79" spans="1:9" x14ac:dyDescent="0.15">
      <c r="A79" s="175"/>
      <c r="B79" s="180"/>
      <c r="C79" s="115"/>
    </row>
    <row r="80" spans="1:9" x14ac:dyDescent="0.15">
      <c r="A80" s="175"/>
      <c r="B80" s="180"/>
      <c r="C80" s="115"/>
    </row>
    <row r="81" spans="1:9" x14ac:dyDescent="0.15">
      <c r="A81" s="175"/>
      <c r="B81" s="180"/>
      <c r="C81" s="115"/>
      <c r="I81" s="331"/>
    </row>
    <row r="82" spans="1:9" x14ac:dyDescent="0.15">
      <c r="A82" s="175"/>
      <c r="B82" s="180"/>
      <c r="I82" s="334"/>
    </row>
    <row r="83" spans="1:9" x14ac:dyDescent="0.15">
      <c r="A83" s="175"/>
      <c r="B83" s="180"/>
      <c r="C83" s="115"/>
    </row>
    <row r="84" spans="1:9" x14ac:dyDescent="0.15">
      <c r="A84" s="175"/>
      <c r="B84" s="180"/>
      <c r="C84" s="185"/>
      <c r="H84" s="262"/>
      <c r="I84" s="335"/>
    </row>
    <row r="85" spans="1:9" x14ac:dyDescent="0.15">
      <c r="A85" s="175"/>
      <c r="B85" s="180"/>
      <c r="C85" s="115"/>
    </row>
    <row r="86" spans="1:9" x14ac:dyDescent="0.15">
      <c r="A86" s="175"/>
      <c r="B86" s="180"/>
      <c r="C86" s="115"/>
    </row>
    <row r="87" spans="1:9" x14ac:dyDescent="0.15">
      <c r="A87" s="175"/>
      <c r="C87" s="115"/>
    </row>
    <row r="88" spans="1:9" x14ac:dyDescent="0.15">
      <c r="A88" s="175"/>
      <c r="B88" s="180"/>
      <c r="C88" s="185"/>
      <c r="H88" s="262"/>
      <c r="I88" s="335"/>
    </row>
    <row r="89" spans="1:9" x14ac:dyDescent="0.15">
      <c r="A89" s="175"/>
      <c r="B89" s="180"/>
      <c r="C89" s="115"/>
      <c r="H89" s="336"/>
    </row>
    <row r="90" spans="1:9" x14ac:dyDescent="0.15">
      <c r="A90" s="175"/>
      <c r="B90" s="180"/>
      <c r="C90" s="185"/>
    </row>
    <row r="91" spans="1:9" x14ac:dyDescent="0.15">
      <c r="A91" s="175"/>
      <c r="B91" s="180"/>
      <c r="C91" s="185"/>
    </row>
    <row r="92" spans="1:9" x14ac:dyDescent="0.15">
      <c r="A92" s="175"/>
      <c r="B92" s="180"/>
      <c r="C92" s="185"/>
    </row>
    <row r="93" spans="1:9" x14ac:dyDescent="0.15">
      <c r="A93" s="175"/>
      <c r="B93" s="180"/>
      <c r="C93" s="115"/>
    </row>
    <row r="94" spans="1:9" x14ac:dyDescent="0.15">
      <c r="A94" s="175"/>
      <c r="B94" s="180"/>
      <c r="C94" s="180"/>
      <c r="H94" s="337"/>
      <c r="I94" s="328"/>
    </row>
    <row r="95" spans="1:9" x14ac:dyDescent="0.15">
      <c r="A95" s="175"/>
      <c r="B95" s="180"/>
      <c r="C95" s="185"/>
      <c r="H95" s="262"/>
      <c r="I95" s="335"/>
    </row>
    <row r="96" spans="1:9" x14ac:dyDescent="0.15">
      <c r="A96" s="175"/>
      <c r="B96" s="180"/>
      <c r="C96" s="185"/>
      <c r="H96" s="262"/>
      <c r="I96" s="335"/>
    </row>
    <row r="97" spans="1:9" x14ac:dyDescent="0.15">
      <c r="A97" s="175"/>
      <c r="B97" s="180"/>
      <c r="C97" s="115"/>
    </row>
    <row r="98" spans="1:9" x14ac:dyDescent="0.15">
      <c r="A98" s="175"/>
      <c r="B98" s="180"/>
      <c r="C98" s="185"/>
      <c r="I98" s="331"/>
    </row>
    <row r="99" spans="1:9" x14ac:dyDescent="0.15">
      <c r="A99" s="175"/>
      <c r="B99" s="180"/>
      <c r="C99" s="115"/>
    </row>
    <row r="100" spans="1:9" x14ac:dyDescent="0.15">
      <c r="A100" s="175"/>
      <c r="B100" s="180"/>
      <c r="C100" s="185"/>
    </row>
    <row r="101" spans="1:9" x14ac:dyDescent="0.15">
      <c r="A101" s="175"/>
      <c r="B101" s="180"/>
      <c r="C101" s="185"/>
    </row>
    <row r="102" spans="1:9" x14ac:dyDescent="0.15">
      <c r="A102" s="175"/>
      <c r="B102" s="180"/>
      <c r="C102" s="185"/>
    </row>
    <row r="103" spans="1:9" x14ac:dyDescent="0.15">
      <c r="A103" s="175"/>
      <c r="B103" s="180"/>
      <c r="C103" s="185"/>
    </row>
    <row r="104" spans="1:9" x14ac:dyDescent="0.15">
      <c r="A104" s="175"/>
      <c r="B104" s="180"/>
      <c r="C104" s="185"/>
    </row>
    <row r="105" spans="1:9" x14ac:dyDescent="0.15">
      <c r="A105" s="175"/>
      <c r="B105" s="180"/>
      <c r="C105" s="185"/>
      <c r="I105" s="328"/>
    </row>
    <row r="106" spans="1:9" x14ac:dyDescent="0.15">
      <c r="A106" s="175"/>
      <c r="B106" s="180"/>
      <c r="C106" s="185"/>
    </row>
    <row r="107" spans="1:9" x14ac:dyDescent="0.15">
      <c r="A107" s="175"/>
      <c r="B107" s="180"/>
      <c r="C107" s="115"/>
    </row>
    <row r="108" spans="1:9" x14ac:dyDescent="0.15">
      <c r="A108" s="175"/>
      <c r="B108" s="180"/>
      <c r="C108" s="115"/>
    </row>
    <row r="109" spans="1:9" x14ac:dyDescent="0.15">
      <c r="A109" s="175"/>
      <c r="B109" s="180"/>
      <c r="C109" s="115"/>
    </row>
    <row r="110" spans="1:9" x14ac:dyDescent="0.15">
      <c r="A110" s="175"/>
      <c r="B110" s="180"/>
      <c r="C110" s="115"/>
    </row>
    <row r="111" spans="1:9" x14ac:dyDescent="0.15">
      <c r="A111" s="175"/>
      <c r="B111" s="180"/>
      <c r="C111" s="115"/>
    </row>
    <row r="112" spans="1:9" x14ac:dyDescent="0.15">
      <c r="A112" s="175"/>
      <c r="B112" s="180"/>
      <c r="C112" s="115"/>
      <c r="I112" s="331"/>
    </row>
    <row r="113" spans="1:9" x14ac:dyDescent="0.15">
      <c r="A113" s="175"/>
      <c r="B113" s="180"/>
      <c r="C113" s="185"/>
    </row>
    <row r="114" spans="1:9" x14ac:dyDescent="0.15">
      <c r="A114" s="175"/>
      <c r="B114" s="180"/>
      <c r="C114" s="180"/>
      <c r="I114" s="328"/>
    </row>
    <row r="115" spans="1:9" x14ac:dyDescent="0.15">
      <c r="A115" s="175"/>
      <c r="B115" s="180"/>
      <c r="C115" s="185"/>
      <c r="I115" s="328"/>
    </row>
    <row r="116" spans="1:9" x14ac:dyDescent="0.15">
      <c r="A116" s="175"/>
      <c r="B116" s="180"/>
      <c r="C116" s="180"/>
      <c r="I116" s="328"/>
    </row>
    <row r="117" spans="1:9" x14ac:dyDescent="0.15">
      <c r="A117" s="175"/>
      <c r="B117" s="180"/>
      <c r="C117" s="185"/>
    </row>
    <row r="118" spans="1:9" x14ac:dyDescent="0.15">
      <c r="A118" s="175"/>
      <c r="B118" s="180"/>
      <c r="C118" s="185"/>
      <c r="I118" s="328"/>
    </row>
    <row r="119" spans="1:9" x14ac:dyDescent="0.15">
      <c r="A119" s="175"/>
      <c r="C119" s="185"/>
      <c r="I119" s="328"/>
    </row>
    <row r="120" spans="1:9" x14ac:dyDescent="0.15">
      <c r="A120" s="175"/>
      <c r="C120" s="185"/>
    </row>
    <row r="121" spans="1:9" x14ac:dyDescent="0.15">
      <c r="A121" s="175"/>
      <c r="C121" s="185"/>
      <c r="D121" s="338"/>
      <c r="F121" s="268"/>
      <c r="G121" s="339"/>
      <c r="H121" s="115"/>
    </row>
    <row r="122" spans="1:9" x14ac:dyDescent="0.15">
      <c r="A122" s="175"/>
      <c r="C122" s="185"/>
    </row>
    <row r="123" spans="1:9" x14ac:dyDescent="0.15">
      <c r="A123" s="175"/>
      <c r="C123" s="185"/>
      <c r="D123" s="338"/>
      <c r="F123" s="268"/>
      <c r="G123" s="339"/>
    </row>
    <row r="124" spans="1:9" x14ac:dyDescent="0.15">
      <c r="A124" s="175"/>
      <c r="C124" s="185"/>
    </row>
    <row r="125" spans="1:9" x14ac:dyDescent="0.15">
      <c r="A125" s="175"/>
      <c r="C125" s="185"/>
    </row>
    <row r="126" spans="1:9" x14ac:dyDescent="0.15">
      <c r="A126" s="175"/>
      <c r="C126" s="185"/>
    </row>
    <row r="127" spans="1:9" x14ac:dyDescent="0.15">
      <c r="A127" s="175"/>
      <c r="C127" s="185"/>
    </row>
    <row r="128" spans="1:9" x14ac:dyDescent="0.15">
      <c r="A128" s="175"/>
      <c r="C128" s="185"/>
    </row>
    <row r="129" spans="1:9" x14ac:dyDescent="0.15">
      <c r="A129" s="175"/>
      <c r="C129" s="185"/>
    </row>
    <row r="130" spans="1:9" x14ac:dyDescent="0.15">
      <c r="A130" s="175"/>
      <c r="C130" s="180"/>
      <c r="I130" s="334"/>
    </row>
    <row r="131" spans="1:9" x14ac:dyDescent="0.15">
      <c r="A131" s="175"/>
      <c r="C131" s="185"/>
    </row>
  </sheetData>
  <phoneticPr fontId="7" type="noConversion"/>
  <conditionalFormatting sqref="B2:B9">
    <cfRule type="expression" dxfId="147" priority="1" stopIfTrue="1">
      <formula>($G2="Fail")</formula>
    </cfRule>
    <cfRule type="expression" dxfId="146" priority="2" stopIfTrue="1">
      <formula>($G2="Pass")</formula>
    </cfRule>
  </conditionalFormatting>
  <conditionalFormatting sqref="B14:B17">
    <cfRule type="expression" dxfId="145" priority="41" stopIfTrue="1">
      <formula>($G14="Fail")</formula>
    </cfRule>
    <cfRule type="expression" dxfId="144" priority="42" stopIfTrue="1">
      <formula>($G14="Pass")</formula>
    </cfRule>
  </conditionalFormatting>
  <conditionalFormatting sqref="B20:B23">
    <cfRule type="expression" dxfId="143" priority="31" stopIfTrue="1">
      <formula>($G20="Fail")</formula>
    </cfRule>
    <cfRule type="expression" dxfId="142" priority="32" stopIfTrue="1">
      <formula>($G20="Pass")</formula>
    </cfRule>
  </conditionalFormatting>
  <conditionalFormatting sqref="B25:B35">
    <cfRule type="expression" dxfId="141" priority="3" stopIfTrue="1">
      <formula>($G25="Fail")</formula>
    </cfRule>
    <cfRule type="expression" dxfId="140" priority="4" stopIfTrue="1">
      <formula>($G25="Pass")</formula>
    </cfRule>
  </conditionalFormatting>
  <conditionalFormatting sqref="B39:B48">
    <cfRule type="expression" dxfId="139" priority="5" stopIfTrue="1">
      <formula>($G39="Fail")</formula>
    </cfRule>
    <cfRule type="expression" dxfId="138" priority="6" stopIfTrue="1">
      <formula>($G39="Pass")</formula>
    </cfRule>
  </conditionalFormatting>
  <conditionalFormatting sqref="C28:E29">
    <cfRule type="expression" dxfId="137" priority="23" stopIfTrue="1">
      <formula>($G28="Fail")</formula>
    </cfRule>
    <cfRule type="expression" dxfId="136" priority="24" stopIfTrue="1">
      <formula>($G28="Pass")</formula>
    </cfRule>
  </conditionalFormatting>
  <conditionalFormatting sqref="D22:D27 D30:D38 D47:D52">
    <cfRule type="expression" dxfId="135" priority="125" stopIfTrue="1">
      <formula>($G22="Fail")</formula>
    </cfRule>
    <cfRule type="expression" dxfId="134" priority="126" stopIfTrue="1">
      <formula>($G22="Pass")</formula>
    </cfRule>
  </conditionalFormatting>
  <conditionalFormatting sqref="D55">
    <cfRule type="expression" dxfId="133" priority="57" stopIfTrue="1">
      <formula>($G55="Fail")</formula>
    </cfRule>
    <cfRule type="expression" dxfId="132" priority="58" stopIfTrue="1">
      <formula>($G55="Pass")</formula>
    </cfRule>
  </conditionalFormatting>
  <conditionalFormatting sqref="G2:G52 A2:A131">
    <cfRule type="expression" dxfId="131" priority="117" stopIfTrue="1">
      <formula>($G2="Fail")</formula>
    </cfRule>
    <cfRule type="expression" dxfId="130" priority="118" stopIfTrue="1">
      <formula>($G2="Pass")</formula>
    </cfRule>
  </conditionalFormatting>
  <conditionalFormatting sqref="G55">
    <cfRule type="expression" dxfId="129" priority="55" stopIfTrue="1">
      <formula>($G55="Fail")</formula>
    </cfRule>
    <cfRule type="expression" dxfId="128" priority="56" stopIfTrue="1">
      <formula>($G55="Pass")</formula>
    </cfRule>
  </conditionalFormatting>
  <conditionalFormatting sqref="I20:I21">
    <cfRule type="expression" dxfId="127" priority="27" stopIfTrue="1">
      <formula>($G20="Fail")</formula>
    </cfRule>
    <cfRule type="expression" dxfId="126" priority="28" stopIfTrue="1">
      <formula>($G20="Pass")</formula>
    </cfRule>
  </conditionalFormatting>
  <dataValidations count="1">
    <dataValidation type="list" allowBlank="1" showInputMessage="1" showErrorMessage="1" sqref="G122 G124:G65519 G1:G120" xr:uid="{E1C4E74A-1C97-435B-A6A9-FB1A7F03DCA6}">
      <formula1>statuslist</formula1>
    </dataValidation>
  </dataValidations>
  <pageMargins left="0.7" right="0.7" top="0.75" bottom="0.75" header="0.3" footer="0.3"/>
  <pageSetup paperSize="9" orientation="portrait" r:id="rId1"/>
  <headerFooter>
    <oddHeader>&amp;C&amp;"Calibri"&amp;10&amp;K737373 Serco Business - Commercial in Confidence&amp;1#_x000D_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DC174-0406-449B-AE14-378998140F7B}">
  <sheetPr>
    <tabColor theme="7" tint="-0.249977111117893"/>
  </sheetPr>
  <dimension ref="A1:J79"/>
  <sheetViews>
    <sheetView zoomScale="85" zoomScaleNormal="85" workbookViewId="0">
      <selection activeCell="B4" sqref="B4"/>
    </sheetView>
  </sheetViews>
  <sheetFormatPr baseColWidth="10" defaultColWidth="8.6640625" defaultRowHeight="13" x14ac:dyDescent="0.15"/>
  <cols>
    <col min="1" max="1" width="11.1640625" style="154" customWidth="1"/>
    <col min="2" max="2" width="37.1640625" style="192" customWidth="1"/>
    <col min="3" max="3" width="38.5" style="49" customWidth="1"/>
    <col min="4" max="4" width="45.83203125" style="408" customWidth="1"/>
    <col min="5" max="5" width="10.5" style="402" bestFit="1" customWidth="1"/>
    <col min="6" max="6" width="11.83203125" style="409" customWidth="1"/>
    <col min="7" max="7" width="10.83203125" style="402" customWidth="1"/>
    <col min="8" max="8" width="46.83203125" style="410" customWidth="1"/>
    <col min="9" max="9" width="27.6640625" style="154" customWidth="1"/>
    <col min="10" max="16384" width="8.6640625" style="154"/>
  </cols>
  <sheetData>
    <row r="1" spans="1:10" ht="39.75" customHeight="1" x14ac:dyDescent="0.15">
      <c r="A1" s="340" t="s">
        <v>60</v>
      </c>
      <c r="B1" s="341" t="s">
        <v>61</v>
      </c>
      <c r="C1" s="341" t="s">
        <v>62</v>
      </c>
      <c r="D1" s="341" t="s">
        <v>63</v>
      </c>
      <c r="E1" s="340" t="s">
        <v>64</v>
      </c>
      <c r="F1" s="343" t="s">
        <v>65</v>
      </c>
      <c r="G1" s="341" t="s">
        <v>66</v>
      </c>
      <c r="H1" s="344" t="s">
        <v>67</v>
      </c>
      <c r="I1" s="341" t="s">
        <v>68</v>
      </c>
    </row>
    <row r="2" spans="1:10" ht="138" customHeight="1" x14ac:dyDescent="0.15">
      <c r="A2" s="420" t="s">
        <v>229</v>
      </c>
      <c r="B2" s="421" t="s">
        <v>230</v>
      </c>
      <c r="C2" s="422" t="s">
        <v>231</v>
      </c>
      <c r="D2" s="188" t="s">
        <v>232</v>
      </c>
      <c r="E2" s="423">
        <v>10</v>
      </c>
      <c r="F2" s="349">
        <v>10</v>
      </c>
      <c r="G2" s="350" t="s">
        <v>50</v>
      </c>
      <c r="H2" s="361"/>
      <c r="I2" s="353" t="s">
        <v>233</v>
      </c>
    </row>
    <row r="3" spans="1:10" ht="56" x14ac:dyDescent="0.15">
      <c r="A3" s="420" t="s">
        <v>234</v>
      </c>
      <c r="B3" s="424" t="s">
        <v>235</v>
      </c>
      <c r="C3" s="258" t="s">
        <v>236</v>
      </c>
      <c r="D3" s="258" t="s">
        <v>132</v>
      </c>
      <c r="E3" s="423">
        <v>1</v>
      </c>
      <c r="F3" s="349">
        <v>1</v>
      </c>
      <c r="G3" s="350" t="s">
        <v>50</v>
      </c>
      <c r="H3" s="361"/>
      <c r="I3" s="353" t="s">
        <v>237</v>
      </c>
    </row>
    <row r="4" spans="1:10" ht="70" x14ac:dyDescent="0.15">
      <c r="A4" s="420" t="s">
        <v>238</v>
      </c>
      <c r="B4" s="272" t="s">
        <v>239</v>
      </c>
      <c r="C4" s="294" t="s">
        <v>240</v>
      </c>
      <c r="D4" s="294" t="s">
        <v>182</v>
      </c>
      <c r="E4" s="423">
        <v>3</v>
      </c>
      <c r="F4" s="349">
        <v>3</v>
      </c>
      <c r="G4" s="350" t="s">
        <v>50</v>
      </c>
      <c r="H4" s="361"/>
      <c r="I4" s="353" t="s">
        <v>241</v>
      </c>
    </row>
    <row r="5" spans="1:10" x14ac:dyDescent="0.15">
      <c r="A5" s="425"/>
      <c r="B5" s="411"/>
      <c r="C5" s="426"/>
      <c r="D5" s="426"/>
      <c r="E5" s="166"/>
      <c r="F5" s="165"/>
      <c r="G5" s="166"/>
      <c r="H5" s="361"/>
      <c r="I5" s="353"/>
    </row>
    <row r="6" spans="1:10" x14ac:dyDescent="0.15">
      <c r="A6" s="425"/>
      <c r="B6" s="411"/>
      <c r="C6" s="426"/>
      <c r="D6" s="426"/>
      <c r="E6" s="166"/>
      <c r="F6" s="165"/>
      <c r="G6" s="166"/>
      <c r="H6" s="361"/>
      <c r="I6" s="353"/>
    </row>
    <row r="7" spans="1:10" x14ac:dyDescent="0.15">
      <c r="A7" s="425"/>
      <c r="B7" s="411"/>
      <c r="C7" s="426"/>
      <c r="D7" s="168"/>
      <c r="E7" s="166"/>
      <c r="F7" s="165"/>
      <c r="G7" s="166"/>
      <c r="H7" s="361"/>
      <c r="I7" s="353"/>
    </row>
    <row r="8" spans="1:10" x14ac:dyDescent="0.15">
      <c r="A8" s="425"/>
      <c r="B8" s="411"/>
      <c r="C8" s="426"/>
      <c r="D8" s="426"/>
      <c r="E8" s="166"/>
      <c r="F8" s="165"/>
      <c r="G8" s="166"/>
      <c r="H8" s="374"/>
      <c r="I8" s="353"/>
    </row>
    <row r="9" spans="1:10" x14ac:dyDescent="0.15">
      <c r="A9" s="425"/>
      <c r="B9" s="411"/>
      <c r="C9" s="298"/>
      <c r="D9" s="168"/>
      <c r="E9" s="166"/>
      <c r="F9" s="165"/>
      <c r="G9" s="166"/>
      <c r="H9" s="361"/>
      <c r="I9" s="353"/>
    </row>
    <row r="10" spans="1:10" x14ac:dyDescent="0.15">
      <c r="A10" s="425"/>
      <c r="B10" s="411"/>
      <c r="C10" s="298"/>
      <c r="D10" s="426"/>
      <c r="E10" s="166"/>
      <c r="F10" s="165"/>
      <c r="G10" s="166"/>
      <c r="H10" s="361"/>
      <c r="I10" s="353"/>
    </row>
    <row r="11" spans="1:10" x14ac:dyDescent="0.15">
      <c r="A11" s="425"/>
      <c r="B11" s="411"/>
      <c r="C11" s="298"/>
      <c r="D11" s="169"/>
      <c r="E11" s="166"/>
      <c r="F11" s="165"/>
      <c r="G11" s="166"/>
      <c r="H11" s="361"/>
      <c r="I11" s="353"/>
    </row>
    <row r="12" spans="1:10" x14ac:dyDescent="0.15">
      <c r="A12" s="425"/>
      <c r="B12" s="411"/>
      <c r="C12" s="426"/>
      <c r="D12" s="168"/>
      <c r="E12" s="166"/>
      <c r="F12" s="165"/>
      <c r="G12" s="166"/>
      <c r="H12" s="361"/>
      <c r="I12" s="353"/>
    </row>
    <row r="13" spans="1:10" x14ac:dyDescent="0.15">
      <c r="A13" s="425"/>
      <c r="B13" s="411"/>
      <c r="C13" s="426"/>
      <c r="D13" s="426"/>
      <c r="E13" s="166"/>
      <c r="F13" s="165"/>
      <c r="G13" s="166"/>
      <c r="H13" s="361"/>
      <c r="I13" s="353"/>
    </row>
    <row r="14" spans="1:10" x14ac:dyDescent="0.15">
      <c r="A14" s="425"/>
      <c r="B14" s="411"/>
      <c r="C14" s="427"/>
      <c r="D14" s="170"/>
      <c r="E14" s="166"/>
      <c r="F14" s="165"/>
      <c r="G14" s="166"/>
      <c r="H14" s="361"/>
      <c r="I14" s="353"/>
      <c r="J14" s="428"/>
    </row>
    <row r="15" spans="1:10" ht="15" x14ac:dyDescent="0.15">
      <c r="A15" s="425"/>
      <c r="B15" s="429"/>
      <c r="C15" s="430"/>
      <c r="D15" s="171"/>
      <c r="E15" s="385"/>
      <c r="F15" s="165"/>
      <c r="G15" s="166"/>
      <c r="H15" s="361"/>
      <c r="I15" s="353"/>
    </row>
    <row r="16" spans="1:10" x14ac:dyDescent="0.15">
      <c r="A16" s="425"/>
      <c r="B16" s="411"/>
      <c r="C16" s="431"/>
      <c r="D16" s="432"/>
      <c r="E16" s="166"/>
      <c r="F16" s="165"/>
      <c r="G16" s="166"/>
      <c r="H16" s="361"/>
      <c r="I16" s="353"/>
    </row>
    <row r="17" spans="1:10" x14ac:dyDescent="0.15">
      <c r="A17" s="425"/>
      <c r="B17" s="411"/>
      <c r="C17" s="426"/>
      <c r="D17" s="426"/>
      <c r="E17" s="166"/>
      <c r="F17" s="165"/>
      <c r="G17" s="166"/>
      <c r="H17" s="361"/>
      <c r="I17" s="353"/>
    </row>
    <row r="18" spans="1:10" x14ac:dyDescent="0.15">
      <c r="A18" s="425"/>
      <c r="B18" s="411"/>
      <c r="C18" s="426"/>
      <c r="D18" s="426"/>
      <c r="E18" s="166"/>
      <c r="F18" s="165"/>
      <c r="G18" s="166"/>
      <c r="H18" s="361"/>
      <c r="I18" s="353"/>
    </row>
    <row r="19" spans="1:10" x14ac:dyDescent="0.15">
      <c r="A19" s="425"/>
      <c r="B19" s="411"/>
      <c r="C19" s="426"/>
      <c r="D19" s="82"/>
      <c r="E19" s="166"/>
      <c r="F19" s="165"/>
      <c r="G19" s="166"/>
      <c r="H19" s="433"/>
      <c r="I19" s="353"/>
    </row>
    <row r="20" spans="1:10" x14ac:dyDescent="0.15">
      <c r="A20" s="82"/>
      <c r="B20" s="411"/>
      <c r="C20" s="426"/>
      <c r="D20" s="411"/>
      <c r="E20" s="166"/>
      <c r="F20" s="165"/>
      <c r="G20" s="299"/>
      <c r="H20" s="311"/>
      <c r="I20" s="434"/>
      <c r="J20" s="428"/>
    </row>
    <row r="21" spans="1:10" x14ac:dyDescent="0.15">
      <c r="A21" s="82"/>
      <c r="B21" s="411"/>
      <c r="C21" s="435"/>
      <c r="D21" s="168"/>
      <c r="E21" s="166"/>
      <c r="F21" s="165"/>
      <c r="G21" s="375"/>
      <c r="H21" s="311"/>
      <c r="I21" s="436"/>
      <c r="J21" s="428"/>
    </row>
    <row r="22" spans="1:10" x14ac:dyDescent="0.15">
      <c r="A22" s="82"/>
      <c r="B22" s="411"/>
      <c r="C22" s="426"/>
      <c r="D22" s="82"/>
      <c r="E22" s="166"/>
      <c r="F22" s="165"/>
      <c r="G22" s="299"/>
      <c r="H22" s="311"/>
      <c r="I22" s="434"/>
      <c r="J22" s="428"/>
    </row>
    <row r="23" spans="1:10" x14ac:dyDescent="0.15">
      <c r="A23" s="82"/>
      <c r="B23" s="411"/>
      <c r="C23" s="403"/>
      <c r="D23" s="172"/>
      <c r="E23" s="166"/>
      <c r="F23" s="165"/>
      <c r="G23" s="375"/>
      <c r="H23" s="311"/>
      <c r="I23" s="436"/>
      <c r="J23" s="428"/>
    </row>
    <row r="24" spans="1:10" x14ac:dyDescent="0.15">
      <c r="A24" s="82"/>
      <c r="B24" s="106"/>
      <c r="C24" s="172"/>
      <c r="D24" s="172"/>
      <c r="E24" s="166"/>
      <c r="F24" s="165"/>
      <c r="G24" s="375"/>
      <c r="H24" s="306"/>
      <c r="I24" s="436"/>
    </row>
    <row r="25" spans="1:10" x14ac:dyDescent="0.15">
      <c r="A25" s="82"/>
      <c r="B25" s="411"/>
      <c r="C25" s="173"/>
      <c r="D25" s="168"/>
      <c r="E25" s="166"/>
      <c r="F25" s="165"/>
      <c r="G25" s="166"/>
      <c r="H25" s="437"/>
      <c r="I25" s="353"/>
      <c r="J25" s="428"/>
    </row>
    <row r="26" spans="1:10" x14ac:dyDescent="0.15">
      <c r="A26" s="82"/>
      <c r="B26" s="411"/>
      <c r="C26" s="426"/>
      <c r="D26" s="168"/>
      <c r="E26" s="166"/>
      <c r="F26" s="165"/>
      <c r="G26" s="166"/>
      <c r="H26" s="361"/>
      <c r="I26" s="353"/>
      <c r="J26" s="428"/>
    </row>
    <row r="27" spans="1:10" ht="15" x14ac:dyDescent="0.15">
      <c r="A27" s="82"/>
      <c r="B27" s="438"/>
      <c r="C27" s="172"/>
      <c r="D27" s="172"/>
      <c r="E27" s="166"/>
      <c r="F27" s="165"/>
      <c r="G27" s="166"/>
      <c r="H27" s="357"/>
      <c r="I27" s="353"/>
    </row>
    <row r="28" spans="1:10" x14ac:dyDescent="0.15">
      <c r="A28" s="82"/>
      <c r="B28" s="403"/>
      <c r="C28" s="426"/>
      <c r="D28" s="298"/>
      <c r="E28" s="166"/>
      <c r="F28" s="165"/>
      <c r="G28" s="166"/>
      <c r="H28" s="357"/>
      <c r="I28" s="353"/>
    </row>
    <row r="29" spans="1:10" ht="15" x14ac:dyDescent="0.15">
      <c r="A29" s="82"/>
      <c r="B29" s="438"/>
      <c r="C29" s="426"/>
      <c r="D29" s="426"/>
      <c r="E29" s="166"/>
      <c r="F29" s="165"/>
      <c r="G29" s="166"/>
      <c r="H29" s="357"/>
      <c r="I29" s="171"/>
    </row>
    <row r="30" spans="1:10" x14ac:dyDescent="0.15">
      <c r="A30" s="82"/>
      <c r="B30" s="411"/>
      <c r="C30" s="172"/>
      <c r="D30" s="426"/>
      <c r="E30" s="166"/>
      <c r="F30" s="165"/>
      <c r="G30" s="166"/>
      <c r="H30" s="428"/>
      <c r="I30" s="353"/>
    </row>
    <row r="31" spans="1:10" x14ac:dyDescent="0.15">
      <c r="A31" s="82"/>
      <c r="B31" s="180"/>
      <c r="C31" s="426"/>
      <c r="D31" s="168"/>
      <c r="E31" s="166"/>
      <c r="F31" s="165"/>
      <c r="G31" s="166"/>
      <c r="H31" s="357"/>
      <c r="I31" s="353"/>
    </row>
    <row r="32" spans="1:10" x14ac:dyDescent="0.15">
      <c r="A32" s="82"/>
      <c r="B32" s="411"/>
      <c r="C32" s="426"/>
      <c r="D32" s="426"/>
      <c r="E32" s="166"/>
      <c r="F32" s="165"/>
      <c r="G32" s="166"/>
      <c r="H32" s="357"/>
      <c r="I32" s="353"/>
    </row>
    <row r="33" spans="1:10" x14ac:dyDescent="0.15">
      <c r="A33" s="82"/>
      <c r="B33" s="411"/>
      <c r="C33" s="403"/>
      <c r="D33" s="172"/>
      <c r="E33" s="166"/>
      <c r="F33" s="165"/>
      <c r="G33" s="166"/>
      <c r="H33" s="357"/>
      <c r="I33" s="353"/>
    </row>
    <row r="34" spans="1:10" ht="15" x14ac:dyDescent="0.15">
      <c r="A34" s="378"/>
      <c r="B34" s="438"/>
      <c r="C34" s="439"/>
      <c r="D34" s="378"/>
      <c r="E34" s="440"/>
      <c r="F34" s="380"/>
      <c r="G34" s="441"/>
      <c r="H34" s="442"/>
      <c r="I34" s="353"/>
      <c r="J34" s="428"/>
    </row>
    <row r="35" spans="1:10" ht="15" x14ac:dyDescent="0.15">
      <c r="A35" s="175"/>
      <c r="B35" s="443"/>
      <c r="C35" s="115"/>
      <c r="D35" s="175"/>
      <c r="E35" s="268"/>
      <c r="F35" s="444"/>
      <c r="G35" s="329"/>
      <c r="H35" s="443"/>
      <c r="I35" s="436"/>
      <c r="J35" s="428"/>
    </row>
    <row r="36" spans="1:10" ht="15" x14ac:dyDescent="0.15">
      <c r="A36" s="175"/>
      <c r="B36" s="443"/>
      <c r="C36" s="115"/>
      <c r="D36" s="175"/>
      <c r="E36" s="268"/>
      <c r="F36" s="332"/>
      <c r="G36" s="329"/>
      <c r="H36" s="443"/>
      <c r="I36" s="436"/>
      <c r="J36" s="428"/>
    </row>
    <row r="37" spans="1:10" ht="15" x14ac:dyDescent="0.15">
      <c r="A37" s="175"/>
      <c r="B37" s="443"/>
      <c r="C37" s="174"/>
      <c r="D37" s="175"/>
      <c r="E37" s="268"/>
      <c r="F37" s="332"/>
      <c r="G37" s="329"/>
      <c r="H37" s="443"/>
      <c r="I37" s="353"/>
      <c r="J37" s="428"/>
    </row>
    <row r="38" spans="1:10" s="296" customFormat="1" ht="15" x14ac:dyDescent="0.15">
      <c r="A38" s="256"/>
      <c r="B38" s="443"/>
      <c r="C38" s="173"/>
      <c r="D38" s="333"/>
      <c r="E38" s="329"/>
      <c r="F38" s="327"/>
      <c r="G38" s="329"/>
      <c r="H38" s="309"/>
      <c r="I38" s="445"/>
      <c r="J38" s="428"/>
    </row>
    <row r="39" spans="1:10" x14ac:dyDescent="0.15">
      <c r="A39" s="446"/>
      <c r="B39" s="447"/>
      <c r="C39" s="176"/>
      <c r="D39" s="177"/>
      <c r="E39" s="448"/>
      <c r="F39" s="449"/>
      <c r="G39" s="450"/>
      <c r="H39" s="451"/>
      <c r="I39" s="445"/>
      <c r="J39" s="428"/>
    </row>
    <row r="40" spans="1:10" x14ac:dyDescent="0.15">
      <c r="A40" s="384"/>
      <c r="B40" s="304"/>
      <c r="C40" s="173"/>
      <c r="D40" s="333"/>
      <c r="E40" s="268"/>
      <c r="F40" s="332"/>
      <c r="G40" s="440"/>
      <c r="H40" s="175"/>
      <c r="I40" s="436"/>
    </row>
    <row r="41" spans="1:10" x14ac:dyDescent="0.15">
      <c r="A41" s="384"/>
      <c r="B41" s="304"/>
      <c r="C41" s="173"/>
      <c r="D41" s="333"/>
      <c r="E41" s="268"/>
      <c r="F41" s="332"/>
      <c r="G41" s="440"/>
      <c r="H41" s="175"/>
      <c r="I41" s="436"/>
    </row>
    <row r="42" spans="1:10" x14ac:dyDescent="0.15">
      <c r="A42" s="452"/>
      <c r="B42" s="411"/>
      <c r="C42" s="173"/>
      <c r="D42" s="168"/>
      <c r="E42" s="389"/>
      <c r="F42" s="390"/>
      <c r="G42" s="453"/>
      <c r="H42" s="454"/>
      <c r="I42" s="455"/>
    </row>
    <row r="43" spans="1:10" x14ac:dyDescent="0.15">
      <c r="A43" s="255"/>
      <c r="B43" s="304"/>
      <c r="C43" s="174"/>
      <c r="D43" s="338"/>
      <c r="E43" s="268"/>
      <c r="F43" s="332"/>
      <c r="G43" s="268"/>
      <c r="H43" s="175"/>
      <c r="I43" s="255"/>
    </row>
    <row r="44" spans="1:10" x14ac:dyDescent="0.15">
      <c r="A44" s="255"/>
      <c r="B44" s="304"/>
      <c r="C44" s="174"/>
      <c r="D44" s="338"/>
      <c r="E44" s="268"/>
      <c r="F44" s="332"/>
      <c r="G44" s="268"/>
      <c r="H44" s="175"/>
      <c r="I44" s="255"/>
    </row>
    <row r="45" spans="1:10" x14ac:dyDescent="0.15">
      <c r="A45" s="255"/>
      <c r="B45" s="411"/>
      <c r="C45" s="426"/>
      <c r="D45" s="426"/>
      <c r="E45" s="268"/>
      <c r="F45" s="332"/>
      <c r="G45" s="268"/>
      <c r="H45" s="456"/>
      <c r="I45" s="255"/>
    </row>
    <row r="46" spans="1:10" x14ac:dyDescent="0.15">
      <c r="A46" s="255"/>
      <c r="B46" s="411"/>
      <c r="C46" s="173"/>
      <c r="D46" s="333"/>
      <c r="E46" s="268"/>
      <c r="F46" s="332"/>
      <c r="G46" s="268"/>
      <c r="H46" s="167"/>
      <c r="I46" s="255"/>
    </row>
    <row r="47" spans="1:10" x14ac:dyDescent="0.15">
      <c r="A47" s="255"/>
      <c r="B47" s="411"/>
      <c r="C47" s="174"/>
      <c r="D47" s="457"/>
      <c r="E47" s="268"/>
      <c r="F47" s="332"/>
      <c r="G47" s="268"/>
      <c r="H47" s="428"/>
      <c r="I47" s="255"/>
    </row>
    <row r="48" spans="1:10" x14ac:dyDescent="0.15">
      <c r="A48" s="383"/>
      <c r="B48" s="458"/>
      <c r="C48" s="427"/>
      <c r="D48" s="427"/>
      <c r="E48" s="389"/>
      <c r="F48" s="390"/>
      <c r="G48" s="389"/>
      <c r="H48" s="382"/>
      <c r="I48" s="255"/>
    </row>
    <row r="49" spans="1:10" x14ac:dyDescent="0.15">
      <c r="A49" s="255"/>
      <c r="B49" s="304"/>
      <c r="C49" s="459"/>
      <c r="D49" s="459"/>
      <c r="E49" s="268"/>
      <c r="F49" s="332"/>
      <c r="G49" s="268"/>
      <c r="H49" s="309"/>
      <c r="I49" s="460"/>
    </row>
    <row r="50" spans="1:10" x14ac:dyDescent="0.15">
      <c r="A50" s="461"/>
      <c r="B50" s="462"/>
      <c r="C50" s="178"/>
      <c r="D50" s="463"/>
      <c r="E50" s="448"/>
      <c r="F50" s="449"/>
      <c r="G50" s="448"/>
      <c r="H50" s="451"/>
      <c r="I50" s="255"/>
    </row>
    <row r="51" spans="1:10" x14ac:dyDescent="0.15">
      <c r="A51" s="255"/>
      <c r="B51" s="411"/>
      <c r="C51" s="174"/>
      <c r="D51" s="338"/>
      <c r="E51" s="268"/>
      <c r="F51" s="332"/>
      <c r="G51" s="268"/>
      <c r="H51" s="175"/>
      <c r="I51" s="255"/>
    </row>
    <row r="52" spans="1:10" x14ac:dyDescent="0.15">
      <c r="A52" s="255"/>
      <c r="B52" s="411"/>
      <c r="C52" s="174"/>
      <c r="D52" s="333"/>
      <c r="E52" s="268"/>
      <c r="F52" s="332"/>
      <c r="G52" s="268"/>
      <c r="H52" s="175"/>
      <c r="I52" s="255"/>
    </row>
    <row r="53" spans="1:10" x14ac:dyDescent="0.15">
      <c r="A53" s="255"/>
      <c r="B53" s="403"/>
      <c r="C53" s="174"/>
      <c r="D53" s="333"/>
      <c r="E53" s="268"/>
      <c r="F53" s="332"/>
      <c r="G53" s="268"/>
      <c r="H53" s="464"/>
      <c r="I53" s="255"/>
    </row>
    <row r="54" spans="1:10" x14ac:dyDescent="0.15">
      <c r="A54" s="255"/>
      <c r="B54" s="411"/>
      <c r="C54" s="174"/>
      <c r="D54" s="333"/>
      <c r="E54" s="268"/>
      <c r="F54" s="332"/>
      <c r="G54" s="268"/>
      <c r="H54" s="382"/>
      <c r="I54" s="255"/>
    </row>
    <row r="55" spans="1:10" x14ac:dyDescent="0.15">
      <c r="A55" s="383"/>
      <c r="B55" s="465"/>
      <c r="C55" s="179"/>
      <c r="D55" s="466"/>
      <c r="E55" s="389"/>
      <c r="F55" s="390"/>
      <c r="G55" s="467"/>
      <c r="H55" s="468"/>
      <c r="I55" s="469"/>
    </row>
    <row r="56" spans="1:10" ht="15" x14ac:dyDescent="0.15">
      <c r="A56" s="255"/>
      <c r="B56" s="443"/>
      <c r="C56" s="164"/>
      <c r="D56" s="180"/>
      <c r="E56" s="268"/>
      <c r="F56" s="332"/>
      <c r="G56" s="329"/>
      <c r="H56" s="443"/>
      <c r="I56" s="353"/>
      <c r="J56" s="428"/>
    </row>
    <row r="57" spans="1:10" ht="15" x14ac:dyDescent="0.15">
      <c r="A57" s="461"/>
      <c r="B57" s="470"/>
      <c r="C57" s="471"/>
      <c r="D57" s="181"/>
      <c r="E57" s="448"/>
      <c r="F57" s="449"/>
      <c r="G57" s="472"/>
      <c r="H57" s="470"/>
      <c r="I57" s="436"/>
      <c r="J57" s="428"/>
    </row>
    <row r="58" spans="1:10" ht="15" x14ac:dyDescent="0.15">
      <c r="A58" s="255"/>
      <c r="B58" s="172"/>
      <c r="C58" s="473"/>
      <c r="D58" s="474"/>
      <c r="E58" s="329"/>
      <c r="F58" s="329"/>
      <c r="G58" s="401"/>
      <c r="H58" s="405"/>
      <c r="I58" s="405"/>
    </row>
    <row r="59" spans="1:10" ht="15" x14ac:dyDescent="0.15">
      <c r="A59" s="417"/>
      <c r="B59" s="180"/>
      <c r="C59" s="475"/>
      <c r="D59" s="476"/>
      <c r="E59" s="477"/>
      <c r="F59" s="327"/>
      <c r="G59" s="401"/>
      <c r="H59" s="405"/>
      <c r="I59" s="405"/>
    </row>
    <row r="60" spans="1:10" ht="15" x14ac:dyDescent="0.15">
      <c r="A60" s="255"/>
      <c r="B60" s="181"/>
      <c r="C60" s="478"/>
      <c r="D60" s="479"/>
      <c r="E60" s="329"/>
      <c r="F60" s="329"/>
      <c r="G60" s="401"/>
      <c r="H60" s="480"/>
      <c r="I60" s="405"/>
    </row>
    <row r="61" spans="1:10" ht="15" x14ac:dyDescent="0.15">
      <c r="A61" s="255"/>
      <c r="B61" s="481"/>
      <c r="C61" s="482"/>
      <c r="D61" s="476"/>
      <c r="E61" s="329"/>
      <c r="F61" s="329"/>
      <c r="G61" s="401"/>
      <c r="H61" s="405"/>
      <c r="I61" s="405"/>
    </row>
    <row r="62" spans="1:10" ht="15" x14ac:dyDescent="0.15">
      <c r="A62" s="255"/>
      <c r="B62" s="180"/>
      <c r="C62" s="482"/>
      <c r="D62" s="476"/>
      <c r="E62" s="329"/>
      <c r="F62" s="327"/>
      <c r="G62" s="401"/>
      <c r="H62" s="405"/>
      <c r="I62" s="405"/>
    </row>
    <row r="63" spans="1:10" ht="15" x14ac:dyDescent="0.15">
      <c r="A63" s="255"/>
      <c r="B63" s="180"/>
      <c r="C63" s="482"/>
      <c r="D63" s="476"/>
      <c r="E63" s="329"/>
      <c r="F63" s="329"/>
      <c r="G63" s="401"/>
      <c r="H63" s="483"/>
      <c r="I63" s="481"/>
    </row>
    <row r="64" spans="1:10" ht="15" x14ac:dyDescent="0.15">
      <c r="A64" s="255"/>
      <c r="B64" s="180"/>
      <c r="C64" s="482"/>
      <c r="D64" s="476"/>
      <c r="E64" s="329"/>
      <c r="F64" s="329"/>
      <c r="G64" s="401"/>
      <c r="H64" s="484"/>
      <c r="I64" s="481"/>
    </row>
    <row r="65" spans="1:9" ht="15" x14ac:dyDescent="0.15">
      <c r="A65" s="255"/>
      <c r="B65" s="180"/>
      <c r="C65" s="482"/>
      <c r="D65" s="476"/>
      <c r="E65" s="329"/>
      <c r="F65" s="329"/>
      <c r="G65" s="401"/>
      <c r="H65" s="480"/>
      <c r="I65" s="481"/>
    </row>
    <row r="66" spans="1:9" ht="15" x14ac:dyDescent="0.15">
      <c r="A66" s="255"/>
      <c r="B66" s="481"/>
      <c r="C66" s="482"/>
      <c r="D66" s="476"/>
      <c r="E66" s="329"/>
      <c r="F66" s="329"/>
      <c r="G66" s="401"/>
      <c r="H66" s="480"/>
      <c r="I66" s="481"/>
    </row>
    <row r="67" spans="1:9" ht="15" x14ac:dyDescent="0.15">
      <c r="A67" s="255"/>
      <c r="B67" s="180"/>
      <c r="C67" s="482"/>
      <c r="D67" s="476"/>
      <c r="E67" s="441"/>
      <c r="F67" s="329"/>
      <c r="G67" s="401"/>
      <c r="H67" s="480"/>
      <c r="I67" s="481"/>
    </row>
    <row r="68" spans="1:9" ht="15" x14ac:dyDescent="0.15">
      <c r="A68" s="383"/>
      <c r="B68" s="387"/>
      <c r="C68" s="182"/>
      <c r="D68" s="183"/>
      <c r="E68" s="389"/>
      <c r="F68" s="485"/>
      <c r="G68" s="486"/>
      <c r="H68" s="487"/>
      <c r="I68" s="383"/>
    </row>
    <row r="69" spans="1:9" ht="14" x14ac:dyDescent="0.15">
      <c r="A69" s="255"/>
      <c r="B69" s="304"/>
      <c r="C69" s="488"/>
      <c r="D69" s="488"/>
      <c r="E69" s="268"/>
      <c r="F69" s="332"/>
      <c r="G69" s="401"/>
      <c r="H69" s="489"/>
      <c r="I69" s="255"/>
    </row>
    <row r="70" spans="1:9" ht="15" x14ac:dyDescent="0.15">
      <c r="A70" s="387"/>
      <c r="B70" s="442"/>
      <c r="C70" s="184"/>
      <c r="D70" s="170"/>
      <c r="E70" s="441"/>
      <c r="F70" s="490"/>
      <c r="G70" s="441"/>
      <c r="H70" s="491"/>
      <c r="I70" s="255"/>
    </row>
    <row r="71" spans="1:9" ht="15" x14ac:dyDescent="0.15">
      <c r="A71" s="172"/>
      <c r="B71" s="442"/>
      <c r="C71" s="492"/>
      <c r="D71" s="493"/>
      <c r="E71" s="389"/>
      <c r="F71" s="390"/>
      <c r="G71" s="389"/>
      <c r="H71" s="491"/>
      <c r="I71" s="255"/>
    </row>
    <row r="72" spans="1:9" ht="15" x14ac:dyDescent="0.15">
      <c r="A72" s="180"/>
      <c r="B72" s="443"/>
      <c r="C72" s="174"/>
      <c r="D72" s="494"/>
      <c r="E72" s="268"/>
      <c r="F72" s="332"/>
      <c r="G72" s="401"/>
      <c r="H72" s="489"/>
      <c r="I72" s="255"/>
    </row>
    <row r="73" spans="1:9" ht="14" x14ac:dyDescent="0.15">
      <c r="A73" s="172"/>
      <c r="B73" s="387"/>
      <c r="C73" s="179"/>
      <c r="D73" s="466"/>
      <c r="E73" s="389"/>
      <c r="F73" s="390"/>
      <c r="G73" s="401"/>
      <c r="H73" s="491"/>
      <c r="I73" s="255"/>
    </row>
    <row r="74" spans="1:9" x14ac:dyDescent="0.15">
      <c r="A74" s="180"/>
      <c r="B74" s="304"/>
      <c r="C74" s="174"/>
      <c r="D74" s="333"/>
      <c r="E74" s="268"/>
      <c r="F74" s="332"/>
      <c r="G74" s="268"/>
      <c r="H74" s="489"/>
      <c r="I74" s="255"/>
    </row>
    <row r="75" spans="1:9" x14ac:dyDescent="0.15">
      <c r="A75" s="172"/>
      <c r="B75" s="387"/>
      <c r="C75" s="179"/>
      <c r="D75" s="466"/>
      <c r="E75" s="389"/>
      <c r="F75" s="390"/>
      <c r="G75" s="389"/>
      <c r="H75" s="491"/>
      <c r="I75" s="255"/>
    </row>
    <row r="76" spans="1:9" x14ac:dyDescent="0.15">
      <c r="A76" s="180"/>
      <c r="B76" s="304"/>
      <c r="C76" s="174"/>
      <c r="D76" s="333"/>
      <c r="E76" s="268"/>
      <c r="F76" s="332"/>
      <c r="G76" s="268"/>
      <c r="H76" s="489"/>
      <c r="I76" s="255"/>
    </row>
    <row r="77" spans="1:9" x14ac:dyDescent="0.15">
      <c r="A77" s="180"/>
      <c r="B77" s="304"/>
      <c r="C77" s="174"/>
      <c r="D77" s="338"/>
      <c r="E77" s="268"/>
      <c r="F77" s="332"/>
      <c r="G77" s="389"/>
      <c r="H77" s="491"/>
      <c r="I77" s="255"/>
    </row>
    <row r="78" spans="1:9" x14ac:dyDescent="0.15">
      <c r="A78" s="180"/>
      <c r="B78" s="304"/>
      <c r="C78" s="174"/>
      <c r="D78" s="333"/>
      <c r="E78" s="268"/>
      <c r="F78" s="495"/>
      <c r="G78" s="268"/>
      <c r="H78" s="175"/>
      <c r="I78" s="460"/>
    </row>
    <row r="79" spans="1:9" x14ac:dyDescent="0.15">
      <c r="A79" s="255"/>
      <c r="B79" s="304"/>
      <c r="C79" s="174"/>
      <c r="D79" s="333"/>
      <c r="E79" s="268"/>
      <c r="F79" s="495"/>
      <c r="G79" s="329"/>
      <c r="H79" s="489"/>
      <c r="I79" s="417"/>
    </row>
  </sheetData>
  <autoFilter ref="A1:M79" xr:uid="{CA0B6D8C-3C89-4F27-A2C4-A70DDCEF53BD}"/>
  <phoneticPr fontId="8" type="noConversion"/>
  <conditionalFormatting sqref="A2:A20 E3:F4 G3:G20 D4 B5:F14 C20:F20">
    <cfRule type="expression" dxfId="125" priority="154" stopIfTrue="1">
      <formula>($G2="Pass")</formula>
    </cfRule>
    <cfRule type="expression" dxfId="124" priority="153" stopIfTrue="1">
      <formula>($G2="Fail")</formula>
    </cfRule>
  </conditionalFormatting>
  <conditionalFormatting sqref="B15 D15:F15 B16:F18">
    <cfRule type="expression" dxfId="123" priority="116" stopIfTrue="1">
      <formula>($G15="Pass")</formula>
    </cfRule>
    <cfRule type="expression" dxfId="122" priority="115" stopIfTrue="1">
      <formula>($G15="Fail")</formula>
    </cfRule>
  </conditionalFormatting>
  <conditionalFormatting sqref="B24">
    <cfRule type="expression" dxfId="121" priority="27" stopIfTrue="1">
      <formula>($G24="Fail")</formula>
    </cfRule>
    <cfRule type="expression" dxfId="120" priority="28" stopIfTrue="1">
      <formula>($G24="Pass")</formula>
    </cfRule>
  </conditionalFormatting>
  <conditionalFormatting sqref="B30">
    <cfRule type="expression" dxfId="119" priority="98" stopIfTrue="1">
      <formula>($G30="Pass")</formula>
    </cfRule>
    <cfRule type="expression" dxfId="118" priority="97" stopIfTrue="1">
      <formula>($G30="Fail")</formula>
    </cfRule>
  </conditionalFormatting>
  <conditionalFormatting sqref="B33">
    <cfRule type="expression" dxfId="117" priority="86" stopIfTrue="1">
      <formula>($G33="Pass")</formula>
    </cfRule>
    <cfRule type="expression" dxfId="116" priority="85" stopIfTrue="1">
      <formula>($G33="Fail")</formula>
    </cfRule>
  </conditionalFormatting>
  <conditionalFormatting sqref="B39">
    <cfRule type="expression" dxfId="115" priority="80" stopIfTrue="1">
      <formula>($G39="Pass")</formula>
    </cfRule>
    <cfRule type="expression" dxfId="114" priority="79" stopIfTrue="1">
      <formula>($G39="Fail")</formula>
    </cfRule>
  </conditionalFormatting>
  <conditionalFormatting sqref="B42">
    <cfRule type="expression" dxfId="113" priority="74" stopIfTrue="1">
      <formula>($G42="Pass")</formula>
    </cfRule>
    <cfRule type="expression" dxfId="112" priority="73" stopIfTrue="1">
      <formula>($G42="Fail")</formula>
    </cfRule>
  </conditionalFormatting>
  <conditionalFormatting sqref="B45:B52 B54:B55">
    <cfRule type="expression" dxfId="111" priority="52" stopIfTrue="1">
      <formula>($G45="Pass")</formula>
    </cfRule>
    <cfRule type="expression" dxfId="110" priority="51" stopIfTrue="1">
      <formula>($G45="Fail")</formula>
    </cfRule>
  </conditionalFormatting>
  <conditionalFormatting sqref="B32:D32">
    <cfRule type="expression" dxfId="109" priority="88" stopIfTrue="1">
      <formula>($G32="Pass")</formula>
    </cfRule>
    <cfRule type="expression" dxfId="108" priority="87" stopIfTrue="1">
      <formula>($G32="Fail")</formula>
    </cfRule>
  </conditionalFormatting>
  <conditionalFormatting sqref="B2:G2">
    <cfRule type="expression" dxfId="107" priority="5" stopIfTrue="1">
      <formula>($G2="Fail")</formula>
    </cfRule>
    <cfRule type="expression" dxfId="106" priority="6" stopIfTrue="1">
      <formula>($G2="Pass")</formula>
    </cfRule>
  </conditionalFormatting>
  <conditionalFormatting sqref="C71">
    <cfRule type="expression" dxfId="105" priority="19" stopIfTrue="1">
      <formula>($G71="Fail")</formula>
    </cfRule>
    <cfRule type="expression" dxfId="104" priority="20" stopIfTrue="1">
      <formula>($G71="Pass")</formula>
    </cfRule>
  </conditionalFormatting>
  <conditionalFormatting sqref="C45:D45">
    <cfRule type="expression" dxfId="103" priority="67" stopIfTrue="1">
      <formula>($G45="Fail")</formula>
    </cfRule>
    <cfRule type="expression" dxfId="102" priority="68" stopIfTrue="1">
      <formula>($G45="Pass")</formula>
    </cfRule>
  </conditionalFormatting>
  <conditionalFormatting sqref="C49:D49">
    <cfRule type="expression" dxfId="101" priority="57" stopIfTrue="1">
      <formula>($G49="Fail")</formula>
    </cfRule>
    <cfRule type="expression" dxfId="100" priority="58" stopIfTrue="1">
      <formula>($G49="Pass")</formula>
    </cfRule>
  </conditionalFormatting>
  <conditionalFormatting sqref="C69:D69">
    <cfRule type="expression" dxfId="99" priority="22" stopIfTrue="1">
      <formula>($G69="Pass")</formula>
    </cfRule>
    <cfRule type="expression" dxfId="98" priority="21" stopIfTrue="1">
      <formula>($G69="Fail")</formula>
    </cfRule>
  </conditionalFormatting>
  <conditionalFormatting sqref="C28:E28">
    <cfRule type="expression" dxfId="97" priority="100" stopIfTrue="1">
      <formula>($G28="Pass")</formula>
    </cfRule>
    <cfRule type="expression" dxfId="96" priority="99" stopIfTrue="1">
      <formula>($G28="Fail")</formula>
    </cfRule>
  </conditionalFormatting>
  <conditionalFormatting sqref="D26">
    <cfRule type="expression" dxfId="95" priority="84" stopIfTrue="1">
      <formula>($G26="Pass")</formula>
    </cfRule>
    <cfRule type="expression" dxfId="94" priority="83" stopIfTrue="1">
      <formula>($G26="Fail")</formula>
    </cfRule>
  </conditionalFormatting>
  <conditionalFormatting sqref="D31">
    <cfRule type="expression" dxfId="93" priority="82" stopIfTrue="1">
      <formula>($G31="Pass")</formula>
    </cfRule>
    <cfRule type="expression" dxfId="92" priority="81" stopIfTrue="1">
      <formula>($G31="Fail")</formula>
    </cfRule>
  </conditionalFormatting>
  <conditionalFormatting sqref="E58 E62">
    <cfRule type="expression" dxfId="91" priority="50" stopIfTrue="1">
      <formula>($G58="Pass")</formula>
    </cfRule>
  </conditionalFormatting>
  <conditionalFormatting sqref="E58:E62">
    <cfRule type="expression" dxfId="90" priority="49" stopIfTrue="1">
      <formula>($G58="Fail")</formula>
    </cfRule>
  </conditionalFormatting>
  <conditionalFormatting sqref="E59:E62">
    <cfRule type="expression" dxfId="89" priority="48" stopIfTrue="1">
      <formula>($G59="Pass")</formula>
    </cfRule>
  </conditionalFormatting>
  <conditionalFormatting sqref="E63:F63 E67:F67">
    <cfRule type="expression" dxfId="88" priority="31" stopIfTrue="1">
      <formula>($G63="Pass")</formula>
    </cfRule>
  </conditionalFormatting>
  <conditionalFormatting sqref="E63:F67">
    <cfRule type="expression" dxfId="87" priority="30" stopIfTrue="1">
      <formula>($G63="Fail")</formula>
    </cfRule>
  </conditionalFormatting>
  <conditionalFormatting sqref="F60:F61">
    <cfRule type="expression" dxfId="86" priority="45" stopIfTrue="1">
      <formula>($G60="Pass")</formula>
    </cfRule>
    <cfRule type="expression" dxfId="85" priority="44" stopIfTrue="1">
      <formula>($G60="Fail")</formula>
    </cfRule>
  </conditionalFormatting>
  <conditionalFormatting sqref="F63:F66 E64:E67">
    <cfRule type="expression" dxfId="84" priority="29" stopIfTrue="1">
      <formula>($G63="Pass")</formula>
    </cfRule>
  </conditionalFormatting>
  <conditionalFormatting sqref="F68">
    <cfRule type="expression" dxfId="83" priority="25" stopIfTrue="1">
      <formula>($G68="Fail")</formula>
    </cfRule>
    <cfRule type="expression" dxfId="82" priority="26" stopIfTrue="1">
      <formula>($G68="Pass")</formula>
    </cfRule>
  </conditionalFormatting>
  <conditionalFormatting sqref="F58:G58">
    <cfRule type="expression" dxfId="81" priority="43" stopIfTrue="1">
      <formula>($G58="Pass")</formula>
    </cfRule>
    <cfRule type="expression" dxfId="80" priority="42" stopIfTrue="1">
      <formula>($G58="Fail")</formula>
    </cfRule>
  </conditionalFormatting>
  <conditionalFormatting sqref="G22">
    <cfRule type="expression" dxfId="79" priority="18" stopIfTrue="1">
      <formula>($G22="Pass")</formula>
    </cfRule>
    <cfRule type="expression" dxfId="78" priority="17" stopIfTrue="1">
      <formula>($G22="Fail")</formula>
    </cfRule>
  </conditionalFormatting>
  <conditionalFormatting sqref="G26">
    <cfRule type="expression" dxfId="77" priority="16" stopIfTrue="1">
      <formula>($G26="Pass")</formula>
    </cfRule>
    <cfRule type="expression" dxfId="76" priority="15" stopIfTrue="1">
      <formula>($G26="Fail")</formula>
    </cfRule>
  </conditionalFormatting>
  <conditionalFormatting sqref="G59:G69">
    <cfRule type="expression" dxfId="75" priority="33" stopIfTrue="1">
      <formula>($G59="Pass")</formula>
    </cfRule>
    <cfRule type="expression" dxfId="74" priority="32" stopIfTrue="1">
      <formula>($G59="Fail")</formula>
    </cfRule>
  </conditionalFormatting>
  <conditionalFormatting sqref="G72:G73">
    <cfRule type="expression" dxfId="73" priority="14" stopIfTrue="1">
      <formula>($G72="Pass")</formula>
    </cfRule>
    <cfRule type="expression" dxfId="72" priority="13" stopIfTrue="1">
      <formula>($G72="Fail")</formula>
    </cfRule>
  </conditionalFormatting>
  <dataValidations count="1">
    <dataValidation type="list" allowBlank="1" showInputMessage="1" showErrorMessage="1" sqref="G1:G1048576" xr:uid="{621F7A0B-0FAE-4511-A609-9AF0E908A047}">
      <formula1>statuslist</formula1>
    </dataValidation>
  </dataValidations>
  <pageMargins left="0.7" right="0.7" top="0.75" bottom="0.75" header="0.3" footer="0.3"/>
  <pageSetup paperSize="9" orientation="portrait" r:id="rId1"/>
  <headerFooter>
    <oddHeader>&amp;C&amp;"Calibri"&amp;10&amp;K737373 Serco Business - Commercial in Confidence&amp;1#_x000D_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183D0-3854-4991-8222-E68BF8D8ACF3}">
  <sheetPr>
    <tabColor theme="6" tint="0.39997558519241921"/>
  </sheetPr>
  <dimension ref="A1:K42"/>
  <sheetViews>
    <sheetView zoomScale="70" zoomScaleNormal="70" workbookViewId="0">
      <selection activeCell="B12" sqref="B12"/>
    </sheetView>
  </sheetViews>
  <sheetFormatPr baseColWidth="10" defaultColWidth="8.6640625" defaultRowHeight="13" x14ac:dyDescent="0.15"/>
  <cols>
    <col min="1" max="1" width="11.1640625" style="57" customWidth="1"/>
    <col min="2" max="2" width="34.33203125" style="71" customWidth="1"/>
    <col min="3" max="3" width="38.5" style="49" customWidth="1"/>
    <col min="4" max="4" width="33.5" style="48" customWidth="1"/>
    <col min="5" max="5" width="10.5" style="72" bestFit="1" customWidth="1"/>
    <col min="6" max="6" width="11.83203125" style="73" customWidth="1"/>
    <col min="7" max="7" width="16.5" style="72" customWidth="1"/>
    <col min="8" max="8" width="46.83203125" style="55" customWidth="1"/>
    <col min="9" max="9" width="27.6640625" style="57" customWidth="1"/>
    <col min="10" max="10" width="24.33203125" style="57" customWidth="1"/>
    <col min="11" max="11" width="14.33203125" style="57" customWidth="1"/>
    <col min="12" max="16384" width="8.6640625" style="57"/>
  </cols>
  <sheetData>
    <row r="1" spans="1:11" ht="28" x14ac:dyDescent="0.15">
      <c r="A1" s="67" t="s">
        <v>60</v>
      </c>
      <c r="B1" s="68" t="s">
        <v>61</v>
      </c>
      <c r="C1" s="68" t="s">
        <v>62</v>
      </c>
      <c r="D1" s="68" t="s">
        <v>63</v>
      </c>
      <c r="E1" s="67" t="s">
        <v>64</v>
      </c>
      <c r="F1" s="69" t="s">
        <v>65</v>
      </c>
      <c r="G1" s="68" t="s">
        <v>66</v>
      </c>
      <c r="H1" s="70" t="s">
        <v>67</v>
      </c>
      <c r="I1" s="68" t="s">
        <v>68</v>
      </c>
      <c r="J1" s="68" t="s">
        <v>242</v>
      </c>
      <c r="K1" s="68" t="s">
        <v>243</v>
      </c>
    </row>
    <row r="2" spans="1:11" x14ac:dyDescent="0.15">
      <c r="A2" s="91"/>
      <c r="B2" s="47"/>
      <c r="C2" s="116"/>
      <c r="D2" s="115"/>
      <c r="E2" s="66"/>
      <c r="F2" s="66"/>
      <c r="G2" s="52"/>
      <c r="H2" s="64"/>
      <c r="I2" s="60"/>
      <c r="J2" s="61"/>
      <c r="K2" s="61"/>
    </row>
    <row r="3" spans="1:11" x14ac:dyDescent="0.15">
      <c r="A3" s="90"/>
      <c r="B3" s="47"/>
      <c r="C3" s="116"/>
      <c r="D3" s="115"/>
      <c r="E3" s="66"/>
      <c r="F3" s="66"/>
      <c r="G3" s="52"/>
      <c r="H3" s="144"/>
      <c r="I3" s="60"/>
      <c r="J3" s="61"/>
      <c r="K3" s="61"/>
    </row>
    <row r="4" spans="1:11" x14ac:dyDescent="0.15">
      <c r="A4" s="91"/>
      <c r="B4" s="47"/>
      <c r="C4" s="116"/>
      <c r="D4" s="115"/>
      <c r="E4" s="66"/>
      <c r="F4" s="66"/>
      <c r="G4" s="52"/>
      <c r="H4" s="64"/>
      <c r="I4" s="60"/>
      <c r="J4" s="61"/>
      <c r="K4" s="61"/>
    </row>
    <row r="5" spans="1:11" x14ac:dyDescent="0.15">
      <c r="A5" s="91"/>
      <c r="B5" s="47"/>
      <c r="C5" s="116"/>
      <c r="D5" s="115"/>
      <c r="E5" s="66"/>
      <c r="F5" s="66"/>
      <c r="G5" s="52"/>
      <c r="H5" s="64"/>
      <c r="I5" s="60"/>
      <c r="J5" s="61"/>
      <c r="K5" s="61"/>
    </row>
    <row r="6" spans="1:11" x14ac:dyDescent="0.15">
      <c r="A6" s="93"/>
      <c r="B6" s="47"/>
      <c r="C6" s="121"/>
      <c r="D6" s="122"/>
      <c r="E6" s="66"/>
      <c r="F6" s="66"/>
      <c r="G6" s="52"/>
      <c r="H6" s="65"/>
      <c r="I6" s="60"/>
      <c r="J6" s="61"/>
      <c r="K6" s="61"/>
    </row>
    <row r="7" spans="1:11" x14ac:dyDescent="0.15">
      <c r="A7" s="90"/>
      <c r="B7" s="47"/>
      <c r="C7" s="119"/>
      <c r="D7" s="119"/>
      <c r="E7" s="66"/>
      <c r="F7" s="66"/>
      <c r="G7" s="52"/>
      <c r="H7" s="65"/>
      <c r="I7" s="60"/>
      <c r="J7" s="61"/>
      <c r="K7" s="61"/>
    </row>
    <row r="8" spans="1:11" x14ac:dyDescent="0.15">
      <c r="A8" s="90"/>
      <c r="B8" s="47"/>
      <c r="C8" s="119"/>
      <c r="D8" s="119"/>
      <c r="E8" s="66"/>
      <c r="F8" s="66"/>
      <c r="G8" s="52"/>
      <c r="H8" s="65"/>
      <c r="I8" s="60"/>
      <c r="J8" s="61"/>
      <c r="K8" s="61"/>
    </row>
    <row r="9" spans="1:11" x14ac:dyDescent="0.15">
      <c r="A9" s="90"/>
      <c r="B9" s="47"/>
      <c r="C9" s="119"/>
      <c r="D9" s="119"/>
      <c r="E9" s="66"/>
      <c r="F9" s="66"/>
      <c r="G9" s="52"/>
      <c r="H9" s="65"/>
      <c r="I9" s="60"/>
      <c r="J9" s="61"/>
      <c r="K9" s="61"/>
    </row>
    <row r="10" spans="1:11" x14ac:dyDescent="0.15">
      <c r="A10" s="90"/>
      <c r="B10" s="47"/>
      <c r="C10" s="119"/>
      <c r="D10" s="119"/>
      <c r="E10" s="66"/>
      <c r="F10" s="66"/>
      <c r="G10" s="52"/>
      <c r="H10" s="65"/>
      <c r="I10" s="60"/>
      <c r="J10" s="61"/>
      <c r="K10" s="61"/>
    </row>
    <row r="11" spans="1:11" x14ac:dyDescent="0.15">
      <c r="A11" s="90"/>
      <c r="B11" s="47"/>
      <c r="C11" s="119"/>
      <c r="D11" s="119"/>
      <c r="E11" s="66"/>
      <c r="F11" s="66"/>
      <c r="G11" s="52"/>
      <c r="H11" s="65"/>
      <c r="I11" s="60"/>
      <c r="J11" s="61"/>
      <c r="K11" s="61"/>
    </row>
    <row r="12" spans="1:11" x14ac:dyDescent="0.15">
      <c r="A12" s="92"/>
      <c r="B12" s="50"/>
      <c r="C12" s="123"/>
      <c r="D12" s="51"/>
      <c r="E12" s="66"/>
      <c r="F12" s="66"/>
      <c r="G12" s="52"/>
      <c r="H12" s="65"/>
      <c r="I12" s="60"/>
      <c r="J12" s="61"/>
      <c r="K12" s="61"/>
    </row>
    <row r="13" spans="1:11" x14ac:dyDescent="0.15">
      <c r="A13" s="47"/>
      <c r="B13" s="50"/>
      <c r="C13" s="51"/>
      <c r="D13" s="51"/>
      <c r="E13" s="52"/>
      <c r="F13" s="66"/>
      <c r="G13" s="52"/>
      <c r="H13" s="64"/>
      <c r="I13" s="60"/>
      <c r="J13" s="61"/>
      <c r="K13" s="61"/>
    </row>
    <row r="14" spans="1:11" x14ac:dyDescent="0.15">
      <c r="A14" s="47"/>
      <c r="B14" s="47"/>
      <c r="C14" s="51"/>
      <c r="D14" s="51"/>
      <c r="E14" s="52"/>
      <c r="F14" s="66"/>
      <c r="G14" s="52"/>
      <c r="H14" s="64"/>
      <c r="I14" s="60"/>
      <c r="J14" s="61"/>
      <c r="K14" s="61"/>
    </row>
    <row r="15" spans="1:11" x14ac:dyDescent="0.15">
      <c r="A15" s="47"/>
      <c r="B15" s="47"/>
      <c r="C15" s="51"/>
      <c r="D15" s="51"/>
      <c r="E15" s="52"/>
      <c r="F15" s="66"/>
      <c r="G15" s="52"/>
      <c r="H15" s="64"/>
      <c r="I15" s="60"/>
      <c r="J15" s="61"/>
      <c r="K15" s="61"/>
    </row>
    <row r="16" spans="1:11" x14ac:dyDescent="0.15">
      <c r="A16" s="47"/>
      <c r="B16" s="50"/>
      <c r="C16" s="51"/>
      <c r="D16" s="51"/>
      <c r="E16" s="52"/>
      <c r="F16" s="66"/>
      <c r="G16" s="52"/>
      <c r="H16" s="64"/>
      <c r="I16" s="60"/>
      <c r="J16" s="61"/>
      <c r="K16" s="61"/>
    </row>
    <row r="17" spans="1:11" x14ac:dyDescent="0.15">
      <c r="A17" s="47"/>
      <c r="B17" s="91"/>
      <c r="C17" s="51"/>
      <c r="D17" s="51"/>
      <c r="E17" s="52"/>
      <c r="F17" s="66"/>
      <c r="G17" s="52"/>
      <c r="H17" s="65"/>
      <c r="I17" s="60"/>
      <c r="J17" s="61"/>
      <c r="K17" s="61"/>
    </row>
    <row r="18" spans="1:11" x14ac:dyDescent="0.15">
      <c r="A18" s="47"/>
      <c r="B18" s="93"/>
      <c r="C18" s="51"/>
      <c r="D18" s="51"/>
      <c r="E18" s="52"/>
      <c r="F18" s="66"/>
      <c r="G18" s="52"/>
      <c r="H18" s="64"/>
      <c r="I18" s="60"/>
      <c r="J18" s="61"/>
      <c r="K18" s="61"/>
    </row>
    <row r="19" spans="1:11" x14ac:dyDescent="0.15">
      <c r="A19" s="47"/>
      <c r="B19" s="47"/>
      <c r="C19" s="51"/>
      <c r="D19" s="51"/>
      <c r="E19" s="52"/>
      <c r="F19" s="66"/>
      <c r="G19" s="52"/>
      <c r="H19" s="64"/>
      <c r="I19" s="60"/>
      <c r="J19" s="61"/>
      <c r="K19" s="61"/>
    </row>
    <row r="20" spans="1:11" x14ac:dyDescent="0.15">
      <c r="A20" s="47"/>
      <c r="B20" s="50"/>
      <c r="C20" s="51"/>
      <c r="D20" s="51"/>
      <c r="E20" s="52"/>
      <c r="F20" s="66"/>
      <c r="G20" s="52"/>
      <c r="H20" s="65"/>
      <c r="I20" s="60"/>
      <c r="J20" s="61"/>
      <c r="K20" s="61"/>
    </row>
    <row r="21" spans="1:11" x14ac:dyDescent="0.15">
      <c r="A21" s="47"/>
      <c r="B21" s="50"/>
      <c r="C21" s="51"/>
      <c r="D21" s="51"/>
      <c r="E21" s="52"/>
      <c r="F21" s="66"/>
      <c r="G21" s="52"/>
      <c r="H21" s="65"/>
      <c r="I21" s="60"/>
      <c r="J21" s="61"/>
      <c r="K21" s="61"/>
    </row>
    <row r="22" spans="1:11" x14ac:dyDescent="0.15">
      <c r="A22" s="47"/>
      <c r="B22" s="129"/>
      <c r="C22" s="51"/>
      <c r="D22" s="51"/>
      <c r="E22" s="52"/>
      <c r="F22" s="66"/>
      <c r="G22" s="52"/>
      <c r="H22" s="65"/>
      <c r="I22" s="60"/>
      <c r="J22" s="61"/>
      <c r="K22" s="61"/>
    </row>
    <row r="23" spans="1:11" x14ac:dyDescent="0.15">
      <c r="A23" s="47"/>
      <c r="B23" s="129"/>
      <c r="C23" s="51"/>
      <c r="D23" s="51"/>
      <c r="E23" s="52"/>
      <c r="F23" s="66"/>
      <c r="G23" s="52"/>
      <c r="H23" s="65"/>
      <c r="I23" s="60"/>
      <c r="J23" s="61"/>
      <c r="K23" s="61"/>
    </row>
    <row r="24" spans="1:11" x14ac:dyDescent="0.15">
      <c r="A24" s="47"/>
      <c r="B24" s="129"/>
      <c r="C24" s="51"/>
      <c r="D24" s="51"/>
      <c r="E24" s="52"/>
      <c r="F24" s="66"/>
      <c r="G24" s="52"/>
      <c r="H24" s="65"/>
      <c r="I24" s="60"/>
      <c r="J24" s="61"/>
      <c r="K24" s="61"/>
    </row>
    <row r="25" spans="1:11" x14ac:dyDescent="0.15">
      <c r="A25" s="47"/>
      <c r="B25" s="129"/>
      <c r="C25" s="51"/>
      <c r="D25" s="51"/>
      <c r="E25" s="52"/>
      <c r="F25" s="66"/>
      <c r="G25" s="52"/>
      <c r="H25" s="65"/>
      <c r="I25" s="60"/>
      <c r="J25" s="61"/>
      <c r="K25" s="61"/>
    </row>
    <row r="26" spans="1:11" x14ac:dyDescent="0.15">
      <c r="A26" s="47"/>
      <c r="B26" s="129"/>
      <c r="C26" s="51"/>
      <c r="D26" s="51"/>
      <c r="E26" s="52"/>
      <c r="F26" s="66"/>
      <c r="G26" s="52"/>
      <c r="H26" s="65"/>
      <c r="I26" s="60"/>
      <c r="J26" s="61"/>
      <c r="K26" s="61"/>
    </row>
    <row r="27" spans="1:11" x14ac:dyDescent="0.15">
      <c r="A27" s="47"/>
      <c r="B27" s="129"/>
      <c r="C27" s="51"/>
      <c r="D27" s="51"/>
      <c r="E27" s="52"/>
      <c r="F27" s="66"/>
      <c r="G27" s="52"/>
      <c r="H27" s="64"/>
      <c r="I27" s="60"/>
      <c r="J27" s="61"/>
      <c r="K27" s="61"/>
    </row>
    <row r="28" spans="1:11" x14ac:dyDescent="0.15">
      <c r="A28" s="47"/>
      <c r="B28" s="129"/>
      <c r="C28" s="51"/>
      <c r="D28" s="51"/>
      <c r="E28" s="52"/>
      <c r="F28" s="66"/>
      <c r="G28" s="52"/>
      <c r="H28" s="64"/>
      <c r="I28" s="60"/>
      <c r="J28" s="61"/>
      <c r="K28" s="61"/>
    </row>
    <row r="29" spans="1:11" x14ac:dyDescent="0.15">
      <c r="A29" s="47"/>
      <c r="B29" s="129"/>
      <c r="C29" s="51"/>
      <c r="D29" s="51"/>
      <c r="E29" s="52"/>
      <c r="F29" s="66"/>
      <c r="G29" s="52"/>
      <c r="H29" s="64"/>
      <c r="I29" s="60"/>
      <c r="J29" s="61"/>
      <c r="K29" s="61"/>
    </row>
    <row r="30" spans="1:11" x14ac:dyDescent="0.15">
      <c r="A30" s="47"/>
      <c r="B30" s="129"/>
      <c r="C30" s="51"/>
      <c r="D30" s="51"/>
      <c r="E30" s="52"/>
      <c r="F30" s="66"/>
      <c r="G30" s="52"/>
      <c r="H30" s="64"/>
      <c r="I30" s="60"/>
      <c r="J30" s="61"/>
      <c r="K30" s="61"/>
    </row>
    <row r="31" spans="1:11" x14ac:dyDescent="0.15">
      <c r="A31" s="47"/>
      <c r="B31" s="129"/>
      <c r="C31" s="51"/>
      <c r="D31" s="51"/>
      <c r="E31" s="52"/>
      <c r="F31" s="66"/>
      <c r="G31" s="52"/>
      <c r="H31" s="64"/>
      <c r="I31" s="60"/>
      <c r="J31" s="61"/>
      <c r="K31" s="61"/>
    </row>
    <row r="32" spans="1:11" x14ac:dyDescent="0.15">
      <c r="A32" s="47"/>
      <c r="B32" s="129"/>
      <c r="C32" s="51"/>
      <c r="D32" s="51"/>
      <c r="E32" s="52"/>
      <c r="F32" s="66"/>
      <c r="G32" s="52"/>
      <c r="H32" s="64"/>
      <c r="I32" s="60"/>
      <c r="J32" s="61"/>
      <c r="K32" s="61"/>
    </row>
    <row r="33" spans="1:11" x14ac:dyDescent="0.15">
      <c r="A33" s="47"/>
      <c r="B33" s="129"/>
      <c r="C33" s="51"/>
      <c r="D33" s="51"/>
      <c r="E33" s="52"/>
      <c r="F33" s="66"/>
      <c r="G33" s="52"/>
      <c r="H33" s="64"/>
      <c r="I33" s="60"/>
      <c r="J33" s="61"/>
      <c r="K33" s="61"/>
    </row>
    <row r="34" spans="1:11" x14ac:dyDescent="0.15">
      <c r="A34" s="47"/>
      <c r="B34" s="129"/>
      <c r="C34" s="51"/>
      <c r="D34" s="53"/>
      <c r="E34" s="52"/>
      <c r="F34" s="66"/>
      <c r="G34" s="52"/>
      <c r="H34" s="64"/>
      <c r="I34" s="60"/>
      <c r="J34" s="61"/>
      <c r="K34" s="61"/>
    </row>
    <row r="35" spans="1:11" x14ac:dyDescent="0.15">
      <c r="A35" s="47"/>
      <c r="B35" s="129"/>
      <c r="C35" s="51"/>
      <c r="D35" s="53"/>
      <c r="E35" s="52"/>
      <c r="F35" s="66"/>
      <c r="G35" s="52"/>
      <c r="H35" s="64"/>
      <c r="I35" s="60"/>
      <c r="J35" s="61"/>
      <c r="K35" s="61"/>
    </row>
    <row r="36" spans="1:11" x14ac:dyDescent="0.15">
      <c r="A36" s="47"/>
      <c r="B36" s="129"/>
      <c r="C36" s="51"/>
      <c r="D36" s="53"/>
      <c r="E36" s="52"/>
      <c r="F36" s="66"/>
      <c r="G36" s="52"/>
      <c r="H36" s="64"/>
      <c r="I36" s="60"/>
      <c r="J36" s="61"/>
      <c r="K36" s="61"/>
    </row>
    <row r="37" spans="1:11" x14ac:dyDescent="0.15">
      <c r="A37" s="47"/>
      <c r="B37" s="129"/>
      <c r="C37" s="51"/>
      <c r="D37" s="53"/>
      <c r="E37" s="52"/>
      <c r="F37" s="66"/>
      <c r="G37" s="52"/>
      <c r="H37" s="64"/>
      <c r="I37" s="60"/>
      <c r="J37" s="61"/>
      <c r="K37" s="61"/>
    </row>
    <row r="38" spans="1:11" x14ac:dyDescent="0.15">
      <c r="A38" s="47"/>
      <c r="B38" s="129"/>
      <c r="C38" s="51"/>
      <c r="D38" s="53"/>
      <c r="E38" s="52"/>
      <c r="F38" s="66"/>
      <c r="G38" s="52"/>
      <c r="H38" s="65"/>
      <c r="I38" s="60"/>
      <c r="J38" s="61"/>
      <c r="K38" s="61"/>
    </row>
    <row r="39" spans="1:11" x14ac:dyDescent="0.15">
      <c r="A39" s="47"/>
      <c r="B39" s="47"/>
      <c r="C39" s="51"/>
      <c r="D39" s="53"/>
      <c r="E39" s="52"/>
      <c r="F39" s="66"/>
      <c r="G39" s="52"/>
      <c r="H39" s="65"/>
      <c r="I39" s="60"/>
      <c r="J39" s="61"/>
      <c r="K39" s="61"/>
    </row>
    <row r="40" spans="1:11" x14ac:dyDescent="0.15">
      <c r="A40" s="47"/>
      <c r="B40" s="47"/>
      <c r="C40" s="51"/>
      <c r="D40" s="53"/>
      <c r="E40" s="52"/>
      <c r="F40" s="66"/>
      <c r="G40" s="52"/>
      <c r="H40" s="65"/>
      <c r="I40" s="60"/>
      <c r="J40" s="61"/>
      <c r="K40" s="61"/>
    </row>
    <row r="41" spans="1:11" x14ac:dyDescent="0.15">
      <c r="A41" s="47"/>
      <c r="B41" s="47"/>
      <c r="C41" s="51"/>
      <c r="D41" s="53"/>
      <c r="E41" s="52"/>
      <c r="F41" s="66"/>
      <c r="G41" s="52"/>
      <c r="H41" s="65"/>
      <c r="I41" s="60"/>
      <c r="J41" s="61"/>
      <c r="K41" s="61"/>
    </row>
    <row r="42" spans="1:11" x14ac:dyDescent="0.15">
      <c r="A42" s="47"/>
      <c r="B42" s="47"/>
      <c r="C42" s="51"/>
      <c r="D42" s="53"/>
      <c r="E42" s="52"/>
      <c r="F42" s="66"/>
      <c r="G42" s="52"/>
      <c r="H42" s="65"/>
      <c r="I42" s="60"/>
      <c r="J42" s="61"/>
      <c r="K42" s="61"/>
    </row>
  </sheetData>
  <phoneticPr fontId="2" type="noConversion"/>
  <conditionalFormatting sqref="A2:A20">
    <cfRule type="expression" dxfId="71" priority="33" stopIfTrue="1">
      <formula>($G2="Fail")</formula>
    </cfRule>
    <cfRule type="expression" dxfId="70" priority="34" stopIfTrue="1">
      <formula>($G2="Pass")</formula>
    </cfRule>
  </conditionalFormatting>
  <conditionalFormatting sqref="B2:B19">
    <cfRule type="expression" dxfId="69" priority="13" stopIfTrue="1">
      <formula>($G2="Fail")</formula>
    </cfRule>
    <cfRule type="expression" dxfId="68" priority="14" stopIfTrue="1">
      <formula>($G2="Pass")</formula>
    </cfRule>
  </conditionalFormatting>
  <conditionalFormatting sqref="B20">
    <cfRule type="expression" dxfId="67" priority="28" stopIfTrue="1">
      <formula>($G20="Pass")</formula>
    </cfRule>
  </conditionalFormatting>
  <conditionalFormatting sqref="B22:B38">
    <cfRule type="expression" dxfId="66" priority="5" stopIfTrue="1">
      <formula>($G22="Fail")</formula>
    </cfRule>
    <cfRule type="expression" dxfId="65" priority="6" stopIfTrue="1">
      <formula>($G22="Pass")</formula>
    </cfRule>
  </conditionalFormatting>
  <conditionalFormatting sqref="B20:F20">
    <cfRule type="expression" dxfId="64" priority="27" stopIfTrue="1">
      <formula>($G20="Fail")</formula>
    </cfRule>
  </conditionalFormatting>
  <conditionalFormatting sqref="C13:F18 G13:G19">
    <cfRule type="expression" dxfId="63" priority="64" stopIfTrue="1">
      <formula>($G13="Pass")</formula>
    </cfRule>
  </conditionalFormatting>
  <conditionalFormatting sqref="C13:F18">
    <cfRule type="expression" dxfId="62" priority="63" stopIfTrue="1">
      <formula>($G13="Fail")</formula>
    </cfRule>
  </conditionalFormatting>
  <conditionalFormatting sqref="C2:G12">
    <cfRule type="expression" dxfId="61" priority="1" stopIfTrue="1">
      <formula>($G2="Fail")</formula>
    </cfRule>
    <cfRule type="expression" dxfId="60" priority="2" stopIfTrue="1">
      <formula>($G2="Pass")</formula>
    </cfRule>
  </conditionalFormatting>
  <conditionalFormatting sqref="C20:G20">
    <cfRule type="expression" dxfId="59" priority="58" stopIfTrue="1">
      <formula>($G20="Pass")</formula>
    </cfRule>
  </conditionalFormatting>
  <conditionalFormatting sqref="G13:G20">
    <cfRule type="expression" dxfId="58" priority="57" stopIfTrue="1">
      <formula>($G13="Fail")</formula>
    </cfRule>
  </conditionalFormatting>
  <dataValidations count="1">
    <dataValidation type="list" allowBlank="1" showInputMessage="1" showErrorMessage="1" sqref="G1:G1048576" xr:uid="{4541377C-8752-4AF0-AC01-43C6621425B6}">
      <formula1>statuslist</formula1>
    </dataValidation>
  </dataValidations>
  <pageMargins left="0.7" right="0.7" top="0.75" bottom="0.75" header="0.3" footer="0.3"/>
  <pageSetup paperSize="9" orientation="portrait" r:id="rId1"/>
  <headerFooter>
    <oddHeader>&amp;C&amp;"Calibri"&amp;10&amp;K737373 Serco Business - Commercial in Confidence&amp;1#_x000D_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A14D6-4430-4FFF-AFBD-55EB76D17E08}">
  <dimension ref="A1:A9"/>
  <sheetViews>
    <sheetView workbookViewId="0">
      <selection activeCell="F22" sqref="F22"/>
    </sheetView>
  </sheetViews>
  <sheetFormatPr baseColWidth="10" defaultColWidth="8.83203125" defaultRowHeight="13" x14ac:dyDescent="0.15"/>
  <cols>
    <col min="1" max="1" width="26.6640625" customWidth="1"/>
  </cols>
  <sheetData>
    <row r="1" spans="1:1" x14ac:dyDescent="0.15">
      <c r="A1" s="11" t="s">
        <v>50</v>
      </c>
    </row>
    <row r="2" spans="1:1" x14ac:dyDescent="0.15">
      <c r="A2" s="11" t="s">
        <v>51</v>
      </c>
    </row>
    <row r="3" spans="1:1" x14ac:dyDescent="0.15">
      <c r="A3" s="11" t="s">
        <v>52</v>
      </c>
    </row>
    <row r="4" spans="1:1" x14ac:dyDescent="0.15">
      <c r="A4" s="54" t="s">
        <v>53</v>
      </c>
    </row>
    <row r="5" spans="1:1" x14ac:dyDescent="0.15">
      <c r="A5" s="11" t="s">
        <v>54</v>
      </c>
    </row>
    <row r="6" spans="1:1" x14ac:dyDescent="0.15">
      <c r="A6" s="11" t="s">
        <v>55</v>
      </c>
    </row>
    <row r="7" spans="1:1" x14ac:dyDescent="0.15">
      <c r="A7" s="54" t="s">
        <v>244</v>
      </c>
    </row>
    <row r="8" spans="1:1" x14ac:dyDescent="0.15">
      <c r="A8" s="54" t="s">
        <v>245</v>
      </c>
    </row>
    <row r="9" spans="1:1" ht="14" thickBot="1" x14ac:dyDescent="0.2">
      <c r="A9" s="12" t="s">
        <v>56</v>
      </c>
    </row>
  </sheetData>
  <pageMargins left="0.7" right="0.7" top="0.75" bottom="0.75" header="0.3" footer="0.3"/>
  <pageSetup paperSize="9" orientation="portrait" r:id="rId1"/>
  <headerFooter>
    <oddHeader>&amp;C&amp;"Calibri"&amp;10&amp;K737373 Serco Business - Commercial in Confidence&amp;1#_x000D_</oddHeader>
    <oddFooter>&amp;CSerco Internal</oddFooter>
    <evenFooter>&amp;CSerco Internal</evenFooter>
    <firstFooter>&amp;CSerco Internal</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2EA6D-4A1F-4FE6-8B72-CFCB9535306D}">
  <dimension ref="A1:N1048576"/>
  <sheetViews>
    <sheetView zoomScale="80" zoomScaleNormal="80" workbookViewId="0">
      <pane ySplit="1" topLeftCell="A2" activePane="bottomLeft" state="frozen"/>
      <selection pane="bottomLeft" activeCell="L2" sqref="L2"/>
    </sheetView>
  </sheetViews>
  <sheetFormatPr baseColWidth="10" defaultColWidth="8.83203125" defaultRowHeight="13" x14ac:dyDescent="0.15"/>
  <cols>
    <col min="2" max="2" width="12.1640625" customWidth="1"/>
    <col min="3" max="3" width="31" style="2" customWidth="1"/>
    <col min="4" max="4" width="34.1640625" style="2" customWidth="1"/>
    <col min="5" max="5" width="21.83203125" bestFit="1" customWidth="1"/>
    <col min="6" max="6" width="8.83203125" customWidth="1"/>
    <col min="7" max="7" width="10.83203125" style="137" bestFit="1" customWidth="1"/>
    <col min="8" max="8" width="11.1640625" style="137" customWidth="1"/>
    <col min="9" max="9" width="13.1640625" customWidth="1"/>
    <col min="10" max="10" width="11.6640625" style="2" customWidth="1"/>
    <col min="11" max="11" width="12.1640625" customWidth="1"/>
    <col min="12" max="12" width="34.5" style="2" customWidth="1"/>
    <col min="13" max="13" width="10.6640625" customWidth="1"/>
    <col min="14" max="14" width="27.1640625" customWidth="1"/>
  </cols>
  <sheetData>
    <row r="1" spans="1:14" s="37" customFormat="1" ht="42" x14ac:dyDescent="0.15">
      <c r="A1" s="36" t="s">
        <v>246</v>
      </c>
      <c r="B1" s="36" t="s">
        <v>60</v>
      </c>
      <c r="C1" s="36" t="s">
        <v>247</v>
      </c>
      <c r="D1" s="36" t="s">
        <v>248</v>
      </c>
      <c r="E1" s="35" t="s">
        <v>249</v>
      </c>
      <c r="F1" s="36" t="s">
        <v>250</v>
      </c>
      <c r="G1" s="135" t="s">
        <v>251</v>
      </c>
      <c r="H1" s="135" t="s">
        <v>252</v>
      </c>
      <c r="I1" s="36" t="s">
        <v>253</v>
      </c>
      <c r="J1" s="36" t="s">
        <v>66</v>
      </c>
      <c r="K1" s="36" t="s">
        <v>254</v>
      </c>
      <c r="L1" s="36" t="s">
        <v>255</v>
      </c>
      <c r="M1" s="35" t="s">
        <v>256</v>
      </c>
      <c r="N1" s="36" t="s">
        <v>67</v>
      </c>
    </row>
    <row r="2" spans="1:14" ht="28" x14ac:dyDescent="0.15">
      <c r="A2" s="244">
        <v>1</v>
      </c>
      <c r="B2" s="244"/>
      <c r="C2" s="245" t="s">
        <v>257</v>
      </c>
      <c r="D2" s="245"/>
      <c r="E2" s="246"/>
      <c r="F2" s="246"/>
      <c r="G2" s="247">
        <v>46041</v>
      </c>
      <c r="H2" s="247" t="s">
        <v>258</v>
      </c>
      <c r="I2" s="248"/>
      <c r="J2" s="249" t="s">
        <v>259</v>
      </c>
      <c r="K2" s="250" t="s">
        <v>260</v>
      </c>
      <c r="L2" s="249" t="s">
        <v>261</v>
      </c>
      <c r="M2" s="248"/>
      <c r="N2" s="245" t="s">
        <v>262</v>
      </c>
    </row>
    <row r="3" spans="1:14" ht="60" customHeight="1" x14ac:dyDescent="0.2">
      <c r="A3" s="225">
        <v>2</v>
      </c>
      <c r="B3" s="237" t="s">
        <v>161</v>
      </c>
      <c r="C3" s="236" t="s">
        <v>263</v>
      </c>
      <c r="D3" s="236" t="s">
        <v>264</v>
      </c>
      <c r="E3" s="238"/>
      <c r="F3" s="217"/>
      <c r="G3" s="218" t="s">
        <v>258</v>
      </c>
      <c r="H3" s="218" t="s">
        <v>265</v>
      </c>
      <c r="I3" s="219"/>
      <c r="J3" s="226" t="s">
        <v>266</v>
      </c>
      <c r="K3" s="220" t="s">
        <v>260</v>
      </c>
      <c r="L3" s="227" t="s">
        <v>267</v>
      </c>
      <c r="M3" s="219"/>
      <c r="N3" s="217" t="s">
        <v>268</v>
      </c>
    </row>
    <row r="4" spans="1:14" ht="48" customHeight="1" x14ac:dyDescent="0.2">
      <c r="A4" s="215">
        <v>3</v>
      </c>
      <c r="B4" s="237" t="s">
        <v>161</v>
      </c>
      <c r="C4" s="236" t="s">
        <v>269</v>
      </c>
      <c r="D4" s="236" t="s">
        <v>270</v>
      </c>
      <c r="E4" s="238"/>
      <c r="F4" s="217"/>
      <c r="G4" s="218" t="s">
        <v>258</v>
      </c>
      <c r="H4" s="218">
        <v>46053</v>
      </c>
      <c r="I4" s="219"/>
      <c r="J4" s="226" t="s">
        <v>266</v>
      </c>
      <c r="K4" s="220" t="s">
        <v>260</v>
      </c>
      <c r="L4" s="227" t="s">
        <v>267</v>
      </c>
      <c r="M4" s="219"/>
      <c r="N4" s="216" t="s">
        <v>271</v>
      </c>
    </row>
    <row r="5" spans="1:14" ht="15" x14ac:dyDescent="0.2">
      <c r="A5" s="59">
        <v>4</v>
      </c>
      <c r="B5" s="239"/>
      <c r="C5" s="240"/>
      <c r="D5" s="240"/>
      <c r="E5" s="241"/>
      <c r="F5" s="61"/>
      <c r="G5" s="156"/>
      <c r="H5" s="157"/>
      <c r="I5" s="62"/>
      <c r="J5" s="63"/>
      <c r="K5" s="155"/>
      <c r="L5" s="60"/>
      <c r="M5" s="62"/>
      <c r="N5" s="63"/>
    </row>
    <row r="6" spans="1:14" x14ac:dyDescent="0.15">
      <c r="A6" s="58">
        <v>5</v>
      </c>
      <c r="B6" s="47"/>
      <c r="C6" s="242"/>
      <c r="D6" s="243"/>
      <c r="E6" s="61"/>
      <c r="F6" s="61"/>
      <c r="G6" s="156"/>
      <c r="H6" s="157"/>
      <c r="I6" s="62"/>
      <c r="J6" s="63"/>
      <c r="K6" s="155"/>
      <c r="L6" s="60"/>
      <c r="M6" s="62"/>
      <c r="N6" s="63"/>
    </row>
    <row r="7" spans="1:14" x14ac:dyDescent="0.15">
      <c r="A7" s="59">
        <v>6</v>
      </c>
      <c r="B7" s="47"/>
      <c r="C7" s="76"/>
      <c r="D7" s="80"/>
      <c r="E7" s="61"/>
      <c r="F7" s="61"/>
      <c r="G7" s="156"/>
      <c r="H7" s="157"/>
      <c r="I7" s="62"/>
      <c r="J7" s="63"/>
      <c r="K7" s="155"/>
      <c r="L7" s="60"/>
      <c r="M7" s="62"/>
      <c r="N7" s="63"/>
    </row>
    <row r="8" spans="1:14" x14ac:dyDescent="0.15">
      <c r="A8" s="58">
        <v>7</v>
      </c>
      <c r="B8" s="47"/>
      <c r="C8" s="76"/>
      <c r="D8" s="76"/>
      <c r="E8" s="61"/>
      <c r="F8" s="61"/>
      <c r="G8" s="156"/>
      <c r="H8" s="157"/>
      <c r="I8" s="62"/>
      <c r="J8" s="63"/>
      <c r="K8" s="155"/>
      <c r="L8" s="60"/>
      <c r="M8" s="62"/>
      <c r="N8" s="63"/>
    </row>
    <row r="9" spans="1:14" x14ac:dyDescent="0.15">
      <c r="A9" s="59">
        <v>8</v>
      </c>
      <c r="B9" s="47"/>
      <c r="C9" s="80"/>
      <c r="D9" s="80"/>
      <c r="E9" s="61"/>
      <c r="F9" s="61"/>
      <c r="G9" s="156"/>
      <c r="H9" s="157"/>
      <c r="I9" s="62"/>
      <c r="J9" s="63"/>
      <c r="K9" s="155"/>
      <c r="L9" s="63"/>
      <c r="M9" s="62"/>
      <c r="N9" s="63"/>
    </row>
    <row r="10" spans="1:14" x14ac:dyDescent="0.15">
      <c r="A10" s="58">
        <v>9</v>
      </c>
      <c r="B10" s="47"/>
      <c r="C10" s="80"/>
      <c r="D10" s="80"/>
      <c r="E10" s="61"/>
      <c r="F10" s="61"/>
      <c r="G10" s="156"/>
      <c r="H10" s="157"/>
      <c r="I10" s="62"/>
      <c r="J10" s="63"/>
      <c r="K10" s="155"/>
      <c r="L10" s="60"/>
      <c r="M10" s="158"/>
      <c r="N10" s="63"/>
    </row>
    <row r="11" spans="1:14" x14ac:dyDescent="0.15">
      <c r="A11" s="59">
        <v>10</v>
      </c>
      <c r="B11" s="47"/>
      <c r="C11" s="80"/>
      <c r="D11" s="80"/>
      <c r="E11" s="61"/>
      <c r="F11" s="61"/>
      <c r="G11" s="136"/>
      <c r="H11" s="157"/>
      <c r="I11" s="62"/>
      <c r="J11" s="63"/>
      <c r="K11" s="155"/>
      <c r="L11" s="60"/>
      <c r="M11" s="62"/>
      <c r="N11" s="63"/>
    </row>
    <row r="12" spans="1:14" x14ac:dyDescent="0.15">
      <c r="A12" s="58">
        <v>11</v>
      </c>
      <c r="B12" s="47"/>
      <c r="C12" s="80"/>
      <c r="D12" s="80"/>
      <c r="E12" s="61"/>
      <c r="F12" s="61"/>
      <c r="G12" s="136"/>
      <c r="H12" s="157"/>
      <c r="I12" s="62"/>
      <c r="J12" s="63"/>
      <c r="K12" s="155"/>
      <c r="L12" s="60"/>
      <c r="M12" s="62"/>
      <c r="N12" s="63"/>
    </row>
    <row r="13" spans="1:14" x14ac:dyDescent="0.15">
      <c r="A13" s="59">
        <v>12</v>
      </c>
      <c r="B13" s="47"/>
      <c r="C13" s="94"/>
      <c r="D13" s="94"/>
      <c r="E13" s="61"/>
      <c r="F13" s="61"/>
      <c r="G13" s="136"/>
      <c r="H13" s="157"/>
      <c r="I13" s="62"/>
      <c r="J13" s="63"/>
      <c r="K13" s="155"/>
      <c r="L13" s="60"/>
      <c r="M13" s="62"/>
      <c r="N13" s="63"/>
    </row>
    <row r="14" spans="1:14" x14ac:dyDescent="0.15">
      <c r="A14" s="58">
        <v>13</v>
      </c>
      <c r="B14" s="58"/>
      <c r="C14" s="60"/>
      <c r="D14" s="159"/>
      <c r="E14" s="61"/>
      <c r="F14" s="61"/>
      <c r="G14" s="136"/>
      <c r="H14" s="157"/>
      <c r="I14" s="62"/>
      <c r="J14" s="63"/>
      <c r="K14" s="155"/>
      <c r="L14" s="60"/>
      <c r="M14" s="62"/>
      <c r="N14" s="63"/>
    </row>
    <row r="15" spans="1:14" x14ac:dyDescent="0.15">
      <c r="A15" s="59">
        <v>14</v>
      </c>
      <c r="B15" s="59"/>
      <c r="C15" s="60"/>
      <c r="D15" s="159"/>
      <c r="E15" s="61"/>
      <c r="F15" s="61"/>
      <c r="G15" s="136"/>
      <c r="H15" s="157"/>
      <c r="I15" s="62"/>
      <c r="J15" s="63"/>
      <c r="K15" s="155"/>
      <c r="L15" s="60"/>
      <c r="M15" s="62"/>
      <c r="N15" s="63"/>
    </row>
    <row r="16" spans="1:14" x14ac:dyDescent="0.15">
      <c r="A16" s="58">
        <v>15</v>
      </c>
      <c r="B16" s="58"/>
      <c r="C16" s="60"/>
      <c r="D16" s="159"/>
      <c r="E16" s="61"/>
      <c r="F16" s="61"/>
      <c r="G16" s="136"/>
      <c r="H16" s="157"/>
      <c r="I16" s="62"/>
      <c r="J16" s="63"/>
      <c r="K16" s="155"/>
      <c r="L16" s="63"/>
      <c r="M16" s="62"/>
      <c r="N16" s="63"/>
    </row>
    <row r="17" spans="1:14" x14ac:dyDescent="0.15">
      <c r="A17" s="59">
        <v>16</v>
      </c>
      <c r="B17" s="59"/>
      <c r="C17" s="60"/>
      <c r="D17" s="159"/>
      <c r="E17" s="61"/>
      <c r="F17" s="61"/>
      <c r="G17" s="136"/>
      <c r="H17" s="157"/>
      <c r="I17" s="62"/>
      <c r="J17" s="63"/>
      <c r="K17" s="155"/>
      <c r="L17" s="63"/>
      <c r="M17" s="62"/>
      <c r="N17" s="63"/>
    </row>
    <row r="18" spans="1:14" x14ac:dyDescent="0.15">
      <c r="A18" s="58">
        <v>17</v>
      </c>
      <c r="B18" s="58"/>
      <c r="C18" s="60"/>
      <c r="D18" s="60"/>
      <c r="E18" s="62"/>
      <c r="F18" s="61"/>
      <c r="G18" s="136"/>
      <c r="H18" s="157"/>
      <c r="I18" s="62"/>
      <c r="J18" s="63"/>
      <c r="K18" s="155"/>
      <c r="L18" s="63"/>
      <c r="M18" s="62"/>
      <c r="N18" s="63"/>
    </row>
    <row r="19" spans="1:14" x14ac:dyDescent="0.15">
      <c r="A19" s="59">
        <v>18</v>
      </c>
      <c r="B19" s="59"/>
      <c r="C19" s="63"/>
      <c r="D19" s="63"/>
      <c r="E19" s="62"/>
      <c r="F19" s="61"/>
      <c r="G19" s="136"/>
      <c r="H19" s="157"/>
      <c r="I19" s="62"/>
      <c r="J19" s="63"/>
      <c r="K19" s="155"/>
      <c r="L19" s="63"/>
      <c r="M19" s="62"/>
      <c r="N19" s="63"/>
    </row>
    <row r="20" spans="1:14" x14ac:dyDescent="0.15">
      <c r="A20" s="58">
        <v>19</v>
      </c>
      <c r="B20" s="160"/>
      <c r="C20" s="63"/>
      <c r="D20" s="63"/>
      <c r="E20" s="62"/>
      <c r="F20" s="61"/>
      <c r="G20" s="136"/>
      <c r="H20" s="157"/>
      <c r="I20" s="62"/>
      <c r="J20" s="63"/>
      <c r="K20" s="155"/>
      <c r="L20" s="63"/>
      <c r="M20" s="62"/>
      <c r="N20" s="63"/>
    </row>
    <row r="21" spans="1:14" x14ac:dyDescent="0.15">
      <c r="A21" s="59">
        <v>20</v>
      </c>
      <c r="B21" s="58"/>
      <c r="C21" s="63"/>
      <c r="D21" s="63"/>
      <c r="E21" s="61"/>
      <c r="F21" s="61"/>
      <c r="G21" s="156"/>
      <c r="H21" s="157"/>
      <c r="I21" s="62"/>
      <c r="J21" s="63"/>
      <c r="K21" s="155"/>
      <c r="L21" s="63"/>
      <c r="M21" s="62"/>
      <c r="N21" s="63"/>
    </row>
    <row r="22" spans="1:14" x14ac:dyDescent="0.15">
      <c r="A22" s="58">
        <v>21</v>
      </c>
      <c r="B22" s="58"/>
      <c r="C22" s="60"/>
      <c r="D22" s="60"/>
      <c r="E22" s="62"/>
      <c r="F22" s="61"/>
      <c r="G22" s="136"/>
      <c r="H22" s="157"/>
      <c r="I22" s="62"/>
      <c r="J22" s="63"/>
      <c r="K22" s="155"/>
      <c r="L22" s="60"/>
      <c r="M22" s="62"/>
      <c r="N22" s="63"/>
    </row>
    <row r="23" spans="1:14" x14ac:dyDescent="0.15">
      <c r="A23" s="59">
        <v>22</v>
      </c>
      <c r="B23" s="59"/>
      <c r="C23" s="63"/>
      <c r="D23" s="60"/>
      <c r="E23" s="61"/>
      <c r="F23" s="61"/>
      <c r="G23" s="136"/>
      <c r="H23" s="136"/>
      <c r="I23" s="62"/>
      <c r="J23" s="63"/>
      <c r="K23" s="155"/>
      <c r="L23" s="63"/>
      <c r="M23" s="62"/>
      <c r="N23" s="63"/>
    </row>
    <row r="24" spans="1:14" x14ac:dyDescent="0.15">
      <c r="A24" s="58">
        <v>23</v>
      </c>
      <c r="B24" s="58"/>
      <c r="C24" s="63"/>
      <c r="D24" s="147"/>
      <c r="E24" s="62"/>
      <c r="F24" s="62"/>
      <c r="G24" s="136"/>
      <c r="H24" s="136"/>
      <c r="I24" s="62"/>
      <c r="J24" s="63"/>
      <c r="K24" s="155"/>
      <c r="L24" s="63"/>
      <c r="M24" s="62"/>
      <c r="N24" s="161"/>
    </row>
    <row r="25" spans="1:14" x14ac:dyDescent="0.15">
      <c r="A25" s="59">
        <v>24</v>
      </c>
      <c r="B25" s="59"/>
      <c r="C25" s="147"/>
      <c r="D25" s="63"/>
      <c r="E25" s="62"/>
      <c r="F25" s="62"/>
      <c r="G25" s="136"/>
      <c r="H25" s="157"/>
      <c r="I25" s="62"/>
      <c r="J25" s="63"/>
      <c r="K25" s="155"/>
      <c r="L25" s="60"/>
      <c r="M25" s="62"/>
      <c r="N25" s="62"/>
    </row>
    <row r="26" spans="1:14" x14ac:dyDescent="0.15">
      <c r="A26" s="58">
        <v>25</v>
      </c>
      <c r="B26" s="58"/>
      <c r="C26" s="63"/>
      <c r="D26" s="63"/>
      <c r="E26" s="62"/>
      <c r="F26" s="62"/>
      <c r="G26" s="136"/>
      <c r="H26" s="136"/>
      <c r="I26" s="62"/>
      <c r="J26" s="63"/>
      <c r="K26" s="62"/>
      <c r="L26" s="63"/>
      <c r="M26" s="62"/>
      <c r="N26" s="62"/>
    </row>
    <row r="27" spans="1:14" x14ac:dyDescent="0.15">
      <c r="A27" s="59">
        <v>26</v>
      </c>
      <c r="B27" s="59"/>
      <c r="C27" s="60"/>
      <c r="D27" s="60"/>
      <c r="E27" s="62"/>
      <c r="F27" s="62"/>
      <c r="G27" s="136"/>
      <c r="H27" s="136"/>
      <c r="I27" s="62"/>
      <c r="J27" s="63"/>
      <c r="K27" s="62"/>
      <c r="L27" s="60"/>
      <c r="M27" s="62"/>
      <c r="N27" s="62"/>
    </row>
    <row r="28" spans="1:14" x14ac:dyDescent="0.15">
      <c r="A28" s="58">
        <v>27</v>
      </c>
      <c r="B28" s="58"/>
      <c r="C28" s="60"/>
      <c r="D28" s="60"/>
      <c r="E28" s="62"/>
      <c r="F28" s="61"/>
      <c r="G28" s="136"/>
      <c r="H28" s="136"/>
      <c r="I28" s="62"/>
      <c r="J28" s="60"/>
      <c r="K28" s="61"/>
      <c r="L28" s="60"/>
      <c r="M28" s="62"/>
      <c r="N28" s="62"/>
    </row>
    <row r="29" spans="1:14" x14ac:dyDescent="0.15">
      <c r="A29" s="59">
        <v>28</v>
      </c>
      <c r="B29" s="59"/>
      <c r="C29" s="60"/>
      <c r="D29" s="60"/>
      <c r="E29" s="62"/>
      <c r="F29" s="61"/>
      <c r="G29" s="136"/>
      <c r="H29" s="136"/>
      <c r="I29" s="62"/>
      <c r="J29" s="60"/>
      <c r="K29" s="61"/>
      <c r="L29" s="60"/>
      <c r="M29" s="62"/>
      <c r="N29" s="62"/>
    </row>
    <row r="30" spans="1:14" x14ac:dyDescent="0.15">
      <c r="A30" s="58">
        <v>29</v>
      </c>
      <c r="B30" s="58"/>
      <c r="C30" s="60"/>
      <c r="D30" s="60"/>
      <c r="E30" s="62"/>
      <c r="F30" s="61"/>
      <c r="G30" s="136"/>
      <c r="H30" s="136"/>
      <c r="I30" s="62"/>
      <c r="J30" s="63"/>
      <c r="K30" s="61"/>
      <c r="L30" s="63"/>
      <c r="M30" s="62"/>
      <c r="N30" s="62"/>
    </row>
    <row r="31" spans="1:14" x14ac:dyDescent="0.15">
      <c r="A31" s="59">
        <v>30</v>
      </c>
      <c r="B31" s="59"/>
      <c r="C31" s="60"/>
      <c r="D31" s="60"/>
      <c r="E31" s="61"/>
      <c r="F31" s="61"/>
      <c r="G31" s="136"/>
      <c r="H31" s="136"/>
      <c r="I31" s="62"/>
      <c r="J31" s="60"/>
      <c r="K31" s="61"/>
      <c r="L31" s="63"/>
      <c r="M31" s="62"/>
      <c r="N31" s="162"/>
    </row>
    <row r="32" spans="1:14" x14ac:dyDescent="0.15">
      <c r="A32" s="58">
        <v>31</v>
      </c>
      <c r="B32" s="58"/>
      <c r="C32" s="60"/>
      <c r="D32" s="60"/>
      <c r="E32" s="61"/>
      <c r="F32" s="61"/>
      <c r="G32" s="136"/>
      <c r="H32" s="136"/>
      <c r="I32" s="62"/>
      <c r="J32" s="60"/>
      <c r="K32" s="61"/>
      <c r="L32" s="63"/>
      <c r="M32" s="62"/>
      <c r="N32" s="62"/>
    </row>
    <row r="33" spans="1:14" x14ac:dyDescent="0.15">
      <c r="A33" s="59">
        <v>32</v>
      </c>
      <c r="B33" s="59"/>
      <c r="C33" s="60"/>
      <c r="D33" s="60"/>
      <c r="E33" s="61"/>
      <c r="F33" s="61"/>
      <c r="G33" s="136"/>
      <c r="H33" s="136"/>
      <c r="I33" s="62"/>
      <c r="J33" s="63"/>
      <c r="K33" s="61"/>
      <c r="L33" s="63"/>
      <c r="M33" s="62"/>
      <c r="N33" s="62"/>
    </row>
    <row r="34" spans="1:14" x14ac:dyDescent="0.15">
      <c r="A34" s="58">
        <v>33</v>
      </c>
      <c r="B34" s="58"/>
      <c r="C34" s="63"/>
      <c r="D34" s="63"/>
      <c r="E34" s="62"/>
      <c r="F34" s="62"/>
      <c r="G34" s="136"/>
      <c r="H34" s="136"/>
      <c r="I34" s="62"/>
      <c r="J34" s="63"/>
      <c r="K34" s="62"/>
      <c r="L34" s="63"/>
      <c r="M34" s="62"/>
      <c r="N34" s="162"/>
    </row>
    <row r="35" spans="1:14" x14ac:dyDescent="0.15">
      <c r="A35" s="59">
        <v>34</v>
      </c>
      <c r="B35" s="59"/>
      <c r="C35" s="63"/>
      <c r="D35" s="63"/>
      <c r="E35" s="62"/>
      <c r="F35" s="62"/>
      <c r="G35" s="136"/>
      <c r="H35" s="136"/>
      <c r="I35" s="62"/>
      <c r="J35" s="63"/>
      <c r="K35" s="62"/>
      <c r="L35" s="63"/>
      <c r="M35" s="62"/>
      <c r="N35" s="62"/>
    </row>
    <row r="36" spans="1:14" x14ac:dyDescent="0.15">
      <c r="A36" s="58">
        <v>35</v>
      </c>
      <c r="B36" s="58"/>
      <c r="C36" s="63"/>
      <c r="D36" s="63"/>
      <c r="E36" s="62"/>
      <c r="F36" s="62"/>
      <c r="G36" s="136"/>
      <c r="H36" s="136"/>
      <c r="I36" s="62"/>
      <c r="J36" s="63"/>
      <c r="K36" s="62"/>
      <c r="L36" s="60"/>
      <c r="M36" s="62"/>
      <c r="N36" s="60"/>
    </row>
    <row r="37" spans="1:14" x14ac:dyDescent="0.15">
      <c r="A37" s="59">
        <v>36</v>
      </c>
      <c r="B37" s="59"/>
      <c r="C37" s="63"/>
      <c r="D37" s="63"/>
      <c r="E37" s="62"/>
      <c r="F37" s="62"/>
      <c r="G37" s="136"/>
      <c r="H37" s="136"/>
      <c r="I37" s="62"/>
      <c r="J37" s="60"/>
      <c r="K37" s="62"/>
      <c r="L37" s="63"/>
      <c r="M37" s="62"/>
      <c r="N37" s="162"/>
    </row>
    <row r="38" spans="1:14" x14ac:dyDescent="0.15">
      <c r="A38" s="58">
        <v>37</v>
      </c>
      <c r="B38" s="58"/>
      <c r="C38" s="60"/>
      <c r="D38" s="63"/>
      <c r="E38" s="61"/>
      <c r="F38" s="62"/>
      <c r="G38" s="136"/>
      <c r="H38" s="136"/>
      <c r="I38" s="62"/>
      <c r="J38" s="60"/>
      <c r="K38" s="62"/>
      <c r="L38" s="63"/>
      <c r="M38" s="62"/>
      <c r="N38" s="62"/>
    </row>
    <row r="39" spans="1:14" x14ac:dyDescent="0.15">
      <c r="A39" s="59">
        <v>38</v>
      </c>
      <c r="B39" s="59"/>
      <c r="C39" s="63"/>
      <c r="D39" s="63"/>
      <c r="E39" s="62"/>
      <c r="F39" s="62"/>
      <c r="G39" s="136"/>
      <c r="H39" s="136"/>
      <c r="I39" s="62"/>
      <c r="J39" s="60"/>
      <c r="K39" s="62"/>
      <c r="L39" s="63"/>
      <c r="M39" s="62"/>
      <c r="N39" s="162"/>
    </row>
    <row r="40" spans="1:14" x14ac:dyDescent="0.15">
      <c r="A40" s="58">
        <v>39</v>
      </c>
      <c r="B40" s="58"/>
      <c r="C40" s="63"/>
      <c r="D40" s="64"/>
      <c r="E40" s="62"/>
      <c r="F40" s="62"/>
      <c r="G40" s="136"/>
      <c r="H40" s="136"/>
      <c r="I40" s="62"/>
      <c r="J40" s="60"/>
      <c r="K40" s="62"/>
      <c r="L40" s="63"/>
      <c r="M40" s="62"/>
      <c r="N40" s="61"/>
    </row>
    <row r="41" spans="1:14" x14ac:dyDescent="0.15">
      <c r="A41" s="59">
        <v>40</v>
      </c>
      <c r="B41" s="59"/>
      <c r="C41" s="63"/>
      <c r="E41" s="62"/>
      <c r="F41" s="62"/>
      <c r="G41" s="136"/>
      <c r="H41" s="136"/>
      <c r="I41" s="62"/>
      <c r="J41" s="60"/>
      <c r="K41" s="62"/>
      <c r="L41" s="63"/>
      <c r="M41" s="62"/>
      <c r="N41" s="61"/>
    </row>
    <row r="42" spans="1:14" x14ac:dyDescent="0.15">
      <c r="A42" s="58">
        <v>41</v>
      </c>
      <c r="B42" s="58"/>
      <c r="C42" s="63"/>
      <c r="D42" s="63"/>
      <c r="E42" s="62"/>
      <c r="F42" s="62"/>
      <c r="G42" s="136"/>
      <c r="H42" s="136"/>
      <c r="I42" s="62"/>
      <c r="J42" s="60"/>
      <c r="K42" s="62"/>
      <c r="L42" s="63"/>
      <c r="M42" s="62"/>
      <c r="N42" s="62"/>
    </row>
    <row r="43" spans="1:14" x14ac:dyDescent="0.15">
      <c r="A43" s="59">
        <v>42</v>
      </c>
      <c r="B43" s="59"/>
      <c r="C43" s="60"/>
      <c r="D43" s="60"/>
      <c r="E43" s="61"/>
      <c r="F43" s="62"/>
      <c r="G43" s="136"/>
      <c r="H43" s="136"/>
      <c r="I43" s="62"/>
      <c r="J43" s="60"/>
      <c r="K43" s="62"/>
      <c r="L43" s="63"/>
      <c r="M43" s="62"/>
      <c r="N43" s="132"/>
    </row>
    <row r="44" spans="1:14" x14ac:dyDescent="0.15">
      <c r="A44" s="58">
        <v>43</v>
      </c>
      <c r="B44" s="58"/>
      <c r="C44" s="63"/>
      <c r="D44" s="63"/>
      <c r="E44" s="62"/>
      <c r="F44" s="62"/>
      <c r="G44" s="136"/>
      <c r="H44" s="136"/>
      <c r="I44" s="62"/>
      <c r="J44" s="63"/>
      <c r="K44" s="62"/>
      <c r="L44" s="63"/>
      <c r="M44" s="62"/>
      <c r="N44" s="62"/>
    </row>
    <row r="45" spans="1:14" x14ac:dyDescent="0.15">
      <c r="A45" s="59">
        <v>44</v>
      </c>
      <c r="B45" s="59"/>
      <c r="C45" s="63"/>
      <c r="D45" s="63"/>
      <c r="E45" s="62"/>
      <c r="F45" s="62"/>
      <c r="G45" s="136"/>
      <c r="H45" s="136"/>
      <c r="I45" s="62"/>
      <c r="J45" s="63"/>
      <c r="K45" s="62"/>
      <c r="L45" s="63"/>
      <c r="M45" s="62"/>
      <c r="N45" s="162"/>
    </row>
    <row r="46" spans="1:14" x14ac:dyDescent="0.15">
      <c r="A46" s="58">
        <v>45</v>
      </c>
      <c r="B46" s="58"/>
      <c r="C46" s="63"/>
      <c r="D46" s="63"/>
      <c r="E46" s="62"/>
      <c r="F46" s="62"/>
      <c r="G46" s="136"/>
      <c r="H46" s="136"/>
      <c r="I46" s="62"/>
      <c r="J46" s="63"/>
      <c r="K46" s="62"/>
      <c r="L46" s="63"/>
      <c r="M46" s="62"/>
      <c r="N46" s="162"/>
    </row>
    <row r="47" spans="1:14" x14ac:dyDescent="0.15">
      <c r="A47" s="59">
        <v>46</v>
      </c>
      <c r="B47" s="59"/>
      <c r="C47" s="63"/>
      <c r="D47" s="63"/>
      <c r="E47" s="62"/>
      <c r="F47" s="62"/>
      <c r="G47" s="136"/>
      <c r="H47" s="136"/>
      <c r="I47" s="62"/>
      <c r="J47" s="63"/>
      <c r="K47" s="62"/>
      <c r="L47" s="63"/>
      <c r="M47" s="62"/>
      <c r="N47" s="62"/>
    </row>
    <row r="48" spans="1:14" x14ac:dyDescent="0.15">
      <c r="A48" s="58">
        <v>47</v>
      </c>
      <c r="B48" s="58"/>
      <c r="C48" s="63"/>
      <c r="D48" s="63"/>
      <c r="E48" s="62"/>
      <c r="F48" s="62"/>
      <c r="G48" s="136"/>
      <c r="H48" s="136"/>
      <c r="I48" s="62"/>
      <c r="J48" s="63"/>
      <c r="K48" s="62"/>
      <c r="L48" s="63"/>
      <c r="M48" s="62"/>
      <c r="N48" s="163"/>
    </row>
    <row r="49" spans="1:14" x14ac:dyDescent="0.15">
      <c r="A49" s="59">
        <v>48</v>
      </c>
      <c r="B49" s="59"/>
      <c r="C49" s="63"/>
      <c r="D49" s="63"/>
      <c r="E49" s="62"/>
      <c r="F49" s="62"/>
      <c r="G49" s="136"/>
      <c r="H49" s="136"/>
      <c r="I49" s="62"/>
      <c r="J49" s="63"/>
      <c r="K49" s="62"/>
      <c r="L49" s="63"/>
      <c r="M49" s="62"/>
      <c r="N49" s="62"/>
    </row>
    <row r="50" spans="1:14" x14ac:dyDescent="0.15">
      <c r="A50" s="58">
        <v>49</v>
      </c>
      <c r="B50" s="58"/>
      <c r="C50" s="63"/>
      <c r="D50" s="63"/>
      <c r="E50" s="62"/>
      <c r="F50" s="62"/>
      <c r="G50" s="136"/>
      <c r="H50" s="136"/>
      <c r="I50" s="62"/>
      <c r="J50" s="63"/>
      <c r="K50" s="62"/>
      <c r="L50" s="63"/>
      <c r="M50" s="62"/>
      <c r="N50" s="62"/>
    </row>
    <row r="51" spans="1:14" x14ac:dyDescent="0.15">
      <c r="A51" s="59">
        <v>50</v>
      </c>
      <c r="B51" s="59"/>
      <c r="C51" s="63"/>
      <c r="D51" s="63"/>
      <c r="E51" s="62"/>
      <c r="F51" s="62"/>
      <c r="G51" s="136"/>
      <c r="H51" s="136"/>
      <c r="I51" s="62"/>
      <c r="J51" s="63"/>
      <c r="K51" s="62"/>
      <c r="L51" s="63"/>
      <c r="M51" s="62"/>
      <c r="N51" s="62"/>
    </row>
    <row r="52" spans="1:14" x14ac:dyDescent="0.15">
      <c r="A52" s="58">
        <v>51</v>
      </c>
      <c r="B52" s="58"/>
      <c r="C52" s="63"/>
      <c r="D52" s="63"/>
      <c r="E52" s="62"/>
      <c r="F52" s="62"/>
      <c r="G52" s="136"/>
      <c r="H52" s="136"/>
      <c r="I52" s="62"/>
      <c r="J52" s="63"/>
      <c r="K52" s="62"/>
      <c r="L52" s="63"/>
      <c r="M52" s="62"/>
      <c r="N52" s="62"/>
    </row>
    <row r="53" spans="1:14" x14ac:dyDescent="0.15">
      <c r="A53" s="59">
        <v>52</v>
      </c>
      <c r="B53" s="59"/>
      <c r="C53" s="63"/>
      <c r="D53" s="63"/>
      <c r="E53" s="62"/>
      <c r="F53" s="62"/>
      <c r="G53" s="136"/>
      <c r="H53" s="136"/>
      <c r="I53" s="62"/>
      <c r="J53" s="63"/>
      <c r="K53" s="62"/>
      <c r="L53" s="63"/>
      <c r="M53" s="62"/>
      <c r="N53" s="62"/>
    </row>
    <row r="54" spans="1:14" x14ac:dyDescent="0.15">
      <c r="A54" s="58">
        <v>53</v>
      </c>
      <c r="B54" s="58"/>
      <c r="C54" s="63"/>
      <c r="D54" s="63"/>
      <c r="E54" s="62"/>
      <c r="F54" s="62"/>
      <c r="G54" s="136"/>
      <c r="H54" s="136"/>
      <c r="I54" s="62"/>
      <c r="J54" s="63"/>
      <c r="K54" s="62"/>
      <c r="L54" s="63"/>
      <c r="M54" s="62"/>
      <c r="N54" s="62"/>
    </row>
    <row r="55" spans="1:14" x14ac:dyDescent="0.15">
      <c r="A55" s="59">
        <v>54</v>
      </c>
      <c r="B55" s="59"/>
      <c r="C55" s="63"/>
      <c r="D55" s="63"/>
      <c r="E55" s="62"/>
      <c r="F55" s="62"/>
      <c r="G55" s="136"/>
      <c r="H55" s="136"/>
      <c r="I55" s="62"/>
      <c r="J55" s="63"/>
      <c r="K55" s="62"/>
      <c r="L55" s="63"/>
      <c r="M55" s="62"/>
      <c r="N55" s="62"/>
    </row>
    <row r="56" spans="1:14" x14ac:dyDescent="0.15">
      <c r="A56" s="58">
        <v>55</v>
      </c>
      <c r="B56" s="58"/>
      <c r="C56" s="63"/>
      <c r="D56" s="63"/>
      <c r="E56" s="62"/>
      <c r="F56" s="62"/>
      <c r="G56" s="136"/>
      <c r="H56" s="136"/>
      <c r="I56" s="62"/>
      <c r="J56" s="63"/>
      <c r="K56" s="62"/>
      <c r="L56" s="63"/>
      <c r="M56" s="62"/>
      <c r="N56" s="62"/>
    </row>
    <row r="57" spans="1:14" x14ac:dyDescent="0.15">
      <c r="A57" s="59">
        <v>56</v>
      </c>
      <c r="B57" s="59"/>
      <c r="C57" s="63"/>
      <c r="D57" s="63"/>
      <c r="E57" s="62"/>
      <c r="F57" s="62"/>
      <c r="G57" s="136"/>
      <c r="H57" s="136"/>
      <c r="I57" s="62"/>
      <c r="J57" s="63"/>
      <c r="K57" s="62"/>
      <c r="L57" s="63"/>
      <c r="M57" s="62"/>
      <c r="N57" s="62"/>
    </row>
    <row r="58" spans="1:14" x14ac:dyDescent="0.15">
      <c r="A58" s="58">
        <v>57</v>
      </c>
      <c r="B58" s="58"/>
      <c r="C58" s="63"/>
      <c r="D58" s="63"/>
      <c r="E58" s="62"/>
      <c r="F58" s="62"/>
      <c r="G58" s="136"/>
      <c r="H58" s="136"/>
      <c r="I58" s="62"/>
      <c r="J58" s="63"/>
      <c r="K58" s="62"/>
      <c r="L58" s="63"/>
      <c r="M58" s="62"/>
      <c r="N58" s="62"/>
    </row>
    <row r="59" spans="1:14" x14ac:dyDescent="0.15">
      <c r="A59" s="59">
        <v>58</v>
      </c>
      <c r="B59" s="59"/>
      <c r="C59" s="63"/>
      <c r="D59" s="63"/>
      <c r="E59" s="62"/>
      <c r="F59" s="62"/>
      <c r="G59" s="136"/>
      <c r="H59" s="136"/>
      <c r="I59" s="62"/>
      <c r="J59" s="63"/>
      <c r="K59" s="62"/>
      <c r="L59" s="63"/>
      <c r="M59" s="62"/>
      <c r="N59" s="62"/>
    </row>
    <row r="60" spans="1:14" x14ac:dyDescent="0.15">
      <c r="A60" s="58">
        <v>59</v>
      </c>
      <c r="B60" s="58"/>
      <c r="C60" s="63"/>
      <c r="D60" s="63"/>
      <c r="E60" s="62"/>
      <c r="F60" s="62"/>
      <c r="G60" s="136"/>
      <c r="H60" s="136"/>
      <c r="I60" s="62"/>
      <c r="J60" s="63"/>
      <c r="K60" s="62"/>
      <c r="L60" s="63"/>
      <c r="M60" s="62"/>
      <c r="N60" s="62"/>
    </row>
    <row r="61" spans="1:14" x14ac:dyDescent="0.15">
      <c r="A61" s="59">
        <v>60</v>
      </c>
      <c r="B61" s="59"/>
      <c r="C61" s="63"/>
      <c r="D61" s="63"/>
      <c r="E61" s="62"/>
      <c r="F61" s="62"/>
      <c r="G61" s="136"/>
      <c r="H61" s="136"/>
      <c r="I61" s="62"/>
      <c r="J61" s="63"/>
      <c r="K61" s="62"/>
      <c r="L61" s="63"/>
      <c r="M61" s="62"/>
      <c r="N61" s="62"/>
    </row>
    <row r="62" spans="1:14" x14ac:dyDescent="0.15">
      <c r="A62" s="58">
        <v>61</v>
      </c>
      <c r="B62" s="58"/>
      <c r="C62" s="63"/>
      <c r="D62" s="63"/>
      <c r="E62" s="62"/>
      <c r="F62" s="62"/>
      <c r="G62" s="136"/>
      <c r="H62" s="136"/>
      <c r="I62" s="62"/>
      <c r="J62" s="63"/>
      <c r="K62" s="62"/>
      <c r="L62" s="63"/>
      <c r="M62" s="62"/>
      <c r="N62" s="62"/>
    </row>
    <row r="63" spans="1:14" x14ac:dyDescent="0.15">
      <c r="A63" s="59">
        <v>62</v>
      </c>
      <c r="B63" s="59"/>
      <c r="C63" s="63"/>
      <c r="D63" s="63"/>
      <c r="E63" s="62"/>
      <c r="F63" s="62"/>
      <c r="G63" s="136"/>
      <c r="H63" s="136"/>
      <c r="I63" s="62"/>
      <c r="J63" s="63"/>
      <c r="K63" s="62"/>
      <c r="L63" s="63"/>
      <c r="M63" s="62"/>
      <c r="N63" s="62"/>
    </row>
    <row r="64" spans="1:14" x14ac:dyDescent="0.15">
      <c r="A64" s="58">
        <v>63</v>
      </c>
      <c r="B64" s="58"/>
      <c r="C64" s="63"/>
      <c r="D64" s="63"/>
      <c r="E64" s="62"/>
      <c r="F64" s="62"/>
      <c r="G64" s="136"/>
      <c r="H64" s="136"/>
      <c r="I64" s="62"/>
      <c r="J64" s="63"/>
      <c r="K64" s="62"/>
      <c r="L64" s="63"/>
      <c r="M64" s="62"/>
      <c r="N64" s="62"/>
    </row>
    <row r="65" spans="1:14" x14ac:dyDescent="0.15">
      <c r="A65" s="59">
        <v>64</v>
      </c>
      <c r="B65" s="59"/>
      <c r="C65" s="63"/>
      <c r="D65" s="63"/>
      <c r="E65" s="62"/>
      <c r="F65" s="62"/>
      <c r="G65" s="136"/>
      <c r="H65" s="136"/>
      <c r="I65" s="62"/>
      <c r="J65" s="63"/>
      <c r="K65" s="62"/>
      <c r="L65" s="63"/>
      <c r="M65" s="62"/>
      <c r="N65" s="62"/>
    </row>
    <row r="66" spans="1:14" x14ac:dyDescent="0.15">
      <c r="A66" s="58">
        <v>65</v>
      </c>
      <c r="B66" s="58"/>
      <c r="C66" s="63"/>
      <c r="D66" s="63"/>
      <c r="E66" s="62"/>
      <c r="F66" s="62"/>
      <c r="G66" s="136"/>
      <c r="H66" s="136"/>
      <c r="I66" s="62"/>
      <c r="J66" s="63"/>
      <c r="K66" s="62"/>
      <c r="L66" s="63"/>
      <c r="M66" s="62"/>
      <c r="N66" s="62"/>
    </row>
    <row r="67" spans="1:14" x14ac:dyDescent="0.15">
      <c r="A67" s="59">
        <v>66</v>
      </c>
      <c r="B67" s="59"/>
      <c r="C67" s="63"/>
      <c r="D67" s="63"/>
      <c r="E67" s="62"/>
      <c r="F67" s="62"/>
      <c r="G67" s="136"/>
      <c r="H67" s="136"/>
      <c r="I67" s="62"/>
      <c r="J67" s="63"/>
      <c r="K67" s="62"/>
      <c r="L67" s="63"/>
      <c r="M67" s="62"/>
      <c r="N67" s="62"/>
    </row>
    <row r="68" spans="1:14" x14ac:dyDescent="0.15">
      <c r="A68" s="58">
        <v>67</v>
      </c>
      <c r="B68" s="58"/>
      <c r="C68" s="63"/>
      <c r="D68" s="63"/>
      <c r="E68" s="62"/>
      <c r="F68" s="62"/>
      <c r="G68" s="136"/>
      <c r="H68" s="136"/>
      <c r="I68" s="62"/>
      <c r="J68" s="63"/>
      <c r="K68" s="62"/>
      <c r="L68" s="63"/>
      <c r="M68" s="62"/>
      <c r="N68" s="62"/>
    </row>
    <row r="69" spans="1:14" x14ac:dyDescent="0.15">
      <c r="A69" s="59">
        <v>68</v>
      </c>
      <c r="B69" s="59"/>
      <c r="C69" s="63"/>
      <c r="D69" s="63"/>
      <c r="E69" s="62"/>
      <c r="F69" s="62"/>
      <c r="G69" s="136"/>
      <c r="H69" s="136"/>
      <c r="I69" s="62"/>
      <c r="J69" s="63"/>
      <c r="K69" s="62"/>
      <c r="L69" s="63"/>
      <c r="M69" s="62"/>
      <c r="N69" s="62"/>
    </row>
    <row r="70" spans="1:14" x14ac:dyDescent="0.15">
      <c r="A70" s="58">
        <v>69</v>
      </c>
      <c r="B70" s="58"/>
      <c r="C70" s="63"/>
      <c r="D70" s="63"/>
      <c r="E70" s="62"/>
      <c r="F70" s="62"/>
      <c r="G70" s="136"/>
      <c r="H70" s="136"/>
      <c r="I70" s="62"/>
      <c r="J70" s="63"/>
      <c r="K70" s="62"/>
      <c r="L70" s="63"/>
      <c r="M70" s="62"/>
      <c r="N70" s="62"/>
    </row>
    <row r="71" spans="1:14" x14ac:dyDescent="0.15">
      <c r="A71" s="59">
        <v>70</v>
      </c>
      <c r="B71" s="59"/>
      <c r="C71" s="63"/>
      <c r="D71" s="63"/>
      <c r="E71" s="62"/>
      <c r="F71" s="62"/>
      <c r="G71" s="136"/>
      <c r="H71" s="136"/>
      <c r="I71" s="62"/>
      <c r="J71" s="63"/>
      <c r="K71" s="62"/>
      <c r="L71" s="63"/>
      <c r="M71" s="62"/>
      <c r="N71" s="62"/>
    </row>
    <row r="72" spans="1:14" x14ac:dyDescent="0.15">
      <c r="A72" s="58">
        <v>71</v>
      </c>
      <c r="B72" s="58"/>
      <c r="C72" s="63"/>
      <c r="D72" s="63"/>
      <c r="E72" s="62"/>
      <c r="F72" s="62"/>
      <c r="G72" s="136"/>
      <c r="H72" s="136"/>
      <c r="I72" s="62"/>
      <c r="J72" s="63"/>
      <c r="K72" s="62"/>
      <c r="L72" s="63"/>
      <c r="M72" s="62"/>
      <c r="N72" s="62"/>
    </row>
    <row r="73" spans="1:14" x14ac:dyDescent="0.15">
      <c r="A73" s="59">
        <v>72</v>
      </c>
      <c r="B73" s="59"/>
      <c r="C73" s="63"/>
      <c r="D73" s="63"/>
      <c r="E73" s="62"/>
      <c r="F73" s="62"/>
      <c r="G73" s="136"/>
      <c r="H73" s="136"/>
      <c r="I73" s="62"/>
      <c r="J73" s="63"/>
      <c r="K73" s="62"/>
      <c r="L73" s="63"/>
      <c r="M73" s="62"/>
      <c r="N73" s="62"/>
    </row>
    <row r="74" spans="1:14" x14ac:dyDescent="0.15">
      <c r="A74" s="58">
        <v>73</v>
      </c>
      <c r="B74" s="58"/>
      <c r="C74" s="63"/>
      <c r="D74" s="63"/>
      <c r="E74" s="62"/>
      <c r="F74" s="62"/>
      <c r="G74" s="136"/>
      <c r="H74" s="136"/>
      <c r="I74" s="62"/>
      <c r="J74" s="63"/>
      <c r="K74" s="62"/>
      <c r="L74" s="63"/>
      <c r="M74" s="62"/>
      <c r="N74" s="62"/>
    </row>
    <row r="75" spans="1:14" x14ac:dyDescent="0.15">
      <c r="A75" s="59">
        <v>74</v>
      </c>
      <c r="B75" s="59"/>
      <c r="C75" s="63"/>
      <c r="D75" s="63"/>
      <c r="E75" s="62"/>
      <c r="F75" s="62"/>
      <c r="G75" s="136"/>
      <c r="H75" s="136"/>
      <c r="I75" s="62"/>
      <c r="J75" s="63"/>
      <c r="K75" s="62"/>
      <c r="L75" s="63"/>
      <c r="M75" s="62"/>
      <c r="N75" s="62"/>
    </row>
    <row r="76" spans="1:14" x14ac:dyDescent="0.15">
      <c r="A76" s="58">
        <v>75</v>
      </c>
      <c r="B76" s="58"/>
      <c r="C76" s="63"/>
      <c r="D76" s="63"/>
      <c r="E76" s="62"/>
      <c r="F76" s="62"/>
      <c r="G76" s="136"/>
      <c r="H76" s="136"/>
      <c r="I76" s="62"/>
      <c r="J76" s="63"/>
      <c r="K76" s="62"/>
      <c r="L76" s="63"/>
      <c r="M76" s="62"/>
      <c r="N76" s="62"/>
    </row>
    <row r="77" spans="1:14" x14ac:dyDescent="0.15">
      <c r="A77" s="59">
        <v>76</v>
      </c>
      <c r="B77" s="59"/>
      <c r="C77" s="63"/>
      <c r="D77" s="63"/>
      <c r="E77" s="62"/>
      <c r="F77" s="62"/>
      <c r="G77" s="136"/>
      <c r="H77" s="136"/>
      <c r="I77" s="62"/>
      <c r="J77" s="63"/>
      <c r="K77" s="62"/>
      <c r="L77" s="63"/>
      <c r="M77" s="62"/>
      <c r="N77" s="62"/>
    </row>
    <row r="78" spans="1:14" x14ac:dyDescent="0.15">
      <c r="A78" s="58">
        <v>77</v>
      </c>
      <c r="B78" s="58"/>
      <c r="C78" s="63"/>
      <c r="D78" s="63"/>
      <c r="E78" s="62"/>
      <c r="F78" s="62"/>
      <c r="G78" s="136"/>
      <c r="H78" s="136"/>
      <c r="I78" s="62"/>
      <c r="J78" s="63"/>
      <c r="K78" s="62"/>
      <c r="L78" s="63"/>
      <c r="M78" s="62"/>
      <c r="N78" s="62"/>
    </row>
    <row r="79" spans="1:14" x14ac:dyDescent="0.15">
      <c r="A79" s="59">
        <v>78</v>
      </c>
      <c r="B79" s="59"/>
      <c r="C79" s="63"/>
      <c r="D79" s="63"/>
      <c r="E79" s="62"/>
      <c r="F79" s="62"/>
      <c r="G79" s="136"/>
      <c r="H79" s="136"/>
      <c r="I79" s="62"/>
      <c r="J79" s="63"/>
      <c r="K79" s="62"/>
      <c r="L79" s="63"/>
      <c r="M79" s="62"/>
      <c r="N79" s="62"/>
    </row>
    <row r="80" spans="1:14" x14ac:dyDescent="0.15">
      <c r="A80" s="58">
        <v>79</v>
      </c>
      <c r="B80" s="58"/>
      <c r="C80" s="63"/>
      <c r="D80" s="63"/>
      <c r="E80" s="62"/>
      <c r="F80" s="62"/>
      <c r="G80" s="136"/>
      <c r="H80" s="136"/>
      <c r="I80" s="62"/>
      <c r="J80" s="63"/>
      <c r="K80" s="62"/>
      <c r="L80" s="63"/>
      <c r="M80" s="62"/>
      <c r="N80" s="62"/>
    </row>
    <row r="81" spans="1:14" x14ac:dyDescent="0.15">
      <c r="A81" s="59">
        <v>80</v>
      </c>
      <c r="B81" s="59"/>
      <c r="C81" s="63"/>
      <c r="D81" s="63"/>
      <c r="E81" s="62"/>
      <c r="F81" s="62"/>
      <c r="G81" s="136"/>
      <c r="H81" s="136"/>
      <c r="I81" s="62"/>
      <c r="J81" s="63"/>
      <c r="K81" s="62"/>
      <c r="L81" s="63"/>
      <c r="M81" s="62"/>
      <c r="N81" s="62"/>
    </row>
    <row r="82" spans="1:14" x14ac:dyDescent="0.15">
      <c r="A82" s="58">
        <v>81</v>
      </c>
      <c r="B82" s="58"/>
      <c r="C82" s="63"/>
      <c r="D82" s="63"/>
      <c r="E82" s="62"/>
      <c r="F82" s="62"/>
      <c r="G82" s="136"/>
      <c r="H82" s="136"/>
      <c r="I82" s="62"/>
      <c r="J82" s="63"/>
      <c r="K82" s="62"/>
      <c r="L82" s="63"/>
      <c r="M82" s="62"/>
      <c r="N82" s="62"/>
    </row>
    <row r="83" spans="1:14" x14ac:dyDescent="0.15">
      <c r="A83" s="59">
        <v>82</v>
      </c>
      <c r="B83" s="59"/>
      <c r="C83" s="63"/>
      <c r="D83" s="63"/>
      <c r="E83" s="62"/>
      <c r="F83" s="62"/>
      <c r="G83" s="136"/>
      <c r="H83" s="136"/>
      <c r="I83" s="62"/>
      <c r="J83" s="63"/>
      <c r="K83" s="62"/>
      <c r="L83" s="63"/>
      <c r="M83" s="62"/>
      <c r="N83" s="62"/>
    </row>
    <row r="84" spans="1:14" x14ac:dyDescent="0.15">
      <c r="A84" s="58">
        <v>83</v>
      </c>
      <c r="B84" s="58"/>
      <c r="C84" s="63"/>
      <c r="D84" s="63"/>
      <c r="E84" s="62"/>
      <c r="F84" s="62"/>
      <c r="G84" s="136"/>
      <c r="H84" s="136"/>
      <c r="I84" s="62"/>
      <c r="J84" s="63"/>
      <c r="K84" s="62"/>
      <c r="L84" s="63"/>
      <c r="M84" s="62"/>
      <c r="N84" s="62"/>
    </row>
    <row r="85" spans="1:14" x14ac:dyDescent="0.15">
      <c r="A85" s="59">
        <v>84</v>
      </c>
      <c r="B85" s="59"/>
      <c r="C85" s="63"/>
      <c r="D85" s="63"/>
      <c r="E85" s="62"/>
      <c r="F85" s="62"/>
      <c r="G85" s="136"/>
      <c r="H85" s="136"/>
      <c r="I85" s="62"/>
      <c r="J85" s="63"/>
      <c r="K85" s="62"/>
      <c r="L85" s="63"/>
      <c r="M85" s="62"/>
      <c r="N85" s="62"/>
    </row>
    <row r="86" spans="1:14" x14ac:dyDescent="0.15">
      <c r="A86" s="58">
        <v>85</v>
      </c>
      <c r="B86" s="58"/>
      <c r="C86" s="63"/>
      <c r="D86" s="63"/>
      <c r="E86" s="62"/>
      <c r="F86" s="62"/>
      <c r="G86" s="136"/>
      <c r="H86" s="136"/>
      <c r="I86" s="62"/>
      <c r="J86" s="63"/>
      <c r="K86" s="62"/>
      <c r="L86" s="63"/>
      <c r="M86" s="62"/>
      <c r="N86" s="62"/>
    </row>
    <row r="87" spans="1:14" x14ac:dyDescent="0.15">
      <c r="A87" s="59">
        <v>86</v>
      </c>
      <c r="B87" s="59"/>
      <c r="C87" s="63"/>
      <c r="D87" s="63"/>
      <c r="E87" s="62"/>
      <c r="F87" s="62"/>
      <c r="G87" s="136"/>
      <c r="H87" s="136"/>
      <c r="I87" s="62"/>
      <c r="J87" s="63"/>
      <c r="K87" s="62"/>
      <c r="L87" s="63"/>
      <c r="M87" s="62"/>
      <c r="N87" s="62"/>
    </row>
    <row r="88" spans="1:14" x14ac:dyDescent="0.15">
      <c r="A88" s="58">
        <v>87</v>
      </c>
      <c r="B88" s="58"/>
      <c r="C88" s="63"/>
      <c r="D88" s="63"/>
      <c r="E88" s="62"/>
      <c r="F88" s="62"/>
      <c r="G88" s="136"/>
      <c r="H88" s="136"/>
      <c r="I88" s="62"/>
      <c r="J88" s="63"/>
      <c r="K88" s="62"/>
      <c r="L88" s="63"/>
      <c r="M88" s="62"/>
      <c r="N88" s="62"/>
    </row>
    <row r="89" spans="1:14" x14ac:dyDescent="0.15">
      <c r="A89" s="59">
        <v>88</v>
      </c>
      <c r="B89" s="59"/>
      <c r="C89" s="63"/>
      <c r="D89" s="63"/>
      <c r="E89" s="62"/>
      <c r="F89" s="62"/>
      <c r="G89" s="136"/>
      <c r="H89" s="136"/>
      <c r="I89" s="62"/>
      <c r="J89" s="63"/>
      <c r="K89" s="62"/>
      <c r="L89" s="63"/>
      <c r="M89" s="62"/>
      <c r="N89" s="62"/>
    </row>
    <row r="90" spans="1:14" x14ac:dyDescent="0.15">
      <c r="A90" s="58">
        <v>89</v>
      </c>
      <c r="B90" s="58"/>
      <c r="C90" s="63"/>
      <c r="D90" s="63"/>
      <c r="E90" s="62"/>
      <c r="F90" s="62"/>
      <c r="G90" s="136"/>
      <c r="H90" s="136"/>
      <c r="I90" s="62"/>
      <c r="J90" s="63"/>
      <c r="K90" s="62"/>
      <c r="L90" s="63"/>
      <c r="M90" s="62"/>
      <c r="N90" s="62"/>
    </row>
    <row r="91" spans="1:14" x14ac:dyDescent="0.15">
      <c r="A91" s="59">
        <v>90</v>
      </c>
      <c r="B91" s="59"/>
      <c r="C91" s="63"/>
      <c r="D91" s="63"/>
      <c r="E91" s="62"/>
      <c r="F91" s="62"/>
      <c r="G91" s="136"/>
      <c r="H91" s="136"/>
      <c r="I91" s="62"/>
      <c r="J91" s="63"/>
      <c r="K91" s="62"/>
      <c r="L91" s="63"/>
      <c r="M91" s="62"/>
      <c r="N91" s="62"/>
    </row>
    <row r="92" spans="1:14" x14ac:dyDescent="0.15">
      <c r="A92" s="58">
        <v>91</v>
      </c>
      <c r="B92" s="58"/>
      <c r="C92" s="63"/>
      <c r="D92" s="63"/>
      <c r="E92" s="62"/>
      <c r="F92" s="62"/>
      <c r="G92" s="136"/>
      <c r="H92" s="136"/>
      <c r="I92" s="62"/>
      <c r="J92" s="63"/>
      <c r="K92" s="62"/>
      <c r="L92" s="63"/>
      <c r="M92" s="62"/>
      <c r="N92" s="62"/>
    </row>
    <row r="93" spans="1:14" x14ac:dyDescent="0.15">
      <c r="A93" s="59">
        <v>92</v>
      </c>
      <c r="B93" s="59"/>
      <c r="C93" s="63"/>
      <c r="D93" s="63"/>
      <c r="E93" s="62"/>
      <c r="F93" s="62"/>
      <c r="G93" s="136"/>
      <c r="H93" s="136"/>
      <c r="I93" s="62"/>
      <c r="J93" s="63"/>
      <c r="K93" s="62"/>
      <c r="L93" s="63"/>
      <c r="M93" s="62"/>
      <c r="N93" s="62"/>
    </row>
    <row r="94" spans="1:14" x14ac:dyDescent="0.15">
      <c r="A94" s="58">
        <v>93</v>
      </c>
      <c r="B94" s="58"/>
      <c r="C94" s="63"/>
      <c r="D94" s="63"/>
      <c r="E94" s="62"/>
      <c r="F94" s="62"/>
      <c r="G94" s="136"/>
      <c r="H94" s="136"/>
      <c r="I94" s="62"/>
      <c r="J94" s="63"/>
      <c r="K94" s="62"/>
      <c r="L94" s="63"/>
      <c r="M94" s="62"/>
      <c r="N94" s="62"/>
    </row>
    <row r="95" spans="1:14" x14ac:dyDescent="0.15">
      <c r="A95" s="59">
        <v>94</v>
      </c>
      <c r="B95" s="59"/>
      <c r="C95" s="63"/>
      <c r="D95" s="63"/>
      <c r="E95" s="62"/>
      <c r="F95" s="62"/>
      <c r="G95" s="136"/>
      <c r="H95" s="136"/>
      <c r="I95" s="62"/>
      <c r="J95" s="63"/>
      <c r="K95" s="62"/>
      <c r="L95" s="63"/>
      <c r="M95" s="62"/>
      <c r="N95" s="62"/>
    </row>
    <row r="96" spans="1:14" x14ac:dyDescent="0.15">
      <c r="A96" s="58">
        <v>95</v>
      </c>
      <c r="B96" s="58"/>
      <c r="C96" s="63"/>
      <c r="D96" s="63"/>
      <c r="E96" s="62"/>
      <c r="F96" s="62"/>
      <c r="G96" s="136"/>
      <c r="H96" s="136"/>
      <c r="I96" s="62"/>
      <c r="J96" s="63"/>
      <c r="K96" s="62"/>
      <c r="L96" s="63"/>
      <c r="M96" s="62"/>
      <c r="N96" s="62"/>
    </row>
    <row r="97" spans="1:14" x14ac:dyDescent="0.15">
      <c r="A97" s="59">
        <v>96</v>
      </c>
      <c r="B97" s="59"/>
      <c r="C97" s="63"/>
      <c r="D97" s="63"/>
      <c r="E97" s="62"/>
      <c r="F97" s="62"/>
      <c r="G97" s="136"/>
      <c r="H97" s="136"/>
      <c r="I97" s="62"/>
      <c r="J97" s="63"/>
      <c r="K97" s="62"/>
      <c r="L97" s="63"/>
      <c r="M97" s="62"/>
      <c r="N97" s="62"/>
    </row>
    <row r="98" spans="1:14" x14ac:dyDescent="0.15">
      <c r="A98" s="58">
        <v>97</v>
      </c>
      <c r="B98" s="58"/>
      <c r="C98" s="63"/>
      <c r="D98" s="63"/>
      <c r="E98" s="62"/>
      <c r="F98" s="62"/>
      <c r="G98" s="136"/>
      <c r="H98" s="136"/>
      <c r="I98" s="62"/>
      <c r="J98" s="63"/>
      <c r="K98" s="62"/>
      <c r="L98" s="63"/>
      <c r="M98" s="62"/>
      <c r="N98" s="62"/>
    </row>
    <row r="99" spans="1:14" x14ac:dyDescent="0.15">
      <c r="A99" s="59">
        <v>98</v>
      </c>
      <c r="B99" s="59"/>
      <c r="C99" s="63"/>
      <c r="D99" s="63"/>
      <c r="E99" s="62"/>
      <c r="F99" s="62"/>
      <c r="G99" s="136"/>
      <c r="H99" s="136"/>
      <c r="I99" s="62"/>
      <c r="J99" s="63"/>
      <c r="K99" s="62"/>
      <c r="L99" s="63"/>
      <c r="M99" s="62"/>
      <c r="N99" s="62"/>
    </row>
    <row r="100" spans="1:14" x14ac:dyDescent="0.15">
      <c r="A100" s="59">
        <v>99</v>
      </c>
      <c r="B100" s="59"/>
      <c r="C100" s="63"/>
      <c r="D100" s="63"/>
      <c r="E100" s="62"/>
      <c r="F100" s="62"/>
      <c r="G100" s="136"/>
      <c r="H100" s="136"/>
      <c r="I100" s="62"/>
      <c r="J100" s="63"/>
      <c r="K100" s="62"/>
      <c r="L100" s="63"/>
      <c r="M100" s="62"/>
      <c r="N100" s="62"/>
    </row>
    <row r="1048576" spans="7:7" x14ac:dyDescent="0.15">
      <c r="G1048576" s="136" t="s">
        <v>272</v>
      </c>
    </row>
  </sheetData>
  <autoFilter ref="A1:N100" xr:uid="{6882EA6D-4A1F-4FE6-8B72-CFCB9535306D}"/>
  <conditionalFormatting sqref="B3:B13">
    <cfRule type="expression" dxfId="57" priority="1" stopIfTrue="1">
      <formula>($G3="Fail")</formula>
    </cfRule>
    <cfRule type="expression" dxfId="56" priority="2" stopIfTrue="1">
      <formula>($G3="Pass")</formula>
    </cfRule>
  </conditionalFormatting>
  <conditionalFormatting sqref="C6">
    <cfRule type="expression" dxfId="55" priority="31" stopIfTrue="1">
      <formula>($K6="Fail")</formula>
    </cfRule>
    <cfRule type="expression" dxfId="54" priority="32" stopIfTrue="1">
      <formula>($K6="Pass")</formula>
    </cfRule>
  </conditionalFormatting>
  <pageMargins left="0.7" right="0.7" top="0.75" bottom="0.75" header="0.3" footer="0.3"/>
  <pageSetup paperSize="9" orientation="portrait" r:id="rId1"/>
  <headerFooter>
    <oddHeader>&amp;C&amp;"Calibri"&amp;10&amp;K737373 Serco Business - Commercial in Confidence&amp;1#_x000D_</oddHead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DC517-C76E-4EC8-B1B8-3CA233DF20ED}">
  <sheetPr filterMode="1"/>
  <dimension ref="A2:M60"/>
  <sheetViews>
    <sheetView workbookViewId="0"/>
  </sheetViews>
  <sheetFormatPr baseColWidth="10" defaultColWidth="8.83203125" defaultRowHeight="13" x14ac:dyDescent="0.15"/>
  <cols>
    <col min="1" max="1" width="8.6640625" style="139" bestFit="1" customWidth="1"/>
    <col min="2" max="2" width="26.5" bestFit="1" customWidth="1"/>
    <col min="3" max="3" width="26.5" customWidth="1"/>
    <col min="4" max="4" width="26.5" style="139" customWidth="1"/>
    <col min="5" max="5" width="26.33203125" bestFit="1" customWidth="1"/>
    <col min="6" max="7" width="26.33203125" customWidth="1"/>
    <col min="8" max="8" width="6.83203125" bestFit="1" customWidth="1"/>
    <col min="9" max="13" width="7" bestFit="1" customWidth="1"/>
  </cols>
  <sheetData>
    <row r="2" spans="1:13" x14ac:dyDescent="0.15">
      <c r="B2" s="37" t="s">
        <v>273</v>
      </c>
      <c r="C2" s="37"/>
      <c r="D2" s="145"/>
    </row>
    <row r="4" spans="1:13" x14ac:dyDescent="0.15">
      <c r="C4" s="37"/>
    </row>
    <row r="5" spans="1:13" x14ac:dyDescent="0.15">
      <c r="B5" s="37" t="s">
        <v>274</v>
      </c>
      <c r="C5" s="37"/>
      <c r="D5" s="145"/>
      <c r="E5" s="37" t="s">
        <v>275</v>
      </c>
      <c r="F5" s="37"/>
      <c r="G5" s="37"/>
      <c r="H5" s="37" t="s">
        <v>276</v>
      </c>
      <c r="I5" s="37" t="s">
        <v>277</v>
      </c>
      <c r="J5" s="37" t="s">
        <v>278</v>
      </c>
      <c r="K5" s="37" t="s">
        <v>279</v>
      </c>
      <c r="L5" s="37" t="s">
        <v>280</v>
      </c>
      <c r="M5" s="37" t="s">
        <v>281</v>
      </c>
    </row>
    <row r="6" spans="1:13" ht="52.5" hidden="1" customHeight="1" x14ac:dyDescent="0.15">
      <c r="A6" s="140" t="s">
        <v>282</v>
      </c>
      <c r="B6" s="146" t="s">
        <v>283</v>
      </c>
      <c r="C6" s="37"/>
      <c r="D6" s="139" t="s">
        <v>282</v>
      </c>
      <c r="E6" s="147" t="s">
        <v>284</v>
      </c>
      <c r="G6" s="139" t="s">
        <v>282</v>
      </c>
      <c r="H6" s="147" t="s">
        <v>284</v>
      </c>
    </row>
    <row r="7" spans="1:13" ht="38.25" hidden="1" customHeight="1" x14ac:dyDescent="0.15">
      <c r="A7" s="139" t="s">
        <v>285</v>
      </c>
      <c r="B7" s="147" t="s">
        <v>286</v>
      </c>
      <c r="C7" s="37"/>
      <c r="D7" s="139" t="s">
        <v>282</v>
      </c>
      <c r="E7" s="147" t="s">
        <v>287</v>
      </c>
      <c r="G7" s="139" t="s">
        <v>282</v>
      </c>
      <c r="H7" s="147" t="s">
        <v>287</v>
      </c>
    </row>
    <row r="8" spans="1:13" ht="54" hidden="1" customHeight="1" x14ac:dyDescent="0.15">
      <c r="A8" s="139" t="s">
        <v>285</v>
      </c>
      <c r="B8" s="147" t="s">
        <v>288</v>
      </c>
      <c r="C8" s="37"/>
      <c r="D8" s="139" t="s">
        <v>282</v>
      </c>
      <c r="E8" s="147" t="s">
        <v>289</v>
      </c>
      <c r="G8" s="139" t="s">
        <v>282</v>
      </c>
      <c r="H8" s="147" t="s">
        <v>289</v>
      </c>
    </row>
    <row r="9" spans="1:13" ht="54" hidden="1" customHeight="1" x14ac:dyDescent="0.15">
      <c r="A9" s="141" t="s">
        <v>290</v>
      </c>
      <c r="B9" s="148" t="s">
        <v>291</v>
      </c>
      <c r="C9" s="37"/>
      <c r="D9" s="139" t="s">
        <v>282</v>
      </c>
      <c r="E9" s="147" t="s">
        <v>292</v>
      </c>
      <c r="G9" s="139" t="s">
        <v>282</v>
      </c>
      <c r="H9" s="147" t="s">
        <v>292</v>
      </c>
    </row>
    <row r="10" spans="1:13" ht="54" hidden="1" customHeight="1" x14ac:dyDescent="0.15">
      <c r="A10" s="141" t="s">
        <v>293</v>
      </c>
      <c r="B10" s="148" t="s">
        <v>294</v>
      </c>
      <c r="C10" s="37"/>
      <c r="D10" s="143" t="s">
        <v>295</v>
      </c>
      <c r="E10" s="149" t="s">
        <v>296</v>
      </c>
      <c r="H10" t="s">
        <v>297</v>
      </c>
    </row>
    <row r="11" spans="1:13" ht="54" hidden="1" customHeight="1" x14ac:dyDescent="0.15">
      <c r="A11" s="141" t="s">
        <v>293</v>
      </c>
      <c r="B11" s="148" t="s">
        <v>298</v>
      </c>
      <c r="C11" s="37"/>
      <c r="D11" s="141" t="s">
        <v>282</v>
      </c>
      <c r="E11" s="148" t="s">
        <v>299</v>
      </c>
      <c r="H11" t="s">
        <v>300</v>
      </c>
    </row>
    <row r="12" spans="1:13" ht="28.5" hidden="1" customHeight="1" x14ac:dyDescent="0.15">
      <c r="A12" s="141" t="s">
        <v>282</v>
      </c>
      <c r="B12" s="148" t="s">
        <v>301</v>
      </c>
      <c r="C12" s="37"/>
      <c r="D12" s="139" t="s">
        <v>293</v>
      </c>
      <c r="E12" s="147" t="s">
        <v>302</v>
      </c>
      <c r="G12" t="s">
        <v>293</v>
      </c>
      <c r="H12" s="147" t="s">
        <v>302</v>
      </c>
    </row>
    <row r="13" spans="1:13" ht="46.5" hidden="1" customHeight="1" x14ac:dyDescent="0.15">
      <c r="A13" s="141" t="s">
        <v>293</v>
      </c>
      <c r="B13" s="148" t="s">
        <v>303</v>
      </c>
      <c r="C13" s="37"/>
      <c r="D13" s="139" t="s">
        <v>293</v>
      </c>
      <c r="E13" s="147" t="s">
        <v>304</v>
      </c>
      <c r="G13" t="s">
        <v>293</v>
      </c>
      <c r="H13" s="147" t="s">
        <v>304</v>
      </c>
    </row>
    <row r="14" spans="1:13" ht="53.25" hidden="1" customHeight="1" x14ac:dyDescent="0.15">
      <c r="A14" s="141" t="s">
        <v>295</v>
      </c>
      <c r="B14" s="148" t="s">
        <v>305</v>
      </c>
      <c r="C14" s="37"/>
      <c r="D14" s="139" t="s">
        <v>293</v>
      </c>
      <c r="E14" s="147" t="s">
        <v>306</v>
      </c>
      <c r="G14" t="s">
        <v>293</v>
      </c>
      <c r="H14" s="147" t="s">
        <v>306</v>
      </c>
    </row>
    <row r="15" spans="1:13" ht="28.5" hidden="1" customHeight="1" x14ac:dyDescent="0.15">
      <c r="A15" s="141" t="s">
        <v>295</v>
      </c>
      <c r="B15" s="148" t="s">
        <v>307</v>
      </c>
      <c r="C15" s="37"/>
      <c r="D15" s="139" t="s">
        <v>290</v>
      </c>
      <c r="E15" s="147" t="s">
        <v>308</v>
      </c>
      <c r="H15" t="s">
        <v>309</v>
      </c>
    </row>
    <row r="16" spans="1:13" ht="87" hidden="1" customHeight="1" x14ac:dyDescent="0.15">
      <c r="A16" s="141" t="s">
        <v>282</v>
      </c>
      <c r="B16" s="148" t="s">
        <v>310</v>
      </c>
      <c r="C16" s="37"/>
      <c r="D16" s="141" t="s">
        <v>290</v>
      </c>
      <c r="E16" s="148" t="s">
        <v>311</v>
      </c>
      <c r="H16" t="s">
        <v>312</v>
      </c>
    </row>
    <row r="17" spans="1:9" ht="52.5" hidden="1" customHeight="1" x14ac:dyDescent="0.15">
      <c r="A17" s="139" t="s">
        <v>282</v>
      </c>
      <c r="B17" s="147" t="s">
        <v>313</v>
      </c>
      <c r="C17" s="37"/>
      <c r="D17" s="141" t="s">
        <v>282</v>
      </c>
      <c r="E17" s="148" t="s">
        <v>314</v>
      </c>
      <c r="H17" t="s">
        <v>315</v>
      </c>
    </row>
    <row r="18" spans="1:9" ht="67.5" hidden="1" customHeight="1" x14ac:dyDescent="0.15">
      <c r="A18" s="142" t="s">
        <v>316</v>
      </c>
      <c r="B18" s="147" t="s">
        <v>317</v>
      </c>
      <c r="C18" s="37"/>
      <c r="D18" s="141" t="s">
        <v>282</v>
      </c>
      <c r="E18" s="148" t="s">
        <v>318</v>
      </c>
      <c r="H18" t="s">
        <v>319</v>
      </c>
    </row>
    <row r="19" spans="1:9" ht="56.25" hidden="1" customHeight="1" x14ac:dyDescent="0.15">
      <c r="A19" s="142" t="s">
        <v>320</v>
      </c>
      <c r="B19" s="147" t="s">
        <v>321</v>
      </c>
      <c r="C19" s="37"/>
      <c r="D19" s="141" t="s">
        <v>295</v>
      </c>
      <c r="E19" s="148" t="s">
        <v>322</v>
      </c>
      <c r="H19" t="s">
        <v>323</v>
      </c>
      <c r="I19" t="s">
        <v>324</v>
      </c>
    </row>
    <row r="20" spans="1:9" ht="56.25" hidden="1" customHeight="1" x14ac:dyDescent="0.15">
      <c r="A20" s="141" t="s">
        <v>295</v>
      </c>
      <c r="B20" s="148" t="s">
        <v>325</v>
      </c>
      <c r="C20" s="37"/>
      <c r="D20" s="141" t="s">
        <v>295</v>
      </c>
      <c r="E20" s="148" t="s">
        <v>326</v>
      </c>
      <c r="H20" t="s">
        <v>327</v>
      </c>
      <c r="I20" t="s">
        <v>328</v>
      </c>
    </row>
    <row r="21" spans="1:9" ht="64.5" hidden="1" customHeight="1" x14ac:dyDescent="0.15">
      <c r="A21" s="150" t="s">
        <v>329</v>
      </c>
      <c r="B21" s="148" t="s">
        <v>330</v>
      </c>
      <c r="C21" s="37"/>
      <c r="D21" s="141" t="s">
        <v>295</v>
      </c>
      <c r="E21" s="148" t="s">
        <v>331</v>
      </c>
      <c r="H21" t="s">
        <v>332</v>
      </c>
    </row>
    <row r="22" spans="1:9" ht="57.75" hidden="1" customHeight="1" x14ac:dyDescent="0.15">
      <c r="A22" s="141" t="s">
        <v>295</v>
      </c>
      <c r="B22" s="148" t="s">
        <v>333</v>
      </c>
      <c r="C22" s="37"/>
      <c r="D22" s="141" t="s">
        <v>282</v>
      </c>
      <c r="E22" s="148" t="s">
        <v>334</v>
      </c>
      <c r="H22" t="s">
        <v>335</v>
      </c>
    </row>
    <row r="23" spans="1:9" ht="36" hidden="1" customHeight="1" x14ac:dyDescent="0.15">
      <c r="A23" s="141" t="s">
        <v>336</v>
      </c>
      <c r="B23" s="148" t="s">
        <v>337</v>
      </c>
      <c r="C23" s="37"/>
      <c r="D23" s="141" t="s">
        <v>295</v>
      </c>
      <c r="E23" s="148" t="s">
        <v>338</v>
      </c>
      <c r="H23" t="s">
        <v>339</v>
      </c>
    </row>
    <row r="24" spans="1:9" ht="30.75" hidden="1" customHeight="1" x14ac:dyDescent="0.15">
      <c r="A24" s="141" t="s">
        <v>336</v>
      </c>
      <c r="B24" s="148" t="s">
        <v>340</v>
      </c>
      <c r="C24" s="37"/>
      <c r="D24" s="141" t="s">
        <v>282</v>
      </c>
      <c r="E24" s="148" t="s">
        <v>341</v>
      </c>
      <c r="H24" t="s">
        <v>342</v>
      </c>
    </row>
    <row r="25" spans="1:9" ht="30.75" hidden="1" customHeight="1" x14ac:dyDescent="0.15">
      <c r="A25" s="141" t="s">
        <v>336</v>
      </c>
      <c r="B25" s="148" t="s">
        <v>343</v>
      </c>
      <c r="C25" s="37"/>
      <c r="D25" s="141" t="s">
        <v>295</v>
      </c>
      <c r="E25" s="148" t="s">
        <v>344</v>
      </c>
      <c r="H25" t="s">
        <v>345</v>
      </c>
    </row>
    <row r="26" spans="1:9" ht="30.75" hidden="1" customHeight="1" x14ac:dyDescent="0.15">
      <c r="A26" s="141" t="s">
        <v>336</v>
      </c>
      <c r="B26" s="148" t="s">
        <v>346</v>
      </c>
      <c r="C26" s="37"/>
      <c r="D26" s="139" t="s">
        <v>290</v>
      </c>
      <c r="E26" s="147" t="s">
        <v>347</v>
      </c>
      <c r="G26" t="s">
        <v>290</v>
      </c>
      <c r="H26" s="147" t="s">
        <v>347</v>
      </c>
    </row>
    <row r="27" spans="1:9" ht="32.25" hidden="1" customHeight="1" x14ac:dyDescent="0.15">
      <c r="A27" s="141" t="s">
        <v>336</v>
      </c>
      <c r="B27" s="148" t="s">
        <v>348</v>
      </c>
      <c r="C27" s="37"/>
      <c r="D27" s="141" t="s">
        <v>293</v>
      </c>
      <c r="E27" s="148" t="s">
        <v>349</v>
      </c>
      <c r="H27" s="147"/>
    </row>
    <row r="28" spans="1:9" ht="27.75" customHeight="1" x14ac:dyDescent="0.15">
      <c r="A28" s="141" t="s">
        <v>336</v>
      </c>
      <c r="B28" s="148" t="s">
        <v>350</v>
      </c>
      <c r="C28" s="37"/>
      <c r="D28" s="141" t="s">
        <v>336</v>
      </c>
      <c r="E28" s="148" t="s">
        <v>351</v>
      </c>
    </row>
    <row r="29" spans="1:9" ht="29.25" customHeight="1" x14ac:dyDescent="0.15">
      <c r="A29" s="141" t="s">
        <v>352</v>
      </c>
      <c r="B29" s="148" t="s">
        <v>353</v>
      </c>
      <c r="C29" s="37"/>
      <c r="D29" s="141" t="s">
        <v>336</v>
      </c>
      <c r="E29" s="148" t="s">
        <v>354</v>
      </c>
    </row>
    <row r="30" spans="1:9" ht="33.75" customHeight="1" x14ac:dyDescent="0.15">
      <c r="A30" s="141" t="s">
        <v>352</v>
      </c>
      <c r="B30" s="148" t="s">
        <v>355</v>
      </c>
      <c r="C30" s="37"/>
      <c r="D30" s="141" t="s">
        <v>336</v>
      </c>
      <c r="E30" s="148" t="s">
        <v>356</v>
      </c>
    </row>
    <row r="31" spans="1:9" ht="37.5" customHeight="1" x14ac:dyDescent="0.15">
      <c r="A31" s="141" t="s">
        <v>352</v>
      </c>
      <c r="B31" s="148" t="s">
        <v>357</v>
      </c>
      <c r="C31" s="37"/>
      <c r="D31" s="141" t="s">
        <v>336</v>
      </c>
      <c r="E31" s="148" t="s">
        <v>358</v>
      </c>
    </row>
    <row r="32" spans="1:9" ht="30" customHeight="1" x14ac:dyDescent="0.15">
      <c r="A32" s="141" t="s">
        <v>282</v>
      </c>
      <c r="B32" s="148" t="s">
        <v>359</v>
      </c>
      <c r="C32" s="37"/>
      <c r="D32" s="141" t="s">
        <v>336</v>
      </c>
      <c r="E32" s="148" t="s">
        <v>360</v>
      </c>
    </row>
    <row r="33" spans="1:8" ht="36.75" customHeight="1" x14ac:dyDescent="0.15">
      <c r="A33" s="141" t="s">
        <v>282</v>
      </c>
      <c r="B33" s="148" t="s">
        <v>361</v>
      </c>
      <c r="C33" s="37"/>
      <c r="D33" s="141" t="s">
        <v>336</v>
      </c>
      <c r="E33" s="148" t="s">
        <v>362</v>
      </c>
    </row>
    <row r="34" spans="1:8" ht="31.5" customHeight="1" x14ac:dyDescent="0.15">
      <c r="A34" s="139" t="s">
        <v>295</v>
      </c>
      <c r="B34" s="147" t="s">
        <v>363</v>
      </c>
      <c r="C34" s="37"/>
      <c r="D34" s="141" t="s">
        <v>336</v>
      </c>
      <c r="E34" s="148" t="s">
        <v>364</v>
      </c>
    </row>
    <row r="35" spans="1:8" ht="31.5" customHeight="1" x14ac:dyDescent="0.15">
      <c r="B35" s="151"/>
      <c r="C35" s="37"/>
      <c r="D35" s="141" t="s">
        <v>336</v>
      </c>
      <c r="E35" s="148" t="s">
        <v>365</v>
      </c>
    </row>
    <row r="36" spans="1:8" ht="31.5" customHeight="1" x14ac:dyDescent="0.15">
      <c r="C36" s="37"/>
      <c r="D36" s="141" t="s">
        <v>336</v>
      </c>
      <c r="E36" s="148" t="s">
        <v>366</v>
      </c>
    </row>
    <row r="37" spans="1:8" ht="31.5" customHeight="1" x14ac:dyDescent="0.15">
      <c r="D37" s="139" t="s">
        <v>336</v>
      </c>
      <c r="E37" s="147" t="s">
        <v>367</v>
      </c>
      <c r="G37" t="s">
        <v>336</v>
      </c>
      <c r="H37" s="147" t="s">
        <v>367</v>
      </c>
    </row>
    <row r="38" spans="1:8" ht="31.5" customHeight="1" x14ac:dyDescent="0.15">
      <c r="D38" s="141" t="s">
        <v>336</v>
      </c>
      <c r="E38" s="148" t="s">
        <v>368</v>
      </c>
    </row>
    <row r="39" spans="1:8" ht="31.5" customHeight="1" x14ac:dyDescent="0.15">
      <c r="D39" s="139" t="s">
        <v>336</v>
      </c>
      <c r="E39" s="147" t="s">
        <v>369</v>
      </c>
      <c r="G39" t="s">
        <v>336</v>
      </c>
      <c r="H39" s="147" t="s">
        <v>369</v>
      </c>
    </row>
    <row r="40" spans="1:8" ht="31.5" customHeight="1" x14ac:dyDescent="0.15">
      <c r="D40" s="139" t="s">
        <v>352</v>
      </c>
      <c r="E40" s="147" t="s">
        <v>370</v>
      </c>
      <c r="G40" t="s">
        <v>336</v>
      </c>
      <c r="H40" s="147" t="s">
        <v>370</v>
      </c>
    </row>
    <row r="41" spans="1:8" ht="31.5" customHeight="1" x14ac:dyDescent="0.15">
      <c r="D41" s="139" t="s">
        <v>352</v>
      </c>
      <c r="E41" s="147" t="s">
        <v>371</v>
      </c>
      <c r="G41" t="s">
        <v>336</v>
      </c>
      <c r="H41" s="147" t="s">
        <v>371</v>
      </c>
    </row>
    <row r="42" spans="1:8" ht="31.5" customHeight="1" x14ac:dyDescent="0.15">
      <c r="D42" s="139" t="s">
        <v>352</v>
      </c>
      <c r="E42" s="147" t="s">
        <v>372</v>
      </c>
      <c r="G42" t="s">
        <v>336</v>
      </c>
      <c r="H42" s="147" t="s">
        <v>372</v>
      </c>
    </row>
    <row r="43" spans="1:8" ht="31.5" customHeight="1" x14ac:dyDescent="0.15">
      <c r="D43" s="139" t="s">
        <v>352</v>
      </c>
      <c r="E43" s="147" t="s">
        <v>373</v>
      </c>
      <c r="G43" t="s">
        <v>352</v>
      </c>
      <c r="H43" s="147" t="s">
        <v>373</v>
      </c>
    </row>
    <row r="44" spans="1:8" ht="31.5" customHeight="1" x14ac:dyDescent="0.15">
      <c r="D44" s="139" t="s">
        <v>352</v>
      </c>
      <c r="E44" s="147" t="s">
        <v>374</v>
      </c>
      <c r="G44" t="s">
        <v>352</v>
      </c>
      <c r="H44" s="147" t="s">
        <v>374</v>
      </c>
    </row>
    <row r="45" spans="1:8" ht="31.5" customHeight="1" x14ac:dyDescent="0.15">
      <c r="D45" s="139" t="s">
        <v>352</v>
      </c>
      <c r="E45" s="147" t="s">
        <v>375</v>
      </c>
      <c r="G45" t="s">
        <v>352</v>
      </c>
      <c r="H45" s="147" t="s">
        <v>375</v>
      </c>
    </row>
    <row r="46" spans="1:8" ht="31.5" customHeight="1" x14ac:dyDescent="0.15">
      <c r="D46" s="139" t="s">
        <v>352</v>
      </c>
      <c r="E46" s="147" t="s">
        <v>376</v>
      </c>
      <c r="G46" t="s">
        <v>352</v>
      </c>
      <c r="H46" s="147" t="s">
        <v>376</v>
      </c>
    </row>
    <row r="47" spans="1:8" ht="28" x14ac:dyDescent="0.15">
      <c r="D47" s="141" t="s">
        <v>290</v>
      </c>
      <c r="E47" s="148" t="s">
        <v>286</v>
      </c>
    </row>
    <row r="48" spans="1:8" ht="42" x14ac:dyDescent="0.15">
      <c r="D48" s="141" t="s">
        <v>290</v>
      </c>
      <c r="E48" s="148" t="s">
        <v>288</v>
      </c>
    </row>
    <row r="49" spans="4:8" ht="74.25" customHeight="1" x14ac:dyDescent="0.15">
      <c r="D49" s="141" t="s">
        <v>290</v>
      </c>
      <c r="E49" s="148" t="s">
        <v>377</v>
      </c>
    </row>
    <row r="50" spans="4:8" ht="53.25" customHeight="1" x14ac:dyDescent="0.15">
      <c r="D50" s="141" t="s">
        <v>282</v>
      </c>
      <c r="E50" s="148" t="s">
        <v>378</v>
      </c>
    </row>
    <row r="51" spans="4:8" ht="30.75" customHeight="1" x14ac:dyDescent="0.15">
      <c r="D51" s="141" t="s">
        <v>290</v>
      </c>
      <c r="E51" s="148" t="s">
        <v>379</v>
      </c>
    </row>
    <row r="52" spans="4:8" ht="28" x14ac:dyDescent="0.15">
      <c r="D52" s="141" t="s">
        <v>295</v>
      </c>
      <c r="E52" s="152" t="s">
        <v>380</v>
      </c>
    </row>
    <row r="53" spans="4:8" ht="28" x14ac:dyDescent="0.15">
      <c r="D53" s="141" t="s">
        <v>295</v>
      </c>
      <c r="E53" s="152" t="s">
        <v>381</v>
      </c>
    </row>
    <row r="54" spans="4:8" ht="27" customHeight="1" x14ac:dyDescent="0.15">
      <c r="D54" s="139" t="s">
        <v>295</v>
      </c>
      <c r="E54" s="151" t="s">
        <v>382</v>
      </c>
      <c r="H54" s="151" t="s">
        <v>382</v>
      </c>
    </row>
    <row r="55" spans="4:8" ht="30.75" customHeight="1" x14ac:dyDescent="0.15">
      <c r="D55" s="139" t="s">
        <v>295</v>
      </c>
      <c r="E55" s="151" t="s">
        <v>383</v>
      </c>
      <c r="H55" s="151" t="s">
        <v>383</v>
      </c>
    </row>
    <row r="56" spans="4:8" ht="30.75" customHeight="1" x14ac:dyDescent="0.15">
      <c r="D56" s="139" t="s">
        <v>295</v>
      </c>
      <c r="E56" s="151" t="s">
        <v>384</v>
      </c>
      <c r="H56" s="151" t="s">
        <v>384</v>
      </c>
    </row>
    <row r="57" spans="4:8" ht="42" x14ac:dyDescent="0.15">
      <c r="D57" s="141" t="s">
        <v>282</v>
      </c>
      <c r="E57" s="148" t="s">
        <v>385</v>
      </c>
    </row>
    <row r="58" spans="4:8" ht="28" x14ac:dyDescent="0.15">
      <c r="D58" s="141" t="s">
        <v>293</v>
      </c>
      <c r="E58" s="148" t="s">
        <v>331</v>
      </c>
    </row>
    <row r="59" spans="4:8" x14ac:dyDescent="0.15">
      <c r="D59" s="141" t="s">
        <v>290</v>
      </c>
      <c r="E59" s="138" t="s">
        <v>386</v>
      </c>
    </row>
    <row r="60" spans="4:8" x14ac:dyDescent="0.15">
      <c r="D60" s="141" t="s">
        <v>290</v>
      </c>
      <c r="E60" s="138" t="s">
        <v>387</v>
      </c>
    </row>
  </sheetData>
  <autoFilter ref="A5:M34" xr:uid="{2B2DC517-C76E-4EC8-B1B8-3CA233DF20ED}">
    <filterColumn colId="3">
      <filters>
        <filter val="MS"/>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22338-0C80-4AFC-BF63-AEE7EACE607E}">
  <dimension ref="A1:AF131"/>
  <sheetViews>
    <sheetView workbookViewId="0">
      <selection activeCell="E44" sqref="E44"/>
    </sheetView>
  </sheetViews>
  <sheetFormatPr baseColWidth="10" defaultColWidth="8.83203125" defaultRowHeight="13" x14ac:dyDescent="0.15"/>
  <cols>
    <col min="2" max="2" width="20.5" customWidth="1"/>
    <col min="3" max="4" width="27" customWidth="1"/>
    <col min="7" max="7" width="13.83203125" customWidth="1"/>
    <col min="8" max="8" width="27.5" customWidth="1"/>
  </cols>
  <sheetData>
    <row r="1" spans="1:32" ht="28" x14ac:dyDescent="0.15">
      <c r="A1" s="67" t="s">
        <v>60</v>
      </c>
      <c r="B1" s="68" t="s">
        <v>61</v>
      </c>
      <c r="C1" s="68" t="s">
        <v>62</v>
      </c>
      <c r="D1" s="68" t="s">
        <v>63</v>
      </c>
      <c r="E1" s="67" t="s">
        <v>64</v>
      </c>
      <c r="F1" s="69" t="s">
        <v>65</v>
      </c>
      <c r="G1" s="68" t="s">
        <v>66</v>
      </c>
      <c r="H1" s="70" t="s">
        <v>67</v>
      </c>
      <c r="I1" s="68" t="s">
        <v>388</v>
      </c>
      <c r="J1" s="68" t="s">
        <v>389</v>
      </c>
      <c r="K1" s="68" t="s">
        <v>390</v>
      </c>
      <c r="L1" s="68" t="s">
        <v>243</v>
      </c>
    </row>
    <row r="2" spans="1:32" x14ac:dyDescent="0.15">
      <c r="A2" s="103"/>
      <c r="B2" s="76"/>
      <c r="C2" s="124"/>
      <c r="D2" s="81"/>
      <c r="E2" s="74"/>
      <c r="F2" s="107"/>
      <c r="G2" s="75"/>
      <c r="H2" s="125"/>
      <c r="I2" s="79"/>
      <c r="J2" s="62"/>
      <c r="K2" s="104"/>
      <c r="L2" s="62"/>
    </row>
    <row r="3" spans="1:32" x14ac:dyDescent="0.15">
      <c r="A3" s="103"/>
      <c r="B3" s="76"/>
      <c r="C3" s="124"/>
      <c r="D3" s="81"/>
      <c r="E3" s="74"/>
      <c r="F3" s="107"/>
      <c r="G3" s="126"/>
      <c r="H3" s="127"/>
      <c r="I3" s="105"/>
      <c r="J3" s="62"/>
      <c r="K3" s="104"/>
      <c r="L3" s="62"/>
    </row>
    <row r="4" spans="1:32" x14ac:dyDescent="0.15">
      <c r="A4" s="103"/>
      <c r="B4" s="76"/>
      <c r="C4" s="124"/>
      <c r="D4" s="81"/>
      <c r="E4" s="74"/>
      <c r="F4" s="107"/>
      <c r="G4" s="126"/>
      <c r="H4" s="127"/>
      <c r="I4" s="105"/>
      <c r="J4" s="62"/>
      <c r="K4" s="104"/>
      <c r="L4" s="62"/>
    </row>
    <row r="5" spans="1:32" x14ac:dyDescent="0.15">
      <c r="A5" s="103"/>
      <c r="B5" s="76"/>
      <c r="C5" s="124"/>
      <c r="D5" s="81"/>
      <c r="E5" s="74"/>
      <c r="F5" s="107"/>
      <c r="G5" s="126"/>
      <c r="H5" s="127"/>
      <c r="I5" s="105"/>
      <c r="J5" s="62"/>
      <c r="K5" s="104"/>
      <c r="L5" s="62"/>
    </row>
    <row r="6" spans="1:32" x14ac:dyDescent="0.15">
      <c r="A6" s="103"/>
      <c r="B6" s="76"/>
      <c r="C6" s="124"/>
      <c r="D6" s="81"/>
      <c r="E6" s="74"/>
      <c r="F6" s="107"/>
      <c r="G6" s="126"/>
      <c r="H6" s="127"/>
      <c r="I6" s="105"/>
      <c r="J6" s="62"/>
      <c r="K6" s="104"/>
      <c r="L6" s="62"/>
    </row>
    <row r="7" spans="1:32" x14ac:dyDescent="0.15">
      <c r="A7" s="103"/>
      <c r="B7" s="76"/>
      <c r="C7" s="124"/>
      <c r="D7" s="81"/>
      <c r="E7" s="74"/>
      <c r="F7" s="107"/>
      <c r="G7" s="128"/>
      <c r="H7" s="127"/>
      <c r="I7" s="105"/>
      <c r="J7" s="62"/>
      <c r="K7" s="104"/>
      <c r="L7" s="62"/>
    </row>
    <row r="8" spans="1:32" x14ac:dyDescent="0.15">
      <c r="A8" s="103"/>
      <c r="B8" s="76"/>
      <c r="C8" s="124"/>
      <c r="D8" s="81"/>
      <c r="E8" s="74"/>
      <c r="F8" s="107"/>
      <c r="G8" s="128"/>
      <c r="H8" s="127"/>
      <c r="I8" s="105"/>
      <c r="J8" s="62"/>
      <c r="K8" s="104"/>
      <c r="L8" s="62"/>
    </row>
    <row r="9" spans="1:32" x14ac:dyDescent="0.15">
      <c r="A9" s="103"/>
      <c r="B9" s="76"/>
      <c r="C9" s="124"/>
      <c r="D9" s="81"/>
      <c r="E9" s="74"/>
      <c r="F9" s="107"/>
      <c r="G9" s="128"/>
      <c r="H9" s="127"/>
      <c r="I9" s="108"/>
      <c r="J9" s="62"/>
      <c r="K9" s="104"/>
      <c r="L9" s="62"/>
    </row>
    <row r="10" spans="1:32" x14ac:dyDescent="0.15">
      <c r="A10" s="103"/>
      <c r="B10" s="76"/>
      <c r="C10" s="124"/>
      <c r="D10" s="81"/>
      <c r="E10" s="74"/>
      <c r="F10" s="74"/>
      <c r="G10" s="128"/>
      <c r="H10" s="127"/>
      <c r="I10" s="109"/>
      <c r="J10" s="62"/>
      <c r="K10" s="104"/>
      <c r="L10" s="62"/>
    </row>
    <row r="11" spans="1:32" x14ac:dyDescent="0.15">
      <c r="A11" s="103"/>
      <c r="B11" s="76"/>
      <c r="C11" s="106"/>
      <c r="D11" s="81"/>
      <c r="E11" s="74"/>
      <c r="F11" s="74"/>
      <c r="G11" s="128"/>
      <c r="H11" s="127"/>
      <c r="I11" s="97"/>
      <c r="J11" s="62"/>
      <c r="K11" s="104"/>
      <c r="L11" s="62"/>
    </row>
    <row r="12" spans="1:32" x14ac:dyDescent="0.15">
      <c r="A12" s="103"/>
      <c r="B12" s="76"/>
      <c r="C12" s="124"/>
      <c r="D12" s="81"/>
      <c r="E12" s="74"/>
      <c r="F12" s="107"/>
      <c r="G12" s="128"/>
      <c r="H12" s="127"/>
      <c r="I12" s="109"/>
      <c r="J12" s="62"/>
      <c r="K12" s="104"/>
      <c r="L12" s="62"/>
      <c r="AF12">
        <f>COUNTIF('Sheet 4'!$G$2:$G$41,Summary!AC12)</f>
        <v>0</v>
      </c>
    </row>
    <row r="13" spans="1:32" x14ac:dyDescent="0.15">
      <c r="A13" s="103"/>
      <c r="B13" s="103"/>
      <c r="C13" s="106"/>
      <c r="D13" s="129"/>
      <c r="E13" s="74"/>
      <c r="F13" s="74"/>
      <c r="G13" s="128"/>
      <c r="H13" s="95"/>
      <c r="I13" s="105"/>
      <c r="J13" s="62"/>
      <c r="K13" s="104"/>
      <c r="L13" s="62"/>
    </row>
    <row r="14" spans="1:32" x14ac:dyDescent="0.15">
      <c r="A14" s="103"/>
      <c r="B14" s="103"/>
      <c r="C14" s="106"/>
      <c r="D14" s="129"/>
      <c r="E14" s="74"/>
      <c r="F14" s="74"/>
      <c r="G14" s="128"/>
      <c r="H14" s="95"/>
      <c r="I14" s="109"/>
      <c r="J14" s="62"/>
      <c r="K14" s="104"/>
      <c r="L14" s="62"/>
    </row>
    <row r="15" spans="1:32" x14ac:dyDescent="0.15">
      <c r="A15" s="103"/>
      <c r="B15" s="103"/>
      <c r="C15" s="106"/>
      <c r="D15" s="129"/>
      <c r="E15" s="74"/>
      <c r="F15" s="74"/>
      <c r="G15" s="128"/>
      <c r="H15" s="96"/>
      <c r="I15" s="105"/>
      <c r="J15" s="62"/>
      <c r="K15" s="104"/>
      <c r="L15" s="62"/>
    </row>
    <row r="16" spans="1:32" x14ac:dyDescent="0.15">
      <c r="A16" s="103"/>
      <c r="B16" s="103"/>
      <c r="C16" s="106"/>
      <c r="D16" s="103"/>
      <c r="E16" s="74"/>
      <c r="F16" s="74"/>
      <c r="G16" s="128"/>
      <c r="H16" s="96"/>
      <c r="I16" s="109"/>
      <c r="J16" s="62"/>
      <c r="K16" s="104"/>
      <c r="L16" s="62"/>
    </row>
    <row r="17" spans="1:12" x14ac:dyDescent="0.15">
      <c r="A17" s="103"/>
      <c r="B17" s="103"/>
      <c r="C17" s="106"/>
      <c r="D17" s="103"/>
      <c r="E17" s="74"/>
      <c r="F17" s="74"/>
      <c r="G17" s="128"/>
      <c r="H17" s="96"/>
      <c r="I17" s="109"/>
      <c r="J17" s="62"/>
      <c r="K17" s="104"/>
      <c r="L17" s="62"/>
    </row>
    <row r="18" spans="1:12" x14ac:dyDescent="0.15">
      <c r="A18" s="103"/>
      <c r="B18" s="103"/>
      <c r="C18" s="106"/>
      <c r="D18" s="103"/>
      <c r="E18" s="74"/>
      <c r="F18" s="74"/>
      <c r="G18" s="128"/>
      <c r="H18" s="96"/>
      <c r="I18" s="98"/>
      <c r="J18" s="62"/>
      <c r="K18" s="104"/>
      <c r="L18" s="62"/>
    </row>
    <row r="19" spans="1:12" x14ac:dyDescent="0.15">
      <c r="A19" s="103"/>
      <c r="B19" s="103"/>
      <c r="C19" s="106"/>
      <c r="D19" s="129"/>
      <c r="E19" s="74"/>
      <c r="F19" s="74"/>
      <c r="G19" s="128"/>
      <c r="H19" s="96"/>
      <c r="I19" s="109"/>
      <c r="J19" s="62"/>
      <c r="K19" s="104"/>
      <c r="L19" s="62"/>
    </row>
    <row r="20" spans="1:12" x14ac:dyDescent="0.15">
      <c r="A20" s="103"/>
      <c r="B20" s="103"/>
      <c r="C20" s="106"/>
      <c r="D20" s="129"/>
      <c r="E20" s="74"/>
      <c r="F20" s="74"/>
      <c r="G20" s="128"/>
      <c r="H20" s="96"/>
      <c r="I20" s="109"/>
      <c r="J20" s="62"/>
      <c r="K20" s="104"/>
      <c r="L20" s="62"/>
    </row>
    <row r="21" spans="1:12" x14ac:dyDescent="0.15">
      <c r="A21" s="103"/>
      <c r="B21" s="103"/>
      <c r="C21" s="102"/>
      <c r="D21" s="106"/>
      <c r="E21" s="117"/>
      <c r="F21" s="66"/>
      <c r="G21" s="52"/>
      <c r="H21" s="100"/>
      <c r="I21" s="63"/>
      <c r="J21" s="62"/>
      <c r="K21" s="62"/>
      <c r="L21" s="62"/>
    </row>
    <row r="22" spans="1:12" x14ac:dyDescent="0.15">
      <c r="A22" s="103"/>
      <c r="B22" s="103"/>
      <c r="C22" s="102"/>
      <c r="D22" s="130"/>
      <c r="E22" s="117"/>
      <c r="F22" s="66"/>
      <c r="G22" s="52"/>
      <c r="H22" s="100"/>
      <c r="I22" s="63"/>
      <c r="J22" s="62"/>
      <c r="K22" s="62"/>
      <c r="L22" s="62"/>
    </row>
    <row r="23" spans="1:12" x14ac:dyDescent="0.15">
      <c r="A23" s="103"/>
      <c r="B23" s="103"/>
      <c r="C23" s="102"/>
      <c r="D23" s="106"/>
      <c r="E23" s="117"/>
      <c r="F23" s="131"/>
      <c r="G23" s="52"/>
      <c r="H23" s="100"/>
      <c r="I23" s="63"/>
      <c r="J23" s="62"/>
      <c r="K23" s="62"/>
      <c r="L23" s="62"/>
    </row>
    <row r="24" spans="1:12" x14ac:dyDescent="0.15">
      <c r="A24" s="103"/>
      <c r="B24" s="103"/>
      <c r="C24" s="102"/>
      <c r="D24" s="106"/>
      <c r="E24" s="117"/>
      <c r="F24" s="131"/>
      <c r="G24" s="52"/>
      <c r="H24" s="100"/>
      <c r="I24" s="63"/>
      <c r="J24" s="62"/>
      <c r="K24" s="62"/>
      <c r="L24" s="62"/>
    </row>
    <row r="25" spans="1:12" x14ac:dyDescent="0.15">
      <c r="A25" s="103"/>
      <c r="B25" s="103"/>
      <c r="C25" s="102"/>
      <c r="D25" s="106"/>
      <c r="E25" s="117"/>
      <c r="F25" s="131"/>
      <c r="G25" s="52"/>
      <c r="H25" s="99"/>
      <c r="I25" s="63"/>
      <c r="J25" s="62"/>
      <c r="K25" s="62"/>
      <c r="L25" s="62"/>
    </row>
    <row r="26" spans="1:12" x14ac:dyDescent="0.15">
      <c r="A26" s="103"/>
      <c r="B26" s="103"/>
      <c r="C26" s="102"/>
      <c r="D26" s="103"/>
      <c r="E26" s="118"/>
      <c r="F26" s="75"/>
      <c r="G26" s="52"/>
      <c r="H26" s="99"/>
      <c r="I26" s="63"/>
      <c r="J26" s="62"/>
      <c r="K26" s="62"/>
      <c r="L26" s="62"/>
    </row>
    <row r="27" spans="1:12" x14ac:dyDescent="0.15">
      <c r="A27" s="103"/>
      <c r="B27" s="103"/>
      <c r="C27" s="102"/>
      <c r="D27" s="103"/>
      <c r="E27" s="118"/>
      <c r="F27" s="75"/>
      <c r="G27" s="52"/>
      <c r="H27" s="99"/>
      <c r="I27" s="63"/>
      <c r="J27" s="62"/>
      <c r="K27" s="62"/>
      <c r="L27" s="62"/>
    </row>
    <row r="28" spans="1:12" x14ac:dyDescent="0.15">
      <c r="A28" s="103"/>
      <c r="B28" s="103"/>
      <c r="C28" s="102"/>
      <c r="D28" s="103"/>
      <c r="E28" s="118"/>
      <c r="F28" s="75"/>
      <c r="G28" s="52"/>
      <c r="H28" s="99"/>
      <c r="I28" s="63"/>
      <c r="J28" s="62"/>
      <c r="K28" s="62"/>
      <c r="L28" s="62"/>
    </row>
    <row r="29" spans="1:12" x14ac:dyDescent="0.15">
      <c r="A29" s="103"/>
      <c r="B29" s="103"/>
      <c r="C29" s="102"/>
      <c r="D29" s="103"/>
      <c r="E29" s="118"/>
      <c r="F29" s="75"/>
      <c r="G29" s="52"/>
      <c r="H29" s="101"/>
      <c r="I29" s="63"/>
      <c r="J29" s="62"/>
      <c r="K29" s="62"/>
      <c r="L29" s="62"/>
    </row>
    <row r="30" spans="1:12" x14ac:dyDescent="0.15">
      <c r="A30" s="103"/>
      <c r="B30" s="103"/>
      <c r="C30" s="102"/>
      <c r="D30" s="103"/>
      <c r="E30" s="118"/>
      <c r="F30" s="75"/>
      <c r="G30" s="52"/>
      <c r="H30" s="99"/>
      <c r="I30" s="63"/>
      <c r="J30" s="62"/>
      <c r="K30" s="62"/>
      <c r="L30" s="62"/>
    </row>
    <row r="31" spans="1:12" x14ac:dyDescent="0.15">
      <c r="A31" s="103"/>
      <c r="B31" s="129"/>
      <c r="C31" s="102"/>
      <c r="D31" s="129"/>
      <c r="E31" s="118"/>
      <c r="F31" s="75"/>
      <c r="G31" s="52"/>
      <c r="H31" s="100"/>
      <c r="I31" s="63"/>
      <c r="J31" s="62"/>
      <c r="K31" s="62"/>
      <c r="L31" s="62"/>
    </row>
    <row r="32" spans="1:12" x14ac:dyDescent="0.15">
      <c r="A32" s="103"/>
      <c r="B32" s="129"/>
      <c r="C32" s="102"/>
      <c r="D32" s="129"/>
      <c r="E32" s="118"/>
      <c r="F32" s="75"/>
      <c r="G32" s="52"/>
      <c r="H32" s="99"/>
      <c r="I32" s="63"/>
      <c r="J32" s="62"/>
      <c r="K32" s="62"/>
      <c r="L32" s="62"/>
    </row>
    <row r="33" spans="1:12" x14ac:dyDescent="0.15">
      <c r="A33" s="103"/>
      <c r="B33" s="103"/>
      <c r="C33" s="102"/>
      <c r="D33" s="129"/>
      <c r="E33" s="118"/>
      <c r="F33" s="75"/>
      <c r="G33" s="52"/>
      <c r="H33" s="100"/>
      <c r="I33" s="63"/>
      <c r="J33" s="62"/>
      <c r="K33" s="62"/>
      <c r="L33" s="62"/>
    </row>
    <row r="34" spans="1:12" x14ac:dyDescent="0.15">
      <c r="A34" s="103"/>
      <c r="B34" s="103"/>
      <c r="C34" s="102"/>
      <c r="D34" s="129"/>
      <c r="E34" s="118"/>
      <c r="F34" s="75"/>
      <c r="G34" s="52"/>
      <c r="H34" s="100"/>
      <c r="I34" s="63"/>
      <c r="J34" s="62"/>
      <c r="K34" s="62"/>
      <c r="L34" s="62"/>
    </row>
    <row r="35" spans="1:12" x14ac:dyDescent="0.15">
      <c r="A35" s="103"/>
      <c r="B35" s="103"/>
      <c r="C35" s="102"/>
      <c r="D35" s="129"/>
      <c r="E35" s="118"/>
      <c r="F35" s="75"/>
      <c r="G35" s="52"/>
      <c r="H35" s="100"/>
      <c r="I35" s="63"/>
      <c r="J35" s="62"/>
      <c r="K35" s="62"/>
      <c r="L35" s="62"/>
    </row>
    <row r="36" spans="1:12" x14ac:dyDescent="0.15">
      <c r="A36" s="103"/>
      <c r="B36" s="103"/>
      <c r="C36" s="102"/>
      <c r="D36" s="129"/>
      <c r="E36" s="74"/>
      <c r="F36" s="75"/>
      <c r="G36" s="52"/>
      <c r="H36" s="100"/>
      <c r="I36" s="63"/>
      <c r="J36" s="62"/>
      <c r="K36" s="62"/>
      <c r="L36" s="62"/>
    </row>
    <row r="37" spans="1:12" x14ac:dyDescent="0.15">
      <c r="A37" s="103"/>
      <c r="B37" s="129"/>
      <c r="C37" s="102"/>
      <c r="D37" s="129"/>
      <c r="E37" s="74"/>
      <c r="F37" s="75"/>
      <c r="G37" s="52"/>
      <c r="H37" s="99"/>
      <c r="I37" s="63"/>
      <c r="J37" s="62"/>
      <c r="K37" s="62"/>
      <c r="L37" s="62"/>
    </row>
    <row r="38" spans="1:12" x14ac:dyDescent="0.15">
      <c r="A38" s="103"/>
      <c r="B38" s="91"/>
      <c r="C38" s="102"/>
      <c r="D38" s="129"/>
      <c r="E38" s="52"/>
      <c r="F38" s="66"/>
      <c r="G38" s="52"/>
      <c r="H38" s="100"/>
      <c r="I38" s="63"/>
      <c r="J38" s="62"/>
      <c r="K38" s="62"/>
      <c r="L38" s="62"/>
    </row>
    <row r="39" spans="1:12" x14ac:dyDescent="0.15">
      <c r="A39" s="103"/>
      <c r="B39" s="93"/>
      <c r="C39" s="102"/>
      <c r="D39" s="129"/>
      <c r="E39" s="52"/>
      <c r="F39" s="66"/>
      <c r="G39" s="52"/>
      <c r="H39" s="132"/>
      <c r="I39" s="63"/>
      <c r="J39" s="62"/>
      <c r="K39" s="62"/>
      <c r="L39" s="62"/>
    </row>
    <row r="40" spans="1:12" x14ac:dyDescent="0.15">
      <c r="A40" s="103"/>
      <c r="B40" s="103"/>
      <c r="C40" s="102"/>
      <c r="D40" s="129"/>
      <c r="E40" s="74"/>
      <c r="F40" s="66"/>
      <c r="G40" s="52"/>
      <c r="H40" s="99"/>
      <c r="I40" s="63"/>
      <c r="J40" s="62"/>
      <c r="K40" s="62"/>
      <c r="L40" s="62"/>
    </row>
    <row r="41" spans="1:12" x14ac:dyDescent="0.15">
      <c r="A41" s="103"/>
      <c r="B41" s="129"/>
      <c r="C41" s="102"/>
      <c r="D41" s="129"/>
      <c r="E41" s="52"/>
      <c r="F41" s="66"/>
      <c r="G41" s="52"/>
      <c r="H41" s="99"/>
      <c r="I41" s="63"/>
      <c r="J41" s="62"/>
      <c r="K41" s="62"/>
    </row>
    <row r="42" spans="1:12" x14ac:dyDescent="0.15">
      <c r="A42" s="103"/>
      <c r="B42" s="76"/>
      <c r="C42" s="76"/>
      <c r="D42" s="106"/>
      <c r="E42" s="52"/>
      <c r="F42" s="66"/>
      <c r="G42" s="52"/>
      <c r="H42" s="99"/>
      <c r="I42" s="63"/>
      <c r="J42" s="62"/>
      <c r="K42" s="62"/>
      <c r="L42" s="62"/>
    </row>
    <row r="43" spans="1:12" x14ac:dyDescent="0.15">
      <c r="A43" s="103"/>
      <c r="B43" s="76"/>
      <c r="C43" s="76"/>
      <c r="D43" s="106"/>
      <c r="E43" s="52"/>
      <c r="F43" s="66"/>
      <c r="G43" s="52"/>
      <c r="H43" s="99"/>
      <c r="I43" s="63"/>
      <c r="J43" s="62"/>
      <c r="K43" s="62"/>
      <c r="L43" s="62"/>
    </row>
    <row r="44" spans="1:12" x14ac:dyDescent="0.15">
      <c r="A44" s="103"/>
      <c r="B44" s="76"/>
      <c r="C44" s="76"/>
      <c r="D44" s="106"/>
      <c r="E44" s="52"/>
      <c r="F44" s="131"/>
      <c r="G44" s="52"/>
      <c r="H44" s="153"/>
      <c r="I44" s="63"/>
      <c r="J44" s="62"/>
      <c r="K44" s="62"/>
      <c r="L44" s="62"/>
    </row>
    <row r="45" spans="1:12" x14ac:dyDescent="0.15">
      <c r="A45" s="103"/>
      <c r="B45" s="76"/>
      <c r="C45" s="76"/>
      <c r="D45" s="106"/>
      <c r="E45" s="52"/>
      <c r="F45" s="131"/>
      <c r="G45" s="52"/>
      <c r="H45" s="99"/>
      <c r="I45" s="63"/>
      <c r="J45" s="62"/>
      <c r="K45" s="62"/>
      <c r="L45" s="62"/>
    </row>
    <row r="46" spans="1:12" x14ac:dyDescent="0.15">
      <c r="A46" s="103"/>
      <c r="B46" s="76"/>
      <c r="C46" s="76"/>
      <c r="D46" s="106"/>
      <c r="E46" s="52"/>
      <c r="F46" s="131"/>
      <c r="G46" s="52"/>
      <c r="H46" s="99"/>
      <c r="I46" s="63"/>
      <c r="J46" s="62"/>
      <c r="K46" s="62"/>
      <c r="L46" s="104"/>
    </row>
    <row r="47" spans="1:12" x14ac:dyDescent="0.15">
      <c r="A47" s="103"/>
      <c r="B47" s="76"/>
      <c r="C47" s="76"/>
      <c r="D47" s="103"/>
      <c r="E47" s="52"/>
      <c r="F47" s="75"/>
      <c r="G47" s="52"/>
      <c r="H47" s="99"/>
      <c r="I47" s="63"/>
      <c r="J47" s="62"/>
      <c r="K47" s="62"/>
      <c r="L47" s="104"/>
    </row>
    <row r="48" spans="1:12" x14ac:dyDescent="0.15">
      <c r="A48" s="103"/>
      <c r="B48" s="103"/>
      <c r="C48" s="76"/>
      <c r="D48" s="103"/>
      <c r="E48" s="52"/>
      <c r="F48" s="75"/>
      <c r="G48" s="52"/>
      <c r="H48" s="99"/>
      <c r="I48" s="63"/>
      <c r="J48" s="62"/>
      <c r="K48" s="62"/>
      <c r="L48" s="104"/>
    </row>
    <row r="49" spans="1:12" x14ac:dyDescent="0.15">
      <c r="A49" s="103"/>
      <c r="B49" s="103"/>
      <c r="C49" s="102"/>
      <c r="D49" s="103"/>
      <c r="E49" s="52"/>
      <c r="F49" s="75"/>
      <c r="G49" s="52"/>
      <c r="H49" s="99"/>
      <c r="I49" s="63"/>
      <c r="J49" s="62"/>
      <c r="K49" s="62"/>
      <c r="L49" s="104"/>
    </row>
    <row r="50" spans="1:12" x14ac:dyDescent="0.15">
      <c r="A50" s="103"/>
      <c r="B50" s="103"/>
      <c r="C50" s="76"/>
      <c r="D50" s="103"/>
      <c r="E50" s="75"/>
      <c r="F50" s="75"/>
      <c r="G50" s="52"/>
      <c r="H50" s="99"/>
      <c r="I50" s="63"/>
      <c r="J50" s="62"/>
      <c r="K50" s="62"/>
      <c r="L50" s="104"/>
    </row>
    <row r="51" spans="1:12" x14ac:dyDescent="0.15">
      <c r="A51" s="103"/>
      <c r="B51" s="103"/>
      <c r="C51" s="76"/>
      <c r="D51" s="103"/>
      <c r="E51" s="75"/>
      <c r="F51" s="75"/>
      <c r="G51" s="52"/>
      <c r="H51" s="99"/>
      <c r="I51" s="63"/>
      <c r="J51" s="62"/>
      <c r="K51" s="62"/>
      <c r="L51" s="104"/>
    </row>
    <row r="52" spans="1:12" x14ac:dyDescent="0.15">
      <c r="A52" s="103"/>
      <c r="B52" s="103"/>
      <c r="C52" s="76"/>
      <c r="D52" s="103"/>
      <c r="E52" s="75"/>
      <c r="F52" s="75"/>
      <c r="G52" s="52"/>
      <c r="H52" s="99"/>
      <c r="I52" s="63"/>
      <c r="J52" s="62"/>
      <c r="K52" s="62"/>
      <c r="L52" s="104"/>
    </row>
    <row r="53" spans="1:12" x14ac:dyDescent="0.15">
      <c r="A53" s="103"/>
      <c r="B53" s="129"/>
      <c r="C53" s="76"/>
      <c r="D53" s="129"/>
      <c r="E53" s="52"/>
      <c r="F53" s="75"/>
      <c r="G53" s="52"/>
      <c r="H53" s="99"/>
      <c r="I53" s="63"/>
      <c r="J53" s="62"/>
      <c r="K53" s="62"/>
      <c r="L53" s="104"/>
    </row>
    <row r="54" spans="1:12" x14ac:dyDescent="0.15">
      <c r="A54" s="103"/>
      <c r="B54" s="129"/>
      <c r="C54" s="76"/>
      <c r="D54" s="129"/>
      <c r="E54" s="52"/>
      <c r="F54" s="75"/>
      <c r="G54" s="52"/>
      <c r="H54" s="99"/>
      <c r="I54" s="63"/>
      <c r="J54" s="62"/>
      <c r="K54" s="62"/>
      <c r="L54" s="104"/>
    </row>
    <row r="55" spans="1:12" x14ac:dyDescent="0.15">
      <c r="A55" s="103"/>
      <c r="B55" s="76"/>
      <c r="C55" s="76"/>
      <c r="D55" s="129"/>
      <c r="E55" s="52"/>
      <c r="F55" s="75"/>
      <c r="G55" s="52"/>
      <c r="H55" s="99"/>
      <c r="I55" s="63"/>
      <c r="J55" s="62"/>
      <c r="K55" s="62"/>
      <c r="L55" s="104"/>
    </row>
    <row r="56" spans="1:12" x14ac:dyDescent="0.15">
      <c r="A56" s="103"/>
      <c r="B56" s="129"/>
      <c r="C56" s="76"/>
      <c r="D56" s="129"/>
      <c r="E56" s="52"/>
      <c r="F56" s="75"/>
      <c r="G56" s="52"/>
      <c r="H56" s="99"/>
      <c r="I56" s="63"/>
      <c r="J56" s="62"/>
      <c r="K56" s="62"/>
      <c r="L56" s="104"/>
    </row>
    <row r="57" spans="1:12" x14ac:dyDescent="0.15">
      <c r="A57" s="103"/>
      <c r="B57" s="91"/>
      <c r="C57" s="133"/>
      <c r="D57" s="129"/>
      <c r="E57" s="52"/>
      <c r="F57" s="75"/>
      <c r="G57" s="52"/>
      <c r="H57" s="99"/>
      <c r="I57" s="63"/>
      <c r="J57" s="62"/>
      <c r="K57" s="62"/>
      <c r="L57" s="104"/>
    </row>
    <row r="58" spans="1:12" x14ac:dyDescent="0.15">
      <c r="A58" s="103"/>
      <c r="B58" s="93"/>
      <c r="C58" s="133"/>
      <c r="D58" s="129"/>
      <c r="E58" s="52"/>
      <c r="F58" s="75"/>
      <c r="G58" s="52"/>
      <c r="H58" s="99"/>
      <c r="I58" s="63"/>
      <c r="J58" s="62"/>
      <c r="K58" s="62"/>
      <c r="L58" s="104"/>
    </row>
    <row r="59" spans="1:12" x14ac:dyDescent="0.15">
      <c r="A59" s="47"/>
      <c r="B59" s="50"/>
      <c r="C59" s="51"/>
      <c r="D59" s="51"/>
      <c r="E59" s="52"/>
      <c r="F59" s="66"/>
      <c r="G59" s="52"/>
      <c r="H59" s="64"/>
      <c r="I59" s="63"/>
      <c r="J59" s="62"/>
      <c r="K59" s="62"/>
      <c r="L59" s="104"/>
    </row>
    <row r="60" spans="1:12" x14ac:dyDescent="0.15">
      <c r="A60" s="91"/>
      <c r="B60" s="91"/>
      <c r="C60" s="119"/>
      <c r="D60" s="120"/>
      <c r="E60" s="66"/>
      <c r="F60" s="66"/>
      <c r="G60" s="52"/>
      <c r="H60" s="99"/>
      <c r="I60" s="63"/>
      <c r="J60" s="62"/>
      <c r="K60" s="62"/>
      <c r="L60" s="104"/>
    </row>
    <row r="61" spans="1:12" x14ac:dyDescent="0.15">
      <c r="A61" s="91"/>
      <c r="B61" s="91"/>
      <c r="C61" s="119"/>
      <c r="D61" s="120"/>
      <c r="E61" s="66"/>
      <c r="F61" s="66"/>
      <c r="G61" s="52"/>
      <c r="H61" s="99"/>
      <c r="I61" s="63"/>
      <c r="J61" s="62"/>
      <c r="K61" s="62"/>
      <c r="L61" s="104"/>
    </row>
    <row r="62" spans="1:12" x14ac:dyDescent="0.15">
      <c r="A62" s="91"/>
      <c r="B62" s="91"/>
      <c r="C62" s="119"/>
      <c r="D62" s="120"/>
      <c r="E62" s="66"/>
      <c r="F62" s="66"/>
      <c r="G62" s="52"/>
      <c r="H62" s="99"/>
      <c r="I62" s="63"/>
      <c r="J62" s="62"/>
      <c r="K62" s="62"/>
      <c r="L62" s="104"/>
    </row>
    <row r="63" spans="1:12" x14ac:dyDescent="0.15">
      <c r="A63" s="91"/>
      <c r="B63" s="91"/>
      <c r="C63" s="119"/>
      <c r="D63" s="120"/>
      <c r="E63" s="66"/>
      <c r="F63" s="66"/>
      <c r="G63" s="52"/>
      <c r="H63" s="99"/>
      <c r="I63" s="63"/>
      <c r="J63" s="62"/>
      <c r="K63" s="62"/>
      <c r="L63" s="104"/>
    </row>
    <row r="64" spans="1:12" x14ac:dyDescent="0.15">
      <c r="A64" s="93"/>
      <c r="B64" s="93"/>
      <c r="C64" s="121"/>
      <c r="D64" s="122"/>
      <c r="E64" s="66"/>
      <c r="F64" s="66"/>
      <c r="G64" s="52"/>
      <c r="H64" s="99"/>
      <c r="I64" s="63"/>
      <c r="J64" s="62"/>
      <c r="K64" s="62"/>
      <c r="L64" s="104"/>
    </row>
    <row r="65" spans="1:12" x14ac:dyDescent="0.15">
      <c r="A65" s="91"/>
      <c r="B65" s="91"/>
      <c r="C65" s="119"/>
      <c r="D65" s="119"/>
      <c r="E65" s="66"/>
      <c r="F65" s="66"/>
      <c r="G65" s="52"/>
      <c r="H65" s="99"/>
      <c r="I65" s="63"/>
      <c r="J65" s="62"/>
      <c r="K65" s="62"/>
      <c r="L65" s="104"/>
    </row>
    <row r="66" spans="1:12" x14ac:dyDescent="0.15">
      <c r="A66" s="91"/>
      <c r="B66" s="91"/>
      <c r="C66" s="119"/>
      <c r="D66" s="119"/>
      <c r="E66" s="66"/>
      <c r="F66" s="66"/>
      <c r="G66" s="52"/>
      <c r="H66" s="99"/>
      <c r="I66" s="63"/>
      <c r="J66" s="62"/>
      <c r="K66" s="62"/>
      <c r="L66" s="104"/>
    </row>
    <row r="67" spans="1:12" x14ac:dyDescent="0.15">
      <c r="A67" s="91"/>
      <c r="B67" s="91"/>
      <c r="C67" s="119"/>
      <c r="D67" s="119"/>
      <c r="E67" s="66"/>
      <c r="F67" s="66"/>
      <c r="G67" s="52"/>
      <c r="H67" s="99"/>
      <c r="I67" s="63"/>
      <c r="J67" s="62"/>
      <c r="K67" s="62"/>
      <c r="L67" s="104"/>
    </row>
    <row r="68" spans="1:12" x14ac:dyDescent="0.15">
      <c r="A68" s="91"/>
      <c r="B68" s="91"/>
      <c r="C68" s="119"/>
      <c r="D68" s="119"/>
      <c r="E68" s="66"/>
      <c r="F68" s="66"/>
      <c r="G68" s="52"/>
      <c r="H68" s="99"/>
      <c r="I68" s="63"/>
      <c r="J68" s="62"/>
      <c r="K68" s="62"/>
      <c r="L68" s="104"/>
    </row>
    <row r="69" spans="1:12" x14ac:dyDescent="0.15">
      <c r="A69" s="91"/>
      <c r="B69" s="91"/>
      <c r="C69" s="119"/>
      <c r="D69" s="119"/>
      <c r="E69" s="66"/>
      <c r="F69" s="66"/>
      <c r="G69" s="52"/>
      <c r="H69" s="99"/>
      <c r="I69" s="63"/>
      <c r="J69" s="62"/>
      <c r="K69" s="62"/>
      <c r="L69" s="104"/>
    </row>
    <row r="70" spans="1:12" x14ac:dyDescent="0.15">
      <c r="A70" s="103"/>
      <c r="B70" s="134"/>
      <c r="C70" s="123"/>
      <c r="D70" s="133"/>
      <c r="E70" s="66"/>
      <c r="F70" s="66"/>
      <c r="G70" s="52"/>
      <c r="H70" s="99"/>
      <c r="I70" s="63"/>
      <c r="J70" s="62"/>
      <c r="K70" s="62"/>
      <c r="L70" s="104"/>
    </row>
    <row r="71" spans="1:12" x14ac:dyDescent="0.15">
      <c r="A71" s="103"/>
      <c r="B71" s="76"/>
      <c r="C71" s="84"/>
      <c r="D71" s="81"/>
      <c r="E71" s="74"/>
      <c r="F71" s="107"/>
      <c r="G71" s="74"/>
      <c r="H71" s="94"/>
      <c r="I71" s="77"/>
      <c r="J71" s="62"/>
      <c r="K71" s="104"/>
      <c r="L71" s="104"/>
    </row>
    <row r="72" spans="1:12" x14ac:dyDescent="0.15">
      <c r="A72" s="103"/>
      <c r="B72" s="76"/>
      <c r="C72" s="84"/>
      <c r="D72" s="81"/>
      <c r="E72" s="74"/>
      <c r="F72" s="107"/>
      <c r="G72" s="74"/>
      <c r="H72" s="94"/>
      <c r="I72" s="77"/>
      <c r="J72" s="62"/>
      <c r="K72" s="104"/>
      <c r="L72" s="104"/>
    </row>
    <row r="73" spans="1:12" x14ac:dyDescent="0.15">
      <c r="A73" s="103"/>
      <c r="B73" s="76"/>
      <c r="C73" s="84"/>
      <c r="D73" s="81"/>
      <c r="E73" s="74"/>
      <c r="F73" s="107"/>
      <c r="G73" s="74"/>
      <c r="H73" s="94"/>
      <c r="I73" s="77"/>
      <c r="J73" s="62"/>
      <c r="K73" s="104"/>
      <c r="L73" s="104"/>
    </row>
    <row r="74" spans="1:12" x14ac:dyDescent="0.15">
      <c r="A74" s="103"/>
      <c r="B74" s="76"/>
      <c r="C74" s="84"/>
      <c r="D74" s="81"/>
      <c r="E74" s="74"/>
      <c r="F74" s="107"/>
      <c r="G74" s="74"/>
      <c r="H74" s="94"/>
      <c r="I74" s="77"/>
      <c r="J74" s="62"/>
      <c r="K74" s="104"/>
      <c r="L74" s="104"/>
    </row>
    <row r="75" spans="1:12" x14ac:dyDescent="0.15">
      <c r="A75" s="103"/>
      <c r="B75" s="76"/>
      <c r="C75" s="84"/>
      <c r="D75" s="81"/>
      <c r="E75" s="74"/>
      <c r="F75" s="107"/>
      <c r="G75" s="74"/>
      <c r="H75" s="94"/>
      <c r="I75" s="77"/>
      <c r="J75" s="62"/>
      <c r="K75" s="104"/>
      <c r="L75" s="104"/>
    </row>
    <row r="76" spans="1:12" x14ac:dyDescent="0.15">
      <c r="A76" s="103"/>
      <c r="B76" s="76"/>
      <c r="C76" s="106"/>
      <c r="D76" s="81"/>
      <c r="E76" s="75"/>
      <c r="F76" s="110"/>
      <c r="G76" s="74"/>
      <c r="H76" s="94"/>
      <c r="I76" s="111"/>
      <c r="J76" s="62"/>
      <c r="K76" s="104"/>
      <c r="L76" s="104"/>
    </row>
    <row r="77" spans="1:12" x14ac:dyDescent="0.15">
      <c r="A77" s="103"/>
      <c r="B77" s="76"/>
      <c r="C77" s="84"/>
      <c r="D77" s="81"/>
      <c r="E77" s="74"/>
      <c r="F77" s="107"/>
      <c r="G77" s="74"/>
      <c r="H77" s="94"/>
      <c r="I77" s="77"/>
      <c r="J77" s="62"/>
      <c r="K77" s="104"/>
      <c r="L77" s="104"/>
    </row>
    <row r="78" spans="1:12" x14ac:dyDescent="0.15">
      <c r="A78" s="103"/>
      <c r="B78" s="76"/>
      <c r="C78" s="84"/>
      <c r="D78" s="81"/>
      <c r="E78" s="74"/>
      <c r="F78" s="107"/>
      <c r="G78" s="74"/>
      <c r="H78" s="112"/>
      <c r="I78" s="76"/>
      <c r="J78" s="62"/>
      <c r="K78" s="104"/>
      <c r="L78" s="104"/>
    </row>
    <row r="79" spans="1:12" x14ac:dyDescent="0.15">
      <c r="A79" s="103"/>
      <c r="B79" s="76"/>
      <c r="C79" s="106"/>
      <c r="D79" s="83"/>
      <c r="E79" s="113"/>
      <c r="F79" s="114"/>
      <c r="G79" s="113"/>
      <c r="H79" s="94"/>
      <c r="I79" s="104"/>
      <c r="J79" s="62"/>
      <c r="K79" s="104"/>
      <c r="L79" s="104"/>
    </row>
    <row r="80" spans="1:12" x14ac:dyDescent="0.15">
      <c r="A80" s="103"/>
      <c r="B80" s="76"/>
      <c r="C80" s="106"/>
      <c r="D80" s="81"/>
      <c r="E80" s="75"/>
      <c r="F80" s="110"/>
      <c r="G80" s="74"/>
      <c r="H80" s="94"/>
      <c r="I80" s="104"/>
      <c r="J80" s="62"/>
      <c r="K80" s="104"/>
      <c r="L80" s="104"/>
    </row>
    <row r="81" spans="1:12" x14ac:dyDescent="0.15">
      <c r="A81" s="103"/>
      <c r="B81" s="76"/>
      <c r="C81" s="106"/>
      <c r="D81" s="81"/>
      <c r="E81" s="74"/>
      <c r="F81" s="107"/>
      <c r="G81" s="74"/>
      <c r="H81" s="94"/>
      <c r="I81" s="78"/>
      <c r="J81" s="62"/>
      <c r="K81" s="104"/>
      <c r="L81" s="104"/>
    </row>
    <row r="82" spans="1:12" x14ac:dyDescent="0.15">
      <c r="A82" s="103"/>
      <c r="B82" s="76"/>
      <c r="C82" s="84"/>
      <c r="D82" s="81"/>
      <c r="E82" s="74"/>
      <c r="F82" s="107"/>
      <c r="G82" s="74"/>
      <c r="H82" s="94"/>
      <c r="I82" s="85"/>
      <c r="J82" s="62"/>
      <c r="K82" s="104"/>
      <c r="L82" s="104"/>
    </row>
    <row r="83" spans="1:12" x14ac:dyDescent="0.15">
      <c r="A83" s="103"/>
      <c r="B83" s="76"/>
      <c r="C83" s="106"/>
      <c r="D83" s="81"/>
      <c r="E83" s="74"/>
      <c r="F83" s="107"/>
      <c r="G83" s="74"/>
      <c r="H83" s="94"/>
      <c r="I83" s="111"/>
      <c r="J83" s="62"/>
      <c r="K83" s="104"/>
      <c r="L83" s="104"/>
    </row>
    <row r="84" spans="1:12" x14ac:dyDescent="0.15">
      <c r="A84" s="103"/>
      <c r="B84" s="76"/>
      <c r="C84" s="84"/>
      <c r="D84" s="81"/>
      <c r="E84" s="74"/>
      <c r="F84" s="107"/>
      <c r="G84" s="74"/>
      <c r="H84" s="99"/>
      <c r="I84" s="79"/>
      <c r="J84" s="62"/>
      <c r="K84" s="104"/>
      <c r="L84" s="104"/>
    </row>
    <row r="85" spans="1:12" x14ac:dyDescent="0.15">
      <c r="A85" s="103"/>
      <c r="B85" s="76"/>
      <c r="C85" s="106"/>
      <c r="D85" s="81"/>
      <c r="E85" s="74"/>
      <c r="F85" s="107"/>
      <c r="G85" s="74"/>
      <c r="H85" s="94"/>
      <c r="I85" s="111"/>
      <c r="J85" s="62"/>
      <c r="K85" s="104"/>
      <c r="L85" s="104"/>
    </row>
    <row r="86" spans="1:12" x14ac:dyDescent="0.15">
      <c r="A86" s="103"/>
      <c r="B86" s="76"/>
      <c r="C86" s="106"/>
      <c r="D86" s="81"/>
      <c r="E86" s="75"/>
      <c r="F86" s="110"/>
      <c r="G86" s="74"/>
      <c r="H86" s="94"/>
      <c r="I86" s="104"/>
      <c r="J86" s="62"/>
      <c r="K86" s="104"/>
      <c r="L86" s="104"/>
    </row>
    <row r="87" spans="1:12" x14ac:dyDescent="0.15">
      <c r="A87" s="103"/>
      <c r="B87" s="76"/>
      <c r="C87" s="106"/>
      <c r="D87" s="81"/>
      <c r="E87" s="75"/>
      <c r="F87" s="110"/>
      <c r="G87" s="74"/>
      <c r="H87" s="94"/>
      <c r="I87" s="104"/>
      <c r="J87" s="62"/>
      <c r="K87" s="104"/>
      <c r="L87" s="104"/>
    </row>
    <row r="88" spans="1:12" x14ac:dyDescent="0.15">
      <c r="A88" s="103"/>
      <c r="B88" s="76"/>
      <c r="C88" s="84"/>
      <c r="D88" s="81"/>
      <c r="E88" s="74"/>
      <c r="F88" s="107"/>
      <c r="G88" s="74"/>
      <c r="H88" s="99"/>
      <c r="I88" s="79"/>
      <c r="J88" s="62"/>
      <c r="K88" s="104"/>
      <c r="L88" s="104"/>
    </row>
    <row r="89" spans="1:12" x14ac:dyDescent="0.15">
      <c r="A89" s="103"/>
      <c r="B89" s="76"/>
      <c r="C89" s="106"/>
      <c r="D89" s="81"/>
      <c r="E89" s="74"/>
      <c r="F89" s="107"/>
      <c r="G89" s="74"/>
      <c r="H89" s="86"/>
      <c r="I89" s="111"/>
      <c r="J89" s="62"/>
      <c r="K89" s="104"/>
      <c r="L89" s="104"/>
    </row>
    <row r="90" spans="1:12" x14ac:dyDescent="0.15">
      <c r="A90" s="103"/>
      <c r="B90" s="76"/>
      <c r="C90" s="84"/>
      <c r="D90" s="81"/>
      <c r="E90" s="74"/>
      <c r="F90" s="107"/>
      <c r="G90" s="74"/>
      <c r="H90" s="94"/>
      <c r="I90" s="104"/>
      <c r="J90" s="62"/>
      <c r="K90" s="104"/>
      <c r="L90" s="104"/>
    </row>
    <row r="91" spans="1:12" x14ac:dyDescent="0.15">
      <c r="A91" s="103"/>
      <c r="B91" s="76"/>
      <c r="C91" s="84"/>
      <c r="D91" s="81"/>
      <c r="E91" s="74"/>
      <c r="F91" s="107"/>
      <c r="G91" s="74"/>
      <c r="H91" s="94"/>
      <c r="I91" s="104"/>
      <c r="J91" s="62"/>
      <c r="K91" s="104"/>
      <c r="L91" s="104"/>
    </row>
    <row r="92" spans="1:12" x14ac:dyDescent="0.15">
      <c r="A92" s="103"/>
      <c r="B92" s="76"/>
      <c r="C92" s="84"/>
      <c r="D92" s="81"/>
      <c r="E92" s="74"/>
      <c r="F92" s="107"/>
      <c r="G92" s="74"/>
      <c r="H92" s="94"/>
      <c r="I92" s="104"/>
      <c r="J92" s="62"/>
      <c r="K92" s="104"/>
      <c r="L92" s="104"/>
    </row>
    <row r="93" spans="1:12" x14ac:dyDescent="0.15">
      <c r="A93" s="103"/>
      <c r="B93" s="76"/>
      <c r="C93" s="106"/>
      <c r="D93" s="81"/>
      <c r="E93" s="74"/>
      <c r="F93" s="107"/>
      <c r="G93" s="74"/>
      <c r="H93" s="94"/>
      <c r="I93" s="104"/>
      <c r="J93" s="62"/>
      <c r="K93" s="104"/>
      <c r="L93" s="104"/>
    </row>
    <row r="94" spans="1:12" x14ac:dyDescent="0.15">
      <c r="A94" s="103"/>
      <c r="B94" s="76"/>
      <c r="C94" s="2"/>
      <c r="D94" s="81"/>
      <c r="E94" s="74"/>
      <c r="F94" s="107"/>
      <c r="G94" s="74"/>
      <c r="H94" s="87"/>
      <c r="I94" s="77"/>
      <c r="J94" s="104"/>
      <c r="K94" s="104"/>
      <c r="L94" s="104"/>
    </row>
    <row r="95" spans="1:12" x14ac:dyDescent="0.15">
      <c r="A95" s="103"/>
      <c r="B95" s="76"/>
      <c r="C95" s="84"/>
      <c r="D95" s="81"/>
      <c r="E95" s="74"/>
      <c r="F95" s="107"/>
      <c r="G95" s="74"/>
      <c r="H95" s="99"/>
      <c r="I95" s="79"/>
      <c r="J95" s="62"/>
      <c r="K95" s="104"/>
      <c r="L95" s="104"/>
    </row>
    <row r="96" spans="1:12" x14ac:dyDescent="0.15">
      <c r="A96" s="103"/>
      <c r="B96" s="76"/>
      <c r="C96" s="84"/>
      <c r="D96" s="81"/>
      <c r="E96" s="74"/>
      <c r="F96" s="107"/>
      <c r="G96" s="74"/>
      <c r="H96" s="99"/>
      <c r="I96" s="79"/>
      <c r="J96" s="62"/>
      <c r="K96" s="104"/>
      <c r="L96" s="104"/>
    </row>
    <row r="97" spans="1:12" x14ac:dyDescent="0.15">
      <c r="A97" s="103"/>
      <c r="B97" s="76"/>
      <c r="C97" s="106"/>
      <c r="D97" s="81"/>
      <c r="E97" s="74"/>
      <c r="F97" s="107"/>
      <c r="G97" s="74"/>
      <c r="H97" s="112"/>
      <c r="I97" s="111"/>
      <c r="J97" s="62"/>
      <c r="K97" s="104"/>
      <c r="L97" s="104"/>
    </row>
    <row r="98" spans="1:12" x14ac:dyDescent="0.15">
      <c r="A98" s="103"/>
      <c r="B98" s="76"/>
      <c r="C98" s="84"/>
      <c r="D98" s="83"/>
      <c r="E98" s="113"/>
      <c r="F98" s="114"/>
      <c r="G98" s="113"/>
      <c r="H98" s="94"/>
      <c r="I98" s="78"/>
      <c r="J98" s="62"/>
      <c r="K98" s="104"/>
      <c r="L98" s="104"/>
    </row>
    <row r="99" spans="1:12" x14ac:dyDescent="0.15">
      <c r="A99" s="103"/>
      <c r="B99" s="76"/>
      <c r="C99" s="106"/>
      <c r="D99" s="81"/>
      <c r="E99" s="74"/>
      <c r="F99" s="107"/>
      <c r="G99" s="74"/>
      <c r="H99" s="94"/>
      <c r="I99" s="111"/>
      <c r="J99" s="62"/>
      <c r="K99" s="104"/>
      <c r="L99" s="104"/>
    </row>
    <row r="100" spans="1:12" x14ac:dyDescent="0.15">
      <c r="A100" s="103"/>
      <c r="B100" s="76"/>
      <c r="C100" s="84"/>
      <c r="D100" s="81"/>
      <c r="E100" s="74"/>
      <c r="F100" s="107"/>
      <c r="G100" s="74"/>
      <c r="H100" s="94"/>
      <c r="I100" s="104"/>
      <c r="J100" s="62"/>
      <c r="K100" s="104"/>
      <c r="L100" s="104"/>
    </row>
    <row r="101" spans="1:12" x14ac:dyDescent="0.15">
      <c r="A101" s="103"/>
      <c r="B101" s="76"/>
      <c r="C101" s="84"/>
      <c r="D101" s="81"/>
      <c r="E101" s="74"/>
      <c r="F101" s="107"/>
      <c r="G101" s="74"/>
      <c r="H101" s="94"/>
      <c r="I101" s="104"/>
      <c r="J101" s="62"/>
      <c r="K101" s="104"/>
      <c r="L101" s="104"/>
    </row>
    <row r="102" spans="1:12" x14ac:dyDescent="0.15">
      <c r="A102" s="103"/>
      <c r="B102" s="76"/>
      <c r="C102" s="84"/>
      <c r="D102" s="81"/>
      <c r="E102" s="74"/>
      <c r="F102" s="107"/>
      <c r="G102" s="74"/>
      <c r="H102" s="94"/>
      <c r="I102" s="104"/>
      <c r="J102" s="62"/>
      <c r="K102" s="104"/>
      <c r="L102" s="104"/>
    </row>
    <row r="103" spans="1:12" x14ac:dyDescent="0.15">
      <c r="A103" s="103"/>
      <c r="B103" s="76"/>
      <c r="C103" s="84"/>
      <c r="D103" s="81"/>
      <c r="E103" s="74"/>
      <c r="F103" s="107"/>
      <c r="G103" s="74"/>
      <c r="H103" s="94"/>
      <c r="I103" s="104"/>
      <c r="J103" s="62"/>
      <c r="K103" s="104"/>
      <c r="L103" s="104"/>
    </row>
    <row r="104" spans="1:12" x14ac:dyDescent="0.15">
      <c r="A104" s="103"/>
      <c r="B104" s="76"/>
      <c r="C104" s="84"/>
      <c r="D104" s="81"/>
      <c r="E104" s="74"/>
      <c r="F104" s="107"/>
      <c r="G104" s="74"/>
      <c r="H104" s="94"/>
      <c r="I104" s="104"/>
      <c r="J104" s="62"/>
      <c r="K104" s="104"/>
      <c r="L104" s="104"/>
    </row>
    <row r="105" spans="1:12" x14ac:dyDescent="0.15">
      <c r="A105" s="103"/>
      <c r="B105" s="76"/>
      <c r="C105" s="84"/>
      <c r="D105" s="81"/>
      <c r="E105" s="74"/>
      <c r="F105" s="107"/>
      <c r="G105" s="74"/>
      <c r="H105" s="94"/>
      <c r="I105" s="77"/>
      <c r="J105" s="62"/>
      <c r="K105" s="104"/>
      <c r="L105" s="104"/>
    </row>
    <row r="106" spans="1:12" x14ac:dyDescent="0.15">
      <c r="A106" s="103"/>
      <c r="B106" s="76"/>
      <c r="C106" s="84"/>
      <c r="D106" s="81"/>
      <c r="E106" s="74"/>
      <c r="F106" s="107"/>
      <c r="G106" s="74"/>
      <c r="H106" s="94"/>
      <c r="I106" s="111"/>
      <c r="J106" s="62"/>
      <c r="K106" s="104"/>
      <c r="L106" s="104"/>
    </row>
    <row r="107" spans="1:12" x14ac:dyDescent="0.15">
      <c r="A107" s="103"/>
      <c r="B107" s="76"/>
      <c r="C107" s="106"/>
      <c r="D107" s="81"/>
      <c r="E107" s="74"/>
      <c r="F107" s="107"/>
      <c r="G107" s="74"/>
      <c r="H107" s="94"/>
      <c r="I107" s="104"/>
      <c r="J107" s="62"/>
      <c r="K107" s="104"/>
      <c r="L107" s="104"/>
    </row>
    <row r="108" spans="1:12" x14ac:dyDescent="0.15">
      <c r="A108" s="103"/>
      <c r="B108" s="76"/>
      <c r="C108" s="106"/>
      <c r="D108" s="81"/>
      <c r="E108" s="74"/>
      <c r="F108" s="107"/>
      <c r="G108" s="74"/>
      <c r="H108" s="94"/>
      <c r="I108" s="104"/>
      <c r="J108" s="62"/>
      <c r="K108" s="104"/>
      <c r="L108" s="104"/>
    </row>
    <row r="109" spans="1:12" x14ac:dyDescent="0.15">
      <c r="A109" s="103"/>
      <c r="B109" s="76"/>
      <c r="C109" s="106"/>
      <c r="D109" s="81"/>
      <c r="E109" s="74"/>
      <c r="F109" s="107"/>
      <c r="G109" s="74"/>
      <c r="H109" s="94"/>
      <c r="I109" s="104"/>
      <c r="J109" s="62"/>
      <c r="K109" s="104"/>
      <c r="L109" s="104"/>
    </row>
    <row r="110" spans="1:12" x14ac:dyDescent="0.15">
      <c r="A110" s="103"/>
      <c r="B110" s="76"/>
      <c r="C110" s="106"/>
      <c r="D110" s="81"/>
      <c r="E110" s="74"/>
      <c r="F110" s="107"/>
      <c r="G110" s="74"/>
      <c r="H110" s="94"/>
      <c r="I110" s="104"/>
      <c r="J110" s="62"/>
      <c r="K110" s="104"/>
      <c r="L110" s="104"/>
    </row>
    <row r="111" spans="1:12" x14ac:dyDescent="0.15">
      <c r="A111" s="103"/>
      <c r="B111" s="76"/>
      <c r="C111" s="106"/>
      <c r="D111" s="81"/>
      <c r="E111" s="74"/>
      <c r="F111" s="107"/>
      <c r="G111" s="74"/>
      <c r="H111" s="94"/>
      <c r="I111" s="104"/>
      <c r="J111" s="62"/>
      <c r="K111" s="104"/>
      <c r="L111" s="104"/>
    </row>
    <row r="112" spans="1:12" x14ac:dyDescent="0.15">
      <c r="A112" s="103"/>
      <c r="B112" s="76"/>
      <c r="C112" s="106"/>
      <c r="D112" s="81"/>
      <c r="E112" s="74"/>
      <c r="F112" s="107"/>
      <c r="G112" s="74"/>
      <c r="H112" s="94"/>
      <c r="I112" s="78"/>
      <c r="J112" s="62"/>
      <c r="K112" s="104"/>
      <c r="L112" s="104"/>
    </row>
    <row r="113" spans="1:12" x14ac:dyDescent="0.15">
      <c r="A113" s="103"/>
      <c r="B113" s="76"/>
      <c r="C113" s="84"/>
      <c r="D113" s="81"/>
      <c r="E113" s="74"/>
      <c r="F113" s="107"/>
      <c r="G113" s="74"/>
      <c r="H113" s="94"/>
      <c r="I113" s="111"/>
      <c r="J113" s="62"/>
      <c r="K113" s="104"/>
      <c r="L113" s="104"/>
    </row>
    <row r="114" spans="1:12" x14ac:dyDescent="0.15">
      <c r="A114" s="103"/>
      <c r="B114" s="76"/>
      <c r="C114" s="2"/>
      <c r="D114" s="81"/>
      <c r="E114" s="74"/>
      <c r="F114" s="107"/>
      <c r="G114" s="74"/>
      <c r="H114" s="94"/>
      <c r="I114" s="77"/>
      <c r="J114" s="62"/>
      <c r="K114" s="104"/>
      <c r="L114" s="104"/>
    </row>
    <row r="115" spans="1:12" x14ac:dyDescent="0.15">
      <c r="A115" s="103"/>
      <c r="B115" s="76"/>
      <c r="C115" s="84"/>
      <c r="D115" s="81"/>
      <c r="E115" s="74"/>
      <c r="F115" s="107"/>
      <c r="G115" s="74"/>
      <c r="H115" s="94"/>
      <c r="I115" s="77"/>
      <c r="J115" s="62"/>
      <c r="K115" s="104"/>
      <c r="L115" s="104"/>
    </row>
    <row r="116" spans="1:12" x14ac:dyDescent="0.15">
      <c r="A116" s="103"/>
      <c r="B116" s="76"/>
      <c r="C116" s="2"/>
      <c r="D116" s="81"/>
      <c r="E116" s="74"/>
      <c r="F116" s="107"/>
      <c r="G116" s="74"/>
      <c r="H116" s="94"/>
      <c r="I116" s="77"/>
      <c r="J116" s="62"/>
      <c r="K116" s="104"/>
      <c r="L116" s="104"/>
    </row>
    <row r="117" spans="1:12" x14ac:dyDescent="0.15">
      <c r="A117" s="103"/>
      <c r="B117" s="76"/>
      <c r="C117" s="84"/>
      <c r="D117" s="81"/>
      <c r="E117" s="74"/>
      <c r="F117" s="107"/>
      <c r="G117" s="74"/>
      <c r="H117" s="94"/>
      <c r="I117" s="111"/>
      <c r="J117" s="62"/>
      <c r="K117" s="104"/>
      <c r="L117" s="104"/>
    </row>
    <row r="118" spans="1:12" x14ac:dyDescent="0.15">
      <c r="A118" s="103"/>
      <c r="B118" s="76"/>
      <c r="C118" s="84"/>
      <c r="D118" s="81"/>
      <c r="E118" s="74"/>
      <c r="F118" s="107"/>
      <c r="G118" s="74"/>
      <c r="H118" s="94"/>
      <c r="I118" s="77"/>
      <c r="J118" s="62"/>
      <c r="K118" s="104"/>
      <c r="L118" s="104"/>
    </row>
    <row r="119" spans="1:12" x14ac:dyDescent="0.15">
      <c r="A119" s="103"/>
      <c r="B119" s="76"/>
      <c r="C119" s="84"/>
      <c r="D119" s="81"/>
      <c r="E119" s="74"/>
      <c r="F119" s="107"/>
      <c r="G119" s="74"/>
      <c r="H119" s="94"/>
      <c r="I119" s="77"/>
      <c r="J119" s="104"/>
      <c r="K119" s="104"/>
      <c r="L119" s="104"/>
    </row>
    <row r="120" spans="1:12" x14ac:dyDescent="0.15">
      <c r="A120" s="103"/>
      <c r="B120" s="76"/>
      <c r="C120" s="84"/>
      <c r="D120" s="81"/>
      <c r="E120" s="74"/>
      <c r="F120" s="107"/>
      <c r="G120" s="74"/>
      <c r="H120" s="94"/>
      <c r="I120" s="111"/>
      <c r="J120" s="104"/>
      <c r="K120" s="104"/>
      <c r="L120" s="104"/>
    </row>
    <row r="121" spans="1:12" x14ac:dyDescent="0.15">
      <c r="A121" s="103"/>
      <c r="B121" s="76"/>
      <c r="C121" s="84"/>
      <c r="D121" s="88"/>
      <c r="E121" s="75"/>
      <c r="F121" s="75"/>
      <c r="G121" s="89"/>
      <c r="H121" s="112"/>
      <c r="I121" s="104"/>
      <c r="J121" s="104"/>
      <c r="K121" s="104"/>
      <c r="L121" s="104"/>
    </row>
    <row r="122" spans="1:12" x14ac:dyDescent="0.15">
      <c r="A122" s="103"/>
      <c r="B122" s="76"/>
      <c r="C122" s="84"/>
      <c r="D122" s="83"/>
      <c r="E122" s="113"/>
      <c r="F122" s="114"/>
      <c r="G122" s="113"/>
      <c r="H122" s="94"/>
      <c r="I122" s="104"/>
      <c r="J122" s="104"/>
      <c r="K122" s="104"/>
      <c r="L122" s="104"/>
    </row>
    <row r="123" spans="1:12" x14ac:dyDescent="0.15">
      <c r="A123" s="103"/>
      <c r="B123" s="76"/>
      <c r="C123" s="84"/>
      <c r="D123" s="88"/>
      <c r="E123" s="75"/>
      <c r="F123" s="75"/>
      <c r="G123" s="89"/>
      <c r="H123" s="112"/>
      <c r="I123" s="104"/>
      <c r="J123" s="104"/>
      <c r="K123" s="104"/>
      <c r="L123" s="104"/>
    </row>
    <row r="124" spans="1:12" x14ac:dyDescent="0.15">
      <c r="A124" s="103"/>
      <c r="B124" s="76"/>
      <c r="C124" s="84"/>
      <c r="D124" s="83"/>
      <c r="E124" s="113"/>
      <c r="F124" s="114"/>
      <c r="G124" s="113"/>
      <c r="H124" s="94"/>
      <c r="I124" s="104"/>
      <c r="J124" s="104"/>
      <c r="K124" s="104"/>
      <c r="L124" s="104"/>
    </row>
    <row r="125" spans="1:12" x14ac:dyDescent="0.15">
      <c r="A125" s="103"/>
      <c r="B125" s="76"/>
      <c r="C125" s="84"/>
      <c r="D125" s="81"/>
      <c r="E125" s="74"/>
      <c r="F125" s="107"/>
      <c r="G125" s="74"/>
      <c r="H125" s="94"/>
      <c r="I125" s="104"/>
      <c r="J125" s="104"/>
      <c r="K125" s="104"/>
      <c r="L125" s="104"/>
    </row>
    <row r="126" spans="1:12" x14ac:dyDescent="0.15">
      <c r="A126" s="103"/>
      <c r="B126" s="76"/>
      <c r="C126" s="84"/>
      <c r="D126" s="81"/>
      <c r="E126" s="74"/>
      <c r="F126" s="107"/>
      <c r="G126" s="74"/>
      <c r="H126" s="94"/>
      <c r="I126" s="104"/>
      <c r="J126" s="104"/>
      <c r="K126" s="104"/>
      <c r="L126" s="104"/>
    </row>
    <row r="127" spans="1:12" x14ac:dyDescent="0.15">
      <c r="A127" s="103"/>
      <c r="B127" s="76"/>
      <c r="C127" s="84"/>
      <c r="D127" s="81"/>
      <c r="E127" s="74"/>
      <c r="F127" s="107"/>
      <c r="G127" s="74"/>
      <c r="H127" s="94"/>
      <c r="I127" s="104"/>
      <c r="J127" s="104"/>
      <c r="K127" s="104"/>
      <c r="L127" s="104"/>
    </row>
    <row r="128" spans="1:12" x14ac:dyDescent="0.15">
      <c r="A128" s="103"/>
      <c r="B128" s="76"/>
      <c r="C128" s="84"/>
      <c r="D128" s="81"/>
      <c r="E128" s="74"/>
      <c r="F128" s="107"/>
      <c r="G128" s="74"/>
      <c r="H128" s="94"/>
      <c r="I128" s="104"/>
      <c r="J128" s="104"/>
      <c r="K128" s="104"/>
      <c r="L128" s="104"/>
    </row>
    <row r="129" spans="1:12" x14ac:dyDescent="0.15">
      <c r="A129" s="103"/>
      <c r="B129" s="76"/>
      <c r="C129" s="84"/>
      <c r="D129" s="81"/>
      <c r="E129" s="74"/>
      <c r="F129" s="107"/>
      <c r="G129" s="74"/>
      <c r="H129" s="94"/>
      <c r="I129" s="104"/>
      <c r="J129" s="104"/>
      <c r="K129" s="104"/>
      <c r="L129" s="104"/>
    </row>
    <row r="130" spans="1:12" x14ac:dyDescent="0.15">
      <c r="A130" s="103"/>
      <c r="B130" s="76"/>
      <c r="C130" s="2"/>
      <c r="D130" s="81"/>
      <c r="E130" s="74"/>
      <c r="F130" s="107"/>
      <c r="G130" s="74"/>
      <c r="H130" s="94"/>
      <c r="I130" s="85"/>
      <c r="J130" s="104"/>
      <c r="K130" s="104"/>
      <c r="L130" s="104"/>
    </row>
    <row r="131" spans="1:12" x14ac:dyDescent="0.15">
      <c r="A131" s="103"/>
      <c r="B131" s="76"/>
      <c r="C131" s="84"/>
      <c r="D131" s="81"/>
      <c r="E131" s="74"/>
      <c r="F131" s="107"/>
      <c r="G131" s="74"/>
      <c r="H131" s="94"/>
      <c r="I131" s="111"/>
      <c r="J131" s="104"/>
      <c r="K131" s="104"/>
      <c r="L131" s="104"/>
    </row>
  </sheetData>
  <conditionalFormatting sqref="A38:A41">
    <cfRule type="expression" dxfId="53" priority="37" stopIfTrue="1">
      <formula>($G38="Fail")</formula>
    </cfRule>
    <cfRule type="expression" dxfId="52" priority="38" stopIfTrue="1">
      <formula>($G38="Pass")</formula>
    </cfRule>
  </conditionalFormatting>
  <conditionalFormatting sqref="A42:B43 B44:D52 A44:A58 D53:D56 C57:D58">
    <cfRule type="expression" dxfId="51" priority="56" stopIfTrue="1">
      <formula>($G42="Pass")</formula>
    </cfRule>
    <cfRule type="expression" dxfId="50" priority="55" stopIfTrue="1">
      <formula>($G42="Fail")</formula>
    </cfRule>
  </conditionalFormatting>
  <conditionalFormatting sqref="A60:D65 C66:D66 A66:A131 B67:D68 C69:D70">
    <cfRule type="expression" dxfId="49" priority="40" stopIfTrue="1">
      <formula>($G60="Pass")</formula>
    </cfRule>
    <cfRule type="expression" dxfId="48" priority="39" stopIfTrue="1">
      <formula>($G60="Fail")</formula>
    </cfRule>
  </conditionalFormatting>
  <conditionalFormatting sqref="A21:G37">
    <cfRule type="expression" dxfId="47" priority="2" stopIfTrue="1">
      <formula>($G21="Pass")</formula>
    </cfRule>
    <cfRule type="expression" dxfId="46" priority="1" stopIfTrue="1">
      <formula>($G21="Fail")</formula>
    </cfRule>
  </conditionalFormatting>
  <conditionalFormatting sqref="A59:G59">
    <cfRule type="expression" dxfId="45" priority="3" stopIfTrue="1">
      <formula>($G59="Fail")</formula>
    </cfRule>
    <cfRule type="expression" dxfId="44" priority="4" stopIfTrue="1">
      <formula>($G59="Pass")</formula>
    </cfRule>
  </conditionalFormatting>
  <conditionalFormatting sqref="B13">
    <cfRule type="expression" dxfId="43" priority="88" stopIfTrue="1">
      <formula>($G13="Pass")</formula>
    </cfRule>
    <cfRule type="expression" dxfId="42" priority="87" stopIfTrue="1">
      <formula>($G13="Fail")</formula>
    </cfRule>
    <cfRule type="expression" dxfId="41" priority="86" stopIfTrue="1">
      <formula>($G13="Pass")</formula>
    </cfRule>
    <cfRule type="expression" dxfId="40" priority="85" stopIfTrue="1">
      <formula>($G13="Fail")</formula>
    </cfRule>
  </conditionalFormatting>
  <conditionalFormatting sqref="B13:B15">
    <cfRule type="expression" dxfId="39" priority="80" stopIfTrue="1">
      <formula>($G13="Pass")</formula>
    </cfRule>
    <cfRule type="expression" dxfId="38" priority="79" stopIfTrue="1">
      <formula>($G13="Fail")</formula>
    </cfRule>
  </conditionalFormatting>
  <conditionalFormatting sqref="B13:B20">
    <cfRule type="expression" dxfId="37" priority="96" stopIfTrue="1">
      <formula>($G13="Pass")</formula>
    </cfRule>
    <cfRule type="expression" dxfId="36" priority="95" stopIfTrue="1">
      <formula>($G13="Fail")</formula>
    </cfRule>
  </conditionalFormatting>
  <conditionalFormatting sqref="B53:B58">
    <cfRule type="expression" dxfId="35" priority="46" stopIfTrue="1">
      <formula>($G53="Pass")</formula>
    </cfRule>
    <cfRule type="expression" dxfId="34" priority="45" stopIfTrue="1">
      <formula>($G53="Fail")</formula>
    </cfRule>
  </conditionalFormatting>
  <conditionalFormatting sqref="B66">
    <cfRule type="expression" dxfId="33" priority="41" stopIfTrue="1">
      <formula>($G69="Fail")</formula>
    </cfRule>
    <cfRule type="expression" dxfId="32" priority="42" stopIfTrue="1">
      <formula>($G69="Pass")</formula>
    </cfRule>
  </conditionalFormatting>
  <conditionalFormatting sqref="B69">
    <cfRule type="expression" dxfId="31" priority="9" stopIfTrue="1">
      <formula>($G69="Fail")</formula>
    </cfRule>
    <cfRule type="expression" dxfId="30" priority="10" stopIfTrue="1">
      <formula>($G69="Pass")</formula>
    </cfRule>
  </conditionalFormatting>
  <conditionalFormatting sqref="B38:C39">
    <cfRule type="expression" dxfId="29" priority="64" stopIfTrue="1">
      <formula>($G38="Pass")</formula>
    </cfRule>
    <cfRule type="expression" dxfId="28" priority="63" stopIfTrue="1">
      <formula>($G38="Fail")</formula>
    </cfRule>
  </conditionalFormatting>
  <conditionalFormatting sqref="B41:C41">
    <cfRule type="expression" dxfId="27" priority="32" stopIfTrue="1">
      <formula>($G41="Pass")</formula>
    </cfRule>
    <cfRule type="expression" dxfId="26" priority="31" stopIfTrue="1">
      <formula>($G41="Fail")</formula>
    </cfRule>
  </conditionalFormatting>
  <conditionalFormatting sqref="B40:F40">
    <cfRule type="expression" dxfId="25" priority="20" stopIfTrue="1">
      <formula>($G40="Pass")</formula>
    </cfRule>
    <cfRule type="expression" dxfId="24" priority="19" stopIfTrue="1">
      <formula>($G40="Fail")</formula>
    </cfRule>
  </conditionalFormatting>
  <conditionalFormatting sqref="C42">
    <cfRule type="expression" dxfId="23" priority="53" stopIfTrue="1">
      <formula>($G40="Fail")</formula>
    </cfRule>
    <cfRule type="expression" dxfId="22" priority="54" stopIfTrue="1">
      <formula>($G40="Pass")</formula>
    </cfRule>
  </conditionalFormatting>
  <conditionalFormatting sqref="C43">
    <cfRule type="expression" dxfId="21" priority="51" stopIfTrue="1">
      <formula>($G42="Fail")</formula>
    </cfRule>
    <cfRule type="expression" dxfId="20" priority="52" stopIfTrue="1">
      <formula>($G42="Pass")</formula>
    </cfRule>
  </conditionalFormatting>
  <conditionalFormatting sqref="C53">
    <cfRule type="expression" dxfId="19" priority="49" stopIfTrue="1">
      <formula>($G53="Fail")</formula>
    </cfRule>
    <cfRule type="expression" dxfId="18" priority="50" stopIfTrue="1">
      <formula>($G53="Pass")</formula>
    </cfRule>
  </conditionalFormatting>
  <conditionalFormatting sqref="C54">
    <cfRule type="expression" dxfId="17" priority="57" stopIfTrue="1">
      <formula>($G53="Fail")</formula>
    </cfRule>
    <cfRule type="expression" dxfId="16" priority="58" stopIfTrue="1">
      <formula>($G53="Pass")</formula>
    </cfRule>
  </conditionalFormatting>
  <conditionalFormatting sqref="C56">
    <cfRule type="expression" dxfId="13" priority="48" stopIfTrue="1">
      <formula>($G56="Pass")</formula>
    </cfRule>
    <cfRule type="expression" dxfId="12" priority="47" stopIfTrue="1">
      <formula>($G56="Fail")</formula>
    </cfRule>
  </conditionalFormatting>
  <conditionalFormatting sqref="D41:D43">
    <cfRule type="expression" dxfId="11" priority="18" stopIfTrue="1">
      <formula>($G41="Pass")</formula>
    </cfRule>
    <cfRule type="expression" dxfId="10" priority="17" stopIfTrue="1">
      <formula>($G41="Fail")</formula>
    </cfRule>
  </conditionalFormatting>
  <conditionalFormatting sqref="D38:F38">
    <cfRule type="expression" dxfId="9" priority="29" stopIfTrue="1">
      <formula>($G38="Fail")</formula>
    </cfRule>
    <cfRule type="expression" dxfId="8" priority="30" stopIfTrue="1">
      <formula>($G38="Pass")</formula>
    </cfRule>
  </conditionalFormatting>
  <conditionalFormatting sqref="E42:G58">
    <cfRule type="expression" dxfId="7" priority="6" stopIfTrue="1">
      <formula>($G42="Pass")</formula>
    </cfRule>
    <cfRule type="expression" dxfId="6" priority="5" stopIfTrue="1">
      <formula>($G42="Fail")</formula>
    </cfRule>
  </conditionalFormatting>
  <conditionalFormatting sqref="E60:G70">
    <cfRule type="expression" dxfId="5" priority="12" stopIfTrue="1">
      <formula>($G60="Pass")</formula>
    </cfRule>
    <cfRule type="expression" dxfId="4" priority="11" stopIfTrue="1">
      <formula>($G60="Fail")</formula>
    </cfRule>
  </conditionalFormatting>
  <conditionalFormatting sqref="G2:G6 A2:A20 D13:D20">
    <cfRule type="expression" dxfId="3" priority="103" stopIfTrue="1">
      <formula>($G2="Fail")</formula>
    </cfRule>
    <cfRule type="expression" dxfId="2" priority="104" stopIfTrue="1">
      <formula>($G2="Pass")</formula>
    </cfRule>
  </conditionalFormatting>
  <conditionalFormatting sqref="G38:G41">
    <cfRule type="expression" dxfId="1" priority="21" stopIfTrue="1">
      <formula>($G38="Fail")</formula>
    </cfRule>
    <cfRule type="expression" dxfId="0" priority="22" stopIfTrue="1">
      <formula>($G38="Pass")</formula>
    </cfRule>
  </conditionalFormatting>
  <dataValidations count="1">
    <dataValidation type="list" allowBlank="1" showInputMessage="1" showErrorMessage="1" sqref="G122 G124:G131 G1:G120" xr:uid="{7C952D86-1997-4A61-A121-77B158615793}">
      <formula1>statuslist</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59" stopIfTrue="1" id="{18021B9E-2512-4986-95CD-91ABA9A402B4}">
            <xm:f>(AcquisitiveCrime!#REF!="Fail")</xm:f>
            <x14:dxf>
              <fill>
                <patternFill>
                  <bgColor rgb="FFFF0000"/>
                </patternFill>
              </fill>
            </x14:dxf>
          </x14:cfRule>
          <x14:cfRule type="expression" priority="60" stopIfTrue="1" id="{C9E56EB7-AAD6-4BF0-AD7D-EEBA03EAACB6}">
            <xm:f>(AcquisitiveCrime!#REF!="Pass")</xm:f>
            <x14:dxf>
              <fill>
                <patternFill>
                  <bgColor rgb="FF92D050"/>
                </patternFill>
              </fill>
            </x14:dxf>
          </x14:cfRule>
          <xm:sqref>C55</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990BF00E28681448C21099A1732BDD9" ma:contentTypeVersion="31" ma:contentTypeDescription="Create a new document." ma:contentTypeScope="" ma:versionID="5c61badb3d564545967a9acf1c31fb37">
  <xsd:schema xmlns:xsd="http://www.w3.org/2001/XMLSchema" xmlns:xs="http://www.w3.org/2001/XMLSchema" xmlns:p="http://schemas.microsoft.com/office/2006/metadata/properties" xmlns:ns2="51c5625b-3a44-4de3-ad34-97e03664a27e" xmlns:ns3="acd394c2-8f83-4a16-a5f5-44f1e7d9c709" targetNamespace="http://schemas.microsoft.com/office/2006/metadata/properties" ma:root="true" ma:fieldsID="3a368be5863852f9b98b4b493515ca61" ns2:_="" ns3:_="">
    <xsd:import namespace="51c5625b-3a44-4de3-ad34-97e03664a27e"/>
    <xsd:import namespace="acd394c2-8f83-4a16-a5f5-44f1e7d9c709"/>
    <xsd:element name="properties">
      <xsd:complexType>
        <xsd:sequence>
          <xsd:element name="documentManagement">
            <xsd:complexType>
              <xsd:all>
                <xsd:element ref="ns2:Synopsis" minOccurs="0"/>
                <xsd:element ref="ns2:_Flow_SignoffStatus" minOccurs="0"/>
                <xsd:element ref="ns2:Descriptionofdocument" minOccurs="0"/>
                <xsd:element ref="ns2:Createddate" minOccurs="0"/>
                <xsd:element ref="ns2:Articleorder" minOccurs="0"/>
                <xsd:element ref="ns2:OfficialMarking"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ServiceMetadata" minOccurs="0"/>
                <xsd:element ref="ns2:MediaServiceFastMetadata" minOccurs="0"/>
                <xsd:element ref="ns2:retainuntil" minOccurs="0"/>
                <xsd:element ref="ns2:MediaServiceBillingMetadata" minOccurs="0"/>
                <xsd:element ref="ns2:Internal_Version" minOccurs="0"/>
                <xsd:element ref="ns2:Curr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c5625b-3a44-4de3-ad34-97e03664a27e" elementFormDefault="qualified">
    <xsd:import namespace="http://schemas.microsoft.com/office/2006/documentManagement/types"/>
    <xsd:import namespace="http://schemas.microsoft.com/office/infopath/2007/PartnerControls"/>
    <xsd:element name="Synopsis" ma:index="3" nillable="true" ma:displayName="Synopsis" ma:description="briefly describe the content of this file, author and date" ma:format="Dropdown" ma:internalName="Synopsis" ma:readOnly="false">
      <xsd:simpleType>
        <xsd:restriction base="dms:Note">
          <xsd:maxLength value="255"/>
        </xsd:restriction>
      </xsd:simpleType>
    </xsd:element>
    <xsd:element name="_Flow_SignoffStatus" ma:index="4" nillable="true" ma:displayName="Sign-off status" ma:internalName="Sign_x002d_off_x0020_status" ma:readOnly="false">
      <xsd:simpleType>
        <xsd:restriction base="dms:Text"/>
      </xsd:simpleType>
    </xsd:element>
    <xsd:element name="Descriptionofdocument" ma:index="5" nillable="true" ma:displayName="Description of document" ma:description="What is the document? " ma:format="Dropdown" ma:internalName="Descriptionofdocument" ma:readOnly="false">
      <xsd:simpleType>
        <xsd:restriction base="dms:Note">
          <xsd:maxLength value="255"/>
        </xsd:restriction>
      </xsd:simpleType>
    </xsd:element>
    <xsd:element name="Createddate" ma:index="6" nillable="true" ma:displayName="Created date" ma:format="DateOnly" ma:internalName="Createddate" ma:readOnly="false">
      <xsd:simpleType>
        <xsd:restriction base="dms:DateTime"/>
      </xsd:simpleType>
    </xsd:element>
    <xsd:element name="Articleorder" ma:index="7" nillable="true" ma:displayName="Article order" ma:description="Order articles should be displayed in " ma:format="Dropdown" ma:internalName="Articleorder" ma:readOnly="false">
      <xsd:simpleType>
        <xsd:restriction base="dms:Text">
          <xsd:maxLength value="255"/>
        </xsd:restriction>
      </xsd:simpleType>
    </xsd:element>
    <xsd:element name="OfficialMarking" ma:index="8" nillable="true" ma:displayName="Official Marking" ma:description="The sensitivity marking of the contents of the file" ma:format="Dropdown" ma:internalName="OfficialMarking" ma:readOnly="false">
      <xsd:simpleType>
        <xsd:restriction base="dms:Choice">
          <xsd:enumeration value="Official"/>
          <xsd:enumeration value="Official Sensitive"/>
          <xsd:enumeration value="Secret"/>
          <xsd:enumeration value="Top Secret"/>
        </xsd:restriction>
      </xsd:simpleType>
    </xsd:element>
    <xsd:element name="MediaServiceAutoKeyPoints" ma:index="9" nillable="true" ma:displayName="MediaServiceAutoKeyPoints" ma:hidden="true" ma:internalName="MediaServiceAutoKeyPoints" ma:readOnly="true">
      <xsd:simpleType>
        <xsd:restriction base="dms:Note"/>
      </xsd:simpleType>
    </xsd:element>
    <xsd:element name="MediaServiceKeyPoints" ma:index="10" nillable="true" ma:displayName="KeyPoints" ma:hidden="true" ma:internalName="MediaServiceKeyPoints" ma:readOnly="true">
      <xsd:simpleType>
        <xsd:restriction base="dms:Note"/>
      </xsd:simpleType>
    </xsd:element>
    <xsd:element name="MediaServiceDateTaken" ma:index="11" nillable="true" ma:displayName="MediaServiceDateTaken" ma:hidden="true" ma:internalName="MediaServiceDateTaken" ma:readOnly="true">
      <xsd:simpleType>
        <xsd:restriction base="dms:Text"/>
      </xsd:simpleType>
    </xsd:element>
    <xsd:element name="MediaLengthInSeconds" ma:index="12" nillable="true" ma:displayName="Length (seconds)" ma:hidden="true" ma:internalName="MediaLengthInSeconds" ma:readOnly="true">
      <xsd:simpleType>
        <xsd:restriction base="dms:Unknown"/>
      </xsd:simpleType>
    </xsd:element>
    <xsd:element name="MediaServiceAutoTags" ma:index="15" nillable="true" ma:displayName="Tags" ma:hidden="true" ma:internalName="MediaServiceAutoTags"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5b7e4bc-7c04-4239-a3c8-056ff7db7bf8"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hidden="true" ma:indexed="true" ma:internalName="MediaServiceLocation" ma:readOnly="true">
      <xsd:simpleType>
        <xsd:restriction base="dms:Text"/>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Metadata" ma:index="30" nillable="true" ma:displayName="MediaServiceMetadata" ma:hidden="true" ma:internalName="MediaServiceMetadata" ma:readOnly="true">
      <xsd:simpleType>
        <xsd:restriction base="dms:Note"/>
      </xsd:simpleType>
    </xsd:element>
    <xsd:element name="MediaServiceFastMetadata" ma:index="31" nillable="true" ma:displayName="MediaServiceFastMetadata" ma:hidden="true" ma:internalName="MediaServiceFastMetadata" ma:readOnly="true">
      <xsd:simpleType>
        <xsd:restriction base="dms:Note"/>
      </xsd:simpleType>
    </xsd:element>
    <xsd:element name="retainuntil" ma:index="32" nillable="true" ma:displayName="retain until" ma:format="DateOnly" ma:internalName="retainuntil">
      <xsd:simpleType>
        <xsd:restriction base="dms:DateTime"/>
      </xsd:simpleType>
    </xsd:element>
    <xsd:element name="MediaServiceBillingMetadata" ma:index="33" nillable="true" ma:displayName="MediaServiceBillingMetadata" ma:hidden="true" ma:internalName="MediaServiceBillingMetadata" ma:readOnly="true">
      <xsd:simpleType>
        <xsd:restriction base="dms:Note"/>
      </xsd:simpleType>
    </xsd:element>
    <xsd:element name="Internal_Version" ma:index="34" nillable="true" ma:displayName="Internal_Version" ma:default="1.0" ma:description="Internal versioning of the document, if applicable" ma:format="Dropdown" ma:internalName="Internal_Version" ma:percentage="FALSE">
      <xsd:simpleType>
        <xsd:restriction base="dms:Number"/>
      </xsd:simpleType>
    </xsd:element>
    <xsd:element name="Current" ma:index="35" nillable="true" ma:displayName="Current" ma:default="0" ma:description="A marker indicating whether a file is the currently accepted draft of the file" ma:format="Dropdown" ma:internalName="Current">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cd394c2-8f83-4a16-a5f5-44f1e7d9c709" elementFormDefault="qualified">
    <xsd:import namespace="http://schemas.microsoft.com/office/2006/documentManagement/types"/>
    <xsd:import namespace="http://schemas.microsoft.com/office/infopath/2007/PartnerControls"/>
    <xsd:element name="SharedWithUsers" ma:index="13"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hidden="true" ma:internalName="SharedWithDetails" ma:readOnly="true">
      <xsd:simpleType>
        <xsd:restriction base="dms:Note"/>
      </xsd:simpleType>
    </xsd:element>
    <xsd:element name="TaxCatchAll" ma:index="21" nillable="true" ma:displayName="Taxonomy Catch All Column" ma:hidden="true" ma:list="{415846f5-1ecc-43b7-b39c-ea04182118de}" ma:internalName="TaxCatchAll" ma:readOnly="false" ma:showField="CatchAllData" ma:web="acd394c2-8f83-4a16-a5f5-44f1e7d9c7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1c5625b-3a44-4de3-ad34-97e03664a27e">
      <Terms xmlns="http://schemas.microsoft.com/office/infopath/2007/PartnerControls"/>
    </lcf76f155ced4ddcb4097134ff3c332f>
    <TaxCatchAll xmlns="acd394c2-8f83-4a16-a5f5-44f1e7d9c709" xsi:nil="true"/>
    <Articleorder xmlns="51c5625b-3a44-4de3-ad34-97e03664a27e" xsi:nil="true"/>
    <Createddate xmlns="51c5625b-3a44-4de3-ad34-97e03664a27e" xsi:nil="true"/>
    <OfficialMarking xmlns="51c5625b-3a44-4de3-ad34-97e03664a27e" xsi:nil="true"/>
    <retainuntil xmlns="51c5625b-3a44-4de3-ad34-97e03664a27e" xsi:nil="true"/>
    <Internal_Version xmlns="51c5625b-3a44-4de3-ad34-97e03664a27e">1</Internal_Version>
    <_Flow_SignoffStatus xmlns="51c5625b-3a44-4de3-ad34-97e03664a27e" xsi:nil="true"/>
    <Synopsis xmlns="51c5625b-3a44-4de3-ad34-97e03664a27e" xsi:nil="true"/>
    <Descriptionofdocument xmlns="51c5625b-3a44-4de3-ad34-97e03664a27e" xsi:nil="true"/>
    <Current xmlns="51c5625b-3a44-4de3-ad34-97e03664a27e">false</Current>
  </documentManagement>
</p:properties>
</file>

<file path=customXml/itemProps1.xml><?xml version="1.0" encoding="utf-8"?>
<ds:datastoreItem xmlns:ds="http://schemas.openxmlformats.org/officeDocument/2006/customXml" ds:itemID="{8E8101D3-AA49-4B42-B1EF-353911782D22}">
  <ds:schemaRefs>
    <ds:schemaRef ds:uri="http://schemas.microsoft.com/sharepoint/v3/contenttype/forms"/>
  </ds:schemaRefs>
</ds:datastoreItem>
</file>

<file path=customXml/itemProps2.xml><?xml version="1.0" encoding="utf-8"?>
<ds:datastoreItem xmlns:ds="http://schemas.openxmlformats.org/officeDocument/2006/customXml" ds:itemID="{85799E02-995B-48F4-8E89-50D04C6177E5}"/>
</file>

<file path=customXml/itemProps3.xml><?xml version="1.0" encoding="utf-8"?>
<ds:datastoreItem xmlns:ds="http://schemas.openxmlformats.org/officeDocument/2006/customXml" ds:itemID="{11E644B2-2559-4456-96E7-5EC72762DBD4}">
  <ds:schemaRefs>
    <ds:schemaRef ds:uri="http://schemas.microsoft.com/office/2006/documentManagement/types"/>
    <ds:schemaRef ds:uri="http://purl.org/dc/dcmitype/"/>
    <ds:schemaRef ds:uri="http://purl.org/dc/elements/1.1/"/>
    <ds:schemaRef ds:uri="51c5625b-3a44-4de3-ad34-97e03664a27e"/>
    <ds:schemaRef ds:uri="http://schemas.microsoft.com/office/infopath/2007/PartnerControls"/>
    <ds:schemaRef ds:uri="http://schemas.microsoft.com/office/2006/metadata/properties"/>
    <ds:schemaRef ds:uri="acd394c2-8f83-4a16-a5f5-44f1e7d9c709"/>
    <ds:schemaRef ds:uri="http://purl.org/dc/term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Version Control</vt:lpstr>
      <vt:lpstr>Summary</vt:lpstr>
      <vt:lpstr>ORDERS</vt:lpstr>
      <vt:lpstr>Bail ATV</vt:lpstr>
      <vt:lpstr>AcquisitiveCrime</vt:lpstr>
      <vt:lpstr>Sheet 4</vt:lpstr>
      <vt:lpstr>Validation</vt:lpstr>
      <vt:lpstr>Defects</vt:lpstr>
      <vt:lpstr>Sheet1</vt:lpstr>
      <vt:lpstr>OVERALL</vt:lpstr>
      <vt:lpstr>statuslist</vt:lpstr>
    </vt:vector>
  </TitlesOfParts>
  <Manager/>
  <Company>Capgemini Energy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Registered User</dc:creator>
  <cp:keywords/>
  <dc:description/>
  <cp:lastModifiedBy>Watkin, David</cp:lastModifiedBy>
  <cp:revision/>
  <dcterms:created xsi:type="dcterms:W3CDTF">2011-01-31T16:58:54Z</dcterms:created>
  <dcterms:modified xsi:type="dcterms:W3CDTF">2026-02-04T18:25:21Z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TitusGUID">
    <vt:lpwstr>bb16a51d-3ae1-4ba0-91b9-9bf85ed982df</vt:lpwstr>
  </property>
  <property fmtid="{D5CDD505-2E9C-101B-9397-08002B2CF9AE}" pid="4" name="Description0">
    <vt:lpwstr/>
  </property>
  <property fmtid="{D5CDD505-2E9C-101B-9397-08002B2CF9AE}" pid="5" name="aliashDocumentMarking">
    <vt:lpwstr>Serco Internal/Serco Internal/Serco Internal</vt:lpwstr>
  </property>
  <property fmtid="{D5CDD505-2E9C-101B-9397-08002B2CF9AE}" pid="6" name="SercoClassification">
    <vt:lpwstr>Serco Internal</vt:lpwstr>
  </property>
  <property fmtid="{D5CDD505-2E9C-101B-9397-08002B2CF9AE}" pid="7" name="ContentTypeId">
    <vt:lpwstr>0x0101004990BF00E28681448C21099A1732BDD9</vt:lpwstr>
  </property>
  <property fmtid="{D5CDD505-2E9C-101B-9397-08002B2CF9AE}" pid="8" name="lcf76f155ced4ddcb4097134ff3c332f">
    <vt:lpwstr/>
  </property>
  <property fmtid="{D5CDD505-2E9C-101B-9397-08002B2CF9AE}" pid="9" name="Status">
    <vt:lpwstr/>
  </property>
  <property fmtid="{D5CDD505-2E9C-101B-9397-08002B2CF9AE}" pid="10" name="TaxCatchAll">
    <vt:lpwstr/>
  </property>
  <property fmtid="{D5CDD505-2E9C-101B-9397-08002B2CF9AE}" pid="11" name="MSIP_Label_cb1078a2-f269-44fb-b0f1-6cfa8af2e442_Enabled">
    <vt:lpwstr>true</vt:lpwstr>
  </property>
  <property fmtid="{D5CDD505-2E9C-101B-9397-08002B2CF9AE}" pid="12" name="MSIP_Label_cb1078a2-f269-44fb-b0f1-6cfa8af2e442_SetDate">
    <vt:lpwstr>2024-10-28T12:48:34Z</vt:lpwstr>
  </property>
  <property fmtid="{D5CDD505-2E9C-101B-9397-08002B2CF9AE}" pid="13" name="MSIP_Label_cb1078a2-f269-44fb-b0f1-6cfa8af2e442_Method">
    <vt:lpwstr>Privileged</vt:lpwstr>
  </property>
  <property fmtid="{D5CDD505-2E9C-101B-9397-08002B2CF9AE}" pid="14" name="MSIP_Label_cb1078a2-f269-44fb-b0f1-6cfa8af2e442_Name">
    <vt:lpwstr>cb1078a2-f269-44fb-b0f1-6cfa8af2e442</vt:lpwstr>
  </property>
  <property fmtid="{D5CDD505-2E9C-101B-9397-08002B2CF9AE}" pid="15" name="MSIP_Label_cb1078a2-f269-44fb-b0f1-6cfa8af2e442_SiteId">
    <vt:lpwstr>f93616dd-45a6-40c8-9e29-adab2fb5f25c</vt:lpwstr>
  </property>
  <property fmtid="{D5CDD505-2E9C-101B-9397-08002B2CF9AE}" pid="16" name="MSIP_Label_cb1078a2-f269-44fb-b0f1-6cfa8af2e442_ActionId">
    <vt:lpwstr>d860ce58-b38a-4d0b-98b9-6dc1f6a94fc3</vt:lpwstr>
  </property>
  <property fmtid="{D5CDD505-2E9C-101B-9397-08002B2CF9AE}" pid="17" name="MSIP_Label_cb1078a2-f269-44fb-b0f1-6cfa8af2e442_ContentBits">
    <vt:lpwstr>1</vt:lpwstr>
  </property>
  <property fmtid="{D5CDD505-2E9C-101B-9397-08002B2CF9AE}" pid="18" name="MediaServiceImageTags">
    <vt:lpwstr/>
  </property>
</Properties>
</file>