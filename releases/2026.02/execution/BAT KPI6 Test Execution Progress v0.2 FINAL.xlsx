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gbrserco-my.sharepoint.com/personal/david_allen7_serco_com/Documents/Documents/Releases/2026-02A Feb Release/Feb Release Test Base/"/>
    </mc:Choice>
  </mc:AlternateContent>
  <xr:revisionPtr revIDLastSave="26" documentId="8_{BF1F025C-07CF-49E1-9825-1D23C64D0F88}" xr6:coauthVersionLast="47" xr6:coauthVersionMax="47" xr10:uidLastSave="{26C69763-1F99-494B-8A45-D9286D4E5309}"/>
  <bookViews>
    <workbookView xWindow="-108" yWindow="-108" windowWidth="23256" windowHeight="13896" tabRatio="730" xr2:uid="{C8155761-8FC3-4314-9FB8-C47B4CC04086}"/>
  </bookViews>
  <sheets>
    <sheet name="Version Control" sheetId="17" r:id="rId1"/>
    <sheet name="Summary" sheetId="3" r:id="rId2"/>
    <sheet name="Orders" sheetId="1" r:id="rId3"/>
    <sheet name="KPI6" sheetId="11" r:id="rId4"/>
    <sheet name="Sheet3" sheetId="12" r:id="rId5"/>
    <sheet name="Sheet 4" sheetId="13" r:id="rId6"/>
    <sheet name="Validation" sheetId="10" state="hidden" r:id="rId7"/>
    <sheet name="Defects" sheetId="14" r:id="rId8"/>
    <sheet name="Sheet1" sheetId="16" state="hidden" r:id="rId9"/>
    <sheet name="OVERALL" sheetId="15" r:id="rId10"/>
  </sheets>
  <definedNames>
    <definedName name="_xlnm._FilterDatabase" localSheetId="7" hidden="1">Defects!$A$1:$N$100</definedName>
    <definedName name="_xlnm._FilterDatabase" localSheetId="3" hidden="1">'KPI6'!$A$1:$K$1</definedName>
    <definedName name="_xlnm._FilterDatabase" localSheetId="2" hidden="1">Orders!$A$1:$K$106</definedName>
    <definedName name="_xlnm._FilterDatabase" localSheetId="8" hidden="1">Sheet1!$A$5:$M$34</definedName>
    <definedName name="_xlnm._FilterDatabase" localSheetId="4" hidden="1">Sheet3!$A$1:$O$80</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3" l="1" a="1"/>
  <c r="P9" i="3" s="1"/>
  <c r="C12" i="3"/>
  <c r="AD18" i="3"/>
  <c r="AD17" i="3"/>
  <c r="AD16" i="3"/>
  <c r="AD15" i="3"/>
  <c r="AD14" i="3"/>
  <c r="AD13" i="3"/>
  <c r="AD12" i="3"/>
  <c r="C39" i="3"/>
  <c r="C38" i="3"/>
  <c r="C37" i="3"/>
  <c r="C36" i="3"/>
  <c r="C35" i="3"/>
  <c r="C34" i="3"/>
  <c r="C33" i="3"/>
  <c r="P18" i="3"/>
  <c r="P17" i="3"/>
  <c r="P16" i="3"/>
  <c r="P15" i="3"/>
  <c r="P14" i="3"/>
  <c r="P13" i="3"/>
  <c r="P12" i="3"/>
  <c r="P39" i="3"/>
  <c r="P38" i="3"/>
  <c r="P37" i="3"/>
  <c r="P36" i="3"/>
  <c r="P35" i="3"/>
  <c r="P34" i="3"/>
  <c r="P33" i="3"/>
  <c r="C18" i="3"/>
  <c r="C17" i="3"/>
  <c r="C16" i="3"/>
  <c r="C15" i="3"/>
  <c r="C14" i="3"/>
  <c r="C13" i="3"/>
  <c r="AD7" i="3"/>
  <c r="AD5" i="3"/>
  <c r="AD9" i="3" s="1"/>
  <c r="AF12" i="15"/>
  <c r="AD6" i="3" l="1"/>
  <c r="AD19" i="3"/>
  <c r="AE13" i="3" s="1"/>
  <c r="P28" i="3"/>
  <c r="P26" i="3"/>
  <c r="C28" i="3"/>
  <c r="C26" i="3"/>
  <c r="P7" i="3"/>
  <c r="P5" i="3"/>
  <c r="AE15" i="3" l="1"/>
  <c r="AE17" i="3"/>
  <c r="AE16" i="3"/>
  <c r="AE12" i="3"/>
  <c r="AE14" i="3"/>
  <c r="AE18" i="3"/>
  <c r="C7" i="3"/>
  <c r="C5" i="3"/>
  <c r="P6" i="3"/>
  <c r="P19" i="3"/>
  <c r="Q18" i="3" s="1"/>
  <c r="C27" i="3"/>
  <c r="P27" i="3"/>
  <c r="C30" i="3"/>
  <c r="P30" i="3"/>
  <c r="C40" i="3"/>
  <c r="D34" i="3" s="1"/>
  <c r="P40" i="3"/>
  <c r="Q36" i="3" l="1"/>
  <c r="Q39" i="3"/>
  <c r="C9" i="3"/>
  <c r="Q34" i="3"/>
  <c r="Q35" i="3"/>
  <c r="Q38" i="3"/>
  <c r="Q37" i="3"/>
  <c r="Q33" i="3"/>
  <c r="D37" i="3"/>
  <c r="D35" i="3"/>
  <c r="D33" i="3"/>
  <c r="D36" i="3"/>
  <c r="D38" i="3"/>
  <c r="D39" i="3"/>
  <c r="Q17" i="3"/>
  <c r="Q15" i="3"/>
  <c r="Q14" i="3"/>
  <c r="Q13" i="3"/>
  <c r="Q16" i="3"/>
  <c r="Q12" i="3"/>
  <c r="C19" i="3"/>
  <c r="C6" i="3"/>
  <c r="D16" i="3" l="1"/>
  <c r="D12" i="3"/>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 (UK &amp; Europe)</author>
  </authors>
  <commentList>
    <comment ref="J1" authorId="0" shapeId="0" xr:uid="{E6B557A0-92C0-48A5-A8BA-1D13871E67B9}">
      <text>
        <r>
          <rPr>
            <b/>
            <sz val="9"/>
            <color indexed="81"/>
            <rFont val="Tahoma"/>
            <family val="2"/>
          </rPr>
          <t>Barlow, Beverley (UK &amp; Europe):</t>
        </r>
        <r>
          <rPr>
            <sz val="9"/>
            <color indexed="81"/>
            <rFont val="Tahoma"/>
            <family val="2"/>
          </rPr>
          <t xml:space="preserve">
Open, Fixed, Retest, Training, Closed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<sst xmlns="http://schemas.openxmlformats.org/spreadsheetml/2006/main" count="1103" uniqueCount="574">
  <si>
    <t>Document Information</t>
  </si>
  <si>
    <t>Title</t>
  </si>
  <si>
    <t>Test Execution Progress Log</t>
  </si>
  <si>
    <t>Feb Release - KPI6 &amp; KPI9</t>
  </si>
  <si>
    <t>Release Identifier</t>
  </si>
  <si>
    <t>RLSE0010173</t>
  </si>
  <si>
    <t>Author</t>
  </si>
  <si>
    <t>Beverley Barlow</t>
  </si>
  <si>
    <t>Document Version History</t>
  </si>
  <si>
    <t>Version</t>
  </si>
  <si>
    <t>Date</t>
  </si>
  <si>
    <t>Summary of Changes</t>
  </si>
  <si>
    <t>Initial Definition of Test Cases</t>
  </si>
  <si>
    <t>Final Issue for MOJ review</t>
  </si>
  <si>
    <t>Test Evidence Repository</t>
  </si>
  <si>
    <t>Test Execution Evidence is stored at this link</t>
  </si>
  <si>
    <t>Link to Test Evidence Repository</t>
  </si>
  <si>
    <t>Scope of Release</t>
  </si>
  <si>
    <t>This release implements a Servicenow upgrade</t>
  </si>
  <si>
    <t>Defect/Story ID</t>
  </si>
  <si>
    <t>Type</t>
  </si>
  <si>
    <t>Details</t>
  </si>
  <si>
    <t>STRY0084586</t>
  </si>
  <si>
    <t>Enhancement</t>
  </si>
  <si>
    <t xml:space="preserve">New field to be added on the Interaction Import table, to accurately record the right time / date of  the call being made. </t>
  </si>
  <si>
    <t>STRY0085055</t>
  </si>
  <si>
    <t>KPI 6 call made field and the first response time field will be populated with the data in the call_date_time field from the Interaction import table</t>
  </si>
  <si>
    <t>STRY0085783</t>
  </si>
  <si>
    <t>Interaction Import record should not raise an interaction if state = Not Answered</t>
  </si>
  <si>
    <t>STRY0086362</t>
  </si>
  <si>
    <t>Breach pack sent to RO to become mandatory</t>
  </si>
  <si>
    <t>STRY0086547</t>
  </si>
  <si>
    <t>Hiding the propose solution UI action on enforcement cases</t>
  </si>
  <si>
    <t>ORDERS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</si>
  <si>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</si>
  <si>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</si>
  <si>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</si>
  <si>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</si>
  <si>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</si>
  <si>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</si>
  <si>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</si>
  <si>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</si>
  <si>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</si>
  <si>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</si>
  <si>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</si>
  <si>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</si>
  <si>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</si>
  <si>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</si>
  <si>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</si>
  <si>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</si>
  <si>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SHEET3 DASHBOARD</t>
  </si>
  <si>
    <t>KPI6 DASHBOARD</t>
  </si>
  <si>
    <t>Test ID</t>
  </si>
  <si>
    <t>Test Scenario</t>
  </si>
  <si>
    <t>Test Steps</t>
  </si>
  <si>
    <t>Outcome Expected</t>
  </si>
  <si>
    <t># of Steps</t>
  </si>
  <si>
    <t>Completed Steps</t>
  </si>
  <si>
    <t>Status</t>
  </si>
  <si>
    <t>Notes</t>
  </si>
  <si>
    <t>Test Data Used</t>
  </si>
  <si>
    <t>Executed By</t>
  </si>
  <si>
    <t>Approved By</t>
  </si>
  <si>
    <t>Tests to do</t>
  </si>
  <si>
    <t>KO01</t>
  </si>
  <si>
    <t>Adult - New Order - Verified Address - GPS Bail-Curfew only</t>
  </si>
  <si>
    <t>1. create Interaction
2. create Contact
3. create Device Wearer
4. create Case
5. create Monitoring Order
6. create Monitoring Requirements
7. create Monitoring Configuration
8. create Work Order
9. Create Work Order Task
10. Install</t>
  </si>
  <si>
    <t>- interaction, case, mon order, work order and work order task created</t>
  </si>
  <si>
    <t>DEVWR0101676 / MON10119207</t>
  </si>
  <si>
    <t>Luke</t>
  </si>
  <si>
    <t>KP04
KP05
KP06
KP10
KP11
KP12
KP13
KP14
KP15
KP16
KP17
KP18</t>
  </si>
  <si>
    <t>KO02</t>
  </si>
  <si>
    <t>Adult - New Order - Verified Address - GPS Bail- Location</t>
  </si>
  <si>
    <t>DEVWR0101679 / MON10119208</t>
  </si>
  <si>
    <t>KP01
KP02
KP03
KP07
KP08
KP09</t>
  </si>
  <si>
    <t>KO03</t>
  </si>
  <si>
    <t>Adult - New Order - Verified Address - GPS Bail-Curfew and Location</t>
  </si>
  <si>
    <t>DEVWR0101684-MON10119211</t>
  </si>
  <si>
    <t>KP19
KP20
KP21
KP22
KP23
KP24
KP25
KP26
KP27
KP28
KP29
KP30</t>
  </si>
  <si>
    <t>KO04</t>
  </si>
  <si>
    <t>Adult-Non-Bail-Community-curfew</t>
  </si>
  <si>
    <t>DEVWR0101691 / MON10119213</t>
  </si>
  <si>
    <t>KP32
KP33
KP34
KP44
KP45
KP46
KP47
KP48
KP49</t>
  </si>
  <si>
    <t>KO05</t>
  </si>
  <si>
    <t xml:space="preserve">Adult-Non-Bail-Post Release- location </t>
  </si>
  <si>
    <t>DEVWR0101694 / MON10119216</t>
  </si>
  <si>
    <t>KP35
KP36
KP37
KP38
KP39
KP40
KP41
KP42</t>
  </si>
  <si>
    <t>KO06</t>
  </si>
  <si>
    <t>Adult-Non-Bail-Post Release- Curfew and Location</t>
  </si>
  <si>
    <t>DEVWR0101702 / MON10119224</t>
  </si>
  <si>
    <t>KP49
KP50
KP51
KP51
KP52
KP53
KP54
KP55
KP56
KP57
KP58
KP59
KP60
KP61</t>
  </si>
  <si>
    <t>KO07</t>
  </si>
  <si>
    <t>Immigration-GPS-CURFEW</t>
  </si>
  <si>
    <t xml:space="preserve">DEVWR0101714 / MON10119231
</t>
  </si>
  <si>
    <t>KP65
KP66
KP67
KP74
KP75
KP76
KP77
KP78
KP79</t>
  </si>
  <si>
    <t>KO08</t>
  </si>
  <si>
    <t>Immigration-GPS-LOCATION</t>
  </si>
  <si>
    <t>DEVWR0101719 / MON10119238</t>
  </si>
  <si>
    <t>KP62
KP63
KP64
KP68
KP69
KP70
KP71
KP72
KP73</t>
  </si>
  <si>
    <t>K009</t>
  </si>
  <si>
    <t>Immigration-GPS-Location and curfew</t>
  </si>
  <si>
    <t>DEVWR0101726 / MON10119241</t>
  </si>
  <si>
    <t>KP80
KP81
KP82
KP83
KP84
KP85
KP86
KP87
KP88
KP89
KP90
KP91</t>
  </si>
  <si>
    <t>Column1</t>
  </si>
  <si>
    <t>Data notes</t>
  </si>
  <si>
    <t>Tested by</t>
  </si>
  <si>
    <t xml:space="preserve">order used </t>
  </si>
  <si>
    <t>KP01</t>
  </si>
  <si>
    <t>AL02-Bail - answered</t>
  </si>
  <si>
    <t>AL02 has been created 
- API to PD displayed in activity stream
- call made to HMU
- call answered
- call ends
- update investigation outcome field on case to Violation confirmed
- update resolution field to completed
- update state to resolved</t>
  </si>
  <si>
    <t xml:space="preserve">-Interaction created in ServiceNow with Short description: AL02 Tamper of worn device non curfew order
- auto set first response date and time field in table
- First Call Outcome data field populated on case
- interaction updated as Closed Complete
- investigation outcome field set to Violation confirmed
- resolution field set to completed
- state set to resolved
</t>
  </si>
  <si>
    <t>KP02</t>
  </si>
  <si>
    <t>AL02-Bail - abandoned</t>
  </si>
  <si>
    <t>AL02 has been created 
- API to PD displayed in activity stream
- call made to HMU
- listen to 50% of call then abandon call
- call ends
- update investigation outcome field on case to Violation confirmed
- update resolution field to completed
- update state to resolved</t>
  </si>
  <si>
    <t xml:space="preserve">-Interaction created in ServiceNow with Short description: AL02 Tamper of worn device non curfew order
- auto set first response date and time field in table
- First Call Outcome data field populated on case
- interaction updated as Call Abandoned
- investigation outcome field set to Violation confirmed
- resolution field set to completed
- state set to resolved
</t>
  </si>
  <si>
    <t>KP03</t>
  </si>
  <si>
    <t>AL02-Bail - not answered</t>
  </si>
  <si>
    <t>AL02 has been created
- API to PD displayed in activity stream
- call made to HMU
- call not answered
- update investigation outcome field to Violation confirmed
- update resolution field to completed
- update state to resolved</t>
  </si>
  <si>
    <t xml:space="preserve">- API to PD displayed in activity stream
- auto set first response date and time field in table
- First Call Outcome data field populated on case
- no interaction created
- investigation outcome field set to Violation confirmed
- resolution field set to completed
- state set to resolved"
</t>
  </si>
  <si>
    <t>KP04</t>
  </si>
  <si>
    <t>AL03-Bail - answered</t>
  </si>
  <si>
    <t>AL03 has been created 
- API to PD displayed in activity stream
- call made to HMU
- call answered
- call ends
- update investigation outcome field on case to Violation confirmed
- update resolution field to completed
- update state to resolved</t>
  </si>
  <si>
    <t xml:space="preserve">-Interaction created in ServiceNow with Short description: AL03 Tamper of worn device (curfew order)
- auto set first response date and time field in table
- First Call Outcome data field populated on case
- interaction updated as Closed Complete
- investigation outcome field set to Violation confirmed
- resolution field set to completed
- state set to resolved
</t>
  </si>
  <si>
    <t>KP05</t>
  </si>
  <si>
    <t>AL03-Bail - abandoned</t>
  </si>
  <si>
    <t>AL03 has been created
- API to PD displayed in activity stream
- call made to HMU
- listen to 50% of call then abandon call
- call ends
- update investigation outcome field on case to Violation confirmed
- update resolution field to completed
- update state to resolved</t>
  </si>
  <si>
    <t xml:space="preserve">-Interaction created in ServiceNow with Short description: AL03 Tamper of worn device (curfew order)
- auto set first response date and time field in table
- First Call Outcome data field populated on case
- interaction updated as Call Abandoned
- investigation outcome field set to Violation confirmed
- resolution field set to completed
- state set to resolved
</t>
  </si>
  <si>
    <t>KP06</t>
  </si>
  <si>
    <t>AL03-Bail - not answered</t>
  </si>
  <si>
    <t>AL03 has been created
- API to PD displayed in activity stream
- call made to HMU
- call not answered
- update investigation outcome field on case to Violation confirmed
- update resolution field to completed
- update state to resolved</t>
  </si>
  <si>
    <t xml:space="preserve">- API to PD displayed in activity stream
- auto set first response date and time field in table
- First Call Outcome data field populated on case
- needs attention flag updated on case
- no interaction created
- investigation outcome field set to Violation confirmed
- resolution field set to completed
- state set to resolved
</t>
  </si>
  <si>
    <t>KP07</t>
  </si>
  <si>
    <t>AL04-Bail - answered</t>
  </si>
  <si>
    <t>AL04 has been created
- API to PD displayed in activity stream
- call made to HMU
- call answered
- call ends
- update investigation outcome field on case to Violation confirmed
- update resolution field to completed
- update state to resolved</t>
  </si>
  <si>
    <t xml:space="preserve">-Interaction created in ServiceNow with Short description: AL04 Power off of Curfew Monitoring Equipment
- auto set first response date and time field in table
- First Call Outcome data field populated on case
- interaction updated as Closed Complete
- investigation outcome field set to Violation confirmed
- resolution field set to completed
- state set to resolved
</t>
  </si>
  <si>
    <t>KP08</t>
  </si>
  <si>
    <t>AL04-Bail - abandoned</t>
  </si>
  <si>
    <t>"AL04 has been created
- API to PD displayed in activity stream
- call made to HMU
- listen to 50% of call then abandon call
- call ends
- update investigation outcome field on case to Violation confirmed
- update resolution field to completed
- update state to resolved</t>
  </si>
  <si>
    <t xml:space="preserve">-Interaction created in ServiceNow with Short description: AL04 Power off of Curfew Monitoring Equipment
- auto set first response date and time field in table
- First Call Outcome data field populated on case
- interaction updated as Call Abandoned
- investigation outcome field set to Violation confirmed
- resolution field set to completed
- state set to resolved
</t>
  </si>
  <si>
    <t>KP09</t>
  </si>
  <si>
    <t>AL04-Bail - not answered</t>
  </si>
  <si>
    <t>AL04 has been created
- API to PD displayed in activity stream
- call made to HMU
- call not answered
- update investigation outcome field to Violation confirmed
- update resolution field to completed
- update state to resolved</t>
  </si>
  <si>
    <t>KP10</t>
  </si>
  <si>
    <t>AL05-Bail - answered</t>
  </si>
  <si>
    <t>AL05 has been created
- API to PD displayed in activity stream
- call made to HMU
- call answered
- call ends
- update investigation outcome field on case to Violation confirmed
- update resolution field to completed
- update state to resolved</t>
  </si>
  <si>
    <t>- API to PD displayed in activity stream
- auto set first response date and time field in table
- First Call Outcome data field populated on case
- no interaction created
- investigation outcome field set to Violation confirmed
- resolution field set to completed
- state set to resolved"</t>
  </si>
  <si>
    <t>KP11</t>
  </si>
  <si>
    <t>AL05-Bail - abandoned</t>
  </si>
  <si>
    <t>AL05 has been created 
- API to PD displayed in activity stream
- call made to HMU
-Interaction created in ServiceNow with Short description: AL02 Tamper of worn device (non-curfew order)
-Listen to 50% of call-Call Adbandoned
- call ends
- interaction closed
- auto set first response date and time field 
-investigation outcome field set to Violation confirmed
- resolution field set to completed
- state set to resolved
-save
-run KPI 6 report
-Produce Breach Pack</t>
  </si>
  <si>
    <t xml:space="preserve">"- interaction created as WIP
- auto set first response date and time field
breach pack to send to RO mandatory </t>
  </si>
  <si>
    <t>KP12</t>
  </si>
  <si>
    <t>AL05-Bail - not answered</t>
  </si>
  <si>
    <t>AL05 has been created
- API to PD displayed in activity stream
- call made to HMU
- call not answered
- update investigation outcome field to Violation confirmed
- update resolution field to completed
- update state to resolved</t>
  </si>
  <si>
    <t>KP13</t>
  </si>
  <si>
    <t>AL08-Bail - answered</t>
  </si>
  <si>
    <t>AL08 has been created
- API to PD displayed in activity stream
- call made to HMU
- call answered
- call ends
- update investigation outcome field on case to Violation confirmed
- update resolution field to completed
- update state to resolved</t>
  </si>
  <si>
    <t>-Interaction created in ServiceNow with Short description: AL08 Out Past Curfew Commencement
- auto set first response date and time field in table
- First Call Outcome data field populated on case
- interaction updated as Closed Complete
- investigation outcome field set to Violation confirmed
- resolution field set to completed
- state set to resolved</t>
  </si>
  <si>
    <t>KP14</t>
  </si>
  <si>
    <t>AL08-Bail - abandoned</t>
  </si>
  <si>
    <t>"AL08 has been created
- API to PD displayed in activity stream
- call made to HMU
-Interaction created in ServiceNow with Short description: AL02 Tamper of worn device (non-curfew order)
-Listen to 50% of call-Call Adbandoned
- call ends
- interaction closed
- auto set first response date and time field
-investigation outcome field set to Violation confirmed
- resolution field set to completed
- state set to resolved
-run KPI 6 report</t>
  </si>
  <si>
    <t>KP15</t>
  </si>
  <si>
    <t>AL08-Bail - not answered</t>
  </si>
  <si>
    <t>AL08 has been created
- API to PD displayed in activity stream
- call made to HMU
- call not answered
- update investigation outcome field to Violation confirmed
- update resolution field to completed
- update state to resolved</t>
  </si>
  <si>
    <t xml:space="preserve">- API to PD displayed in activity stream
- auto set first response date and time field in table
- First Call Outcome data field populated on case- no interaction created
- investigation outcome field set to Violation confirmed
- resolution field set to completed
- state set to resolved"
</t>
  </si>
  <si>
    <t>KP16</t>
  </si>
  <si>
    <t>AL10-Bail - answered</t>
  </si>
  <si>
    <t>AL10 has been created
- API to PD displayed in activity stream
- call made to HMU
- call answered
- call ends
- update investigation outcome field on case to Violation confirmed
- update resolution field to completed
- update state to resolved</t>
  </si>
  <si>
    <t>-Interaction created in ServiceNow with Short description: AL10 Left home during Curfew
- auto set first response date and time field in table
- First Call Outcome data field populated on case
- interaction updated as Closed Complete
- investigation outcome field set to Violation confirmed
- resolution field set to completed
- state set to resolved</t>
  </si>
  <si>
    <t>KP17</t>
  </si>
  <si>
    <t>AL10-Bail - abandoned</t>
  </si>
  <si>
    <t>"AL10 has been created
- API to PD displayed in activity stream
- call made to HMU
- listen to 50% of call then abandon call
- call ends
- update investigation outcome field on case to Violation confirmed
- update resolution field to completed
- update state to resolved</t>
  </si>
  <si>
    <t xml:space="preserve">-Interaction created in ServiceNow with Short description: AL10 Left home during Curfew
- auto set first response date and time field in table
- First Call Outcome data field populated on case
- interaction updated as Call Abandoned
- investigation outcome field set to Violation confirmed
- resolution field set to completed
- state set to resolved
</t>
  </si>
  <si>
    <t>KP18</t>
  </si>
  <si>
    <t>AL10-Bail - not answered</t>
  </si>
  <si>
    <t>AL10 has been created
- API to PD displayed in activity stream
- call made to HMU
- call not answered
- update investigation outcome field to Violation confirmed
- update resolution field to completed
- update state to resolved</t>
  </si>
  <si>
    <t xml:space="preserve">- API to PD displayed in activity stream
- First Call Outcome data field populated on case- no interaction created
- investigation outcome field set to Violation confirmed
- resolution field set to completed
- state set to resolved"
</t>
  </si>
  <si>
    <t>KP19</t>
  </si>
  <si>
    <t>AL19-Bail - answered</t>
  </si>
  <si>
    <t>AL19 has been created 
- API to PD displayed in activity stream
- call made to HMU
-interaction created in ServiceNow with Short description: AL19-Missing Status Check
- call ends
- interaction closed</t>
  </si>
  <si>
    <t>- investigation outcome field set to Violation confirmed
- resolution field set to completed
- state set to resolved</t>
  </si>
  <si>
    <t>Tested as part of KP102</t>
  </si>
  <si>
    <t>KP20</t>
  </si>
  <si>
    <t>AL19-Bail - abandoned</t>
  </si>
  <si>
    <t>AL19 has been created 
- API to PD displayed in activity stream
- call made to HMU
-interaction created in ServiceNow with Short description: AL19-Missing Status Check
-Listen to 50% of call
- call ends</t>
  </si>
  <si>
    <t>- interaction created as WIP</t>
  </si>
  <si>
    <t>KP21</t>
  </si>
  <si>
    <t>AL19-Bail - not answered</t>
  </si>
  <si>
    <t>AL19 has been created 
- API to PD displayed in activity stream
- call made to HMU
unsuccesful message in actiivity stream
- needs attention flag updated</t>
  </si>
  <si>
    <t>activity stream updated
needs attention flag updated after 1 hour</t>
  </si>
  <si>
    <t>KP22</t>
  </si>
  <si>
    <t>AL20- BAIL - answered</t>
  </si>
  <si>
    <t>AL20 has been created 
- API to PD displayed in activity stream
- call made to HMU
- call answered
- call ends
- update investigation outcome field on case to Violation confirmed
- update resolution field to completed
- update state to resolved</t>
  </si>
  <si>
    <t>-Interaction created in ServiceNow with Short description: AL20 No movement of Device-Wearer 
- auto set first response date and time field in table
- First Call Outcome data field populated on case
- interaction updated as Closed Complete
- investigation outcome field set to Violation confirmed
- resolution field set to completed
- state set to resolved</t>
  </si>
  <si>
    <t>KP23</t>
  </si>
  <si>
    <t>AL20-BAIL - abandoned</t>
  </si>
  <si>
    <t>AL20 has been created 
- API to PD displayed in activity stream
- call made to HMU
- listen to 50% of call then abandon call
- call ends
- update investigation outcome field on case to Violation confirmed
- update resolution field to completed
- update state to resolved</t>
  </si>
  <si>
    <t xml:space="preserve">-Interaction created in ServiceNow with Short description: AL20 No movement of Device-Wearer 
- auto set first response date and time field in table
- First Call Outcome data field populated on case
- interaction updated as Call Abandoned
- investigation outcome field set to Violation confirmed
- resolution field set to completed
- state set to resolved
</t>
  </si>
  <si>
    <t>KP24</t>
  </si>
  <si>
    <t>AL20-BAIL- not answered</t>
  </si>
  <si>
    <t>AL20 has been created 
- API to PD displayed in activity stream
- call made to HMU
- call not answered
- update investigation outcome field to Violation confirmed
- update resolution field to completed
- update state to resolved</t>
  </si>
  <si>
    <t xml:space="preserve">- API to PD displayed in activity stream
- First Call Outcome data field populated on case
- no interaction created
- investigation outcome field set to Violation confirmed
- resolution field set to completed
- state set to resolved"
</t>
  </si>
  <si>
    <t>KP25</t>
  </si>
  <si>
    <t>AL21-Bail - answered</t>
  </si>
  <si>
    <t>AL21 has been created 
- API to PD displayed in activity stream
- call made to HMU
-interaction created in ServiceNow with Short description: AL21-Non-charged Device Low Battery. Battery running low
- call ends
- interaction closed</t>
  </si>
  <si>
    <t>AL21 not part of KPI6 - do not trigger PD calls</t>
  </si>
  <si>
    <t>KP26</t>
  </si>
  <si>
    <t>AL21-Bail - abandoned</t>
  </si>
  <si>
    <t>AL21 has been created 
- API to PD displayed in activity stream
- call made to HMU
-interaction created in ServiceNow with Short description: AL21-Non-charged Device Low Battery. Battery running low
-Listen to 50% of call
- call ends</t>
  </si>
  <si>
    <t>KP27</t>
  </si>
  <si>
    <t>AL21-Bail - not answered</t>
  </si>
  <si>
    <t xml:space="preserve">AL21 has been created 
- API to PD displayed in activity stream
- call made to HMU
-unsuccesful message in actiivity stream
- needs attention flag updated
</t>
  </si>
  <si>
    <t>KP28</t>
  </si>
  <si>
    <t>AL22-BAIL - answered</t>
  </si>
  <si>
    <t>AL22 has been created 
- API triggered to PD Battery Alert campaign
- PD call made to HMU
- call answered
- call ends
- on case select 'Violation confirmed' in Investigation Outcome field
- set case state to resolved
- insert text in Work notes (private)
- insert Complete in Resolution code
- insert text in Resolution notes
- select Save</t>
  </si>
  <si>
    <t>- API to PD displayed in activity stream
- interaction created in ServiceNow with Short description: AL22 Automated voice message to Device Wearer
- chat summary updated on interaction
- interaction closed
- case set to resolved and data fields updated</t>
  </si>
  <si>
    <t>KP29</t>
  </si>
  <si>
    <t>AL22-BAIL - abandoned</t>
  </si>
  <si>
    <t>AL22 has been created 
- API triggered to PD Battery Alert campaign
- PD call made to HMU
- call answered but abandon call after 50% of message heard
- call ends
- set interaction state to Closed Abandoned
- on case select 'Violation confirmed' in Investigation Outcome field
- set case state to resolved
- insert text in Work notes (private)
- insert Complete in Resolution code
- insert text in Resolution notes
- select Save</t>
  </si>
  <si>
    <t>- API to PD displayed in activity stream
- interaction created in ServiceNow with Short description: AL22 Automated voice message to Device Wearer
- chat summary updated on interaction
- interaction set to Work In Progress state
- interaction updated to Closed Abandoned state
- case set to resolved and data fields updated</t>
  </si>
  <si>
    <t>KP30</t>
  </si>
  <si>
    <t>AL22- BAIL - not answered</t>
  </si>
  <si>
    <t>AL22 has been created 
- API triggered to PD Battery Alert campaign
- PD call made to HMU
- call not answered
- on case select 'Violation confirmed' in Investigation Outcome field
- set case state to resolved
- insert text in Work notes (private)
- insert Complete in Resolution code
- insert text in Resolution notes
- select Save</t>
  </si>
  <si>
    <t>- API to PD displayed in activity stream
- no interaction created
- unsuccessful work note added
- needs attention flag updated on case
- case set to resolved and data fields updated</t>
  </si>
  <si>
    <t>KP31</t>
  </si>
  <si>
    <t>STRY0086547-Hiding the propose solution UI action on enforcement cases</t>
  </si>
  <si>
    <t>Find EMS case
make sure it is an open Case
there shouldn't be a 'Propose solution'button</t>
  </si>
  <si>
    <t>Then I will NO longer see the 'Propose Solution' button</t>
  </si>
  <si>
    <t>KP32</t>
  </si>
  <si>
    <t>AL02-NON BAIL- answered</t>
  </si>
  <si>
    <t>" AL02 has been created 
- API to PD displayed in activity stream
- call made to HMU
-call answered
-Interaction created in ServiceNow with Short description: AL02 Tamper of worn device (non-curfew order)
- call ends
- interaction closed
- auto set first response date and time field 
-investigation outcome field set to Violation confirmed
- resolution field set to completed
- state set to resolved
-run KPI 6 report</t>
  </si>
  <si>
    <t xml:space="preserve">- auto set first response date and time field 
-manually investigation outcome field set to Violation confirmed
- resolution field set to completed
- state set to resolved
</t>
  </si>
  <si>
    <t>KP33</t>
  </si>
  <si>
    <t>AL02-NON BAIL - abandoned</t>
  </si>
  <si>
    <t>AL02 has been created 
- API to PD displayed in activity stream
- call made to HMU
-Interaction created in ServiceNow with Short description: AL02 Tamper of worn device (non-curfew order)
-Listen to 50% of call
- call ends
- interaction closed
- auto set first response date and time field 
-investigation outcome field set to Violation confirmed
- resolution field set to completed
- state set to resolved
-run KPI 6 report</t>
  </si>
  <si>
    <t>- interaction created as WIP
- auto set first response date and time field</t>
  </si>
  <si>
    <t>KP34</t>
  </si>
  <si>
    <t>AL02-NON BAIL - not answered</t>
  </si>
  <si>
    <t xml:space="preserve">AL02 has been created 
- API to PD displayed in activity stream
- call made to HMU
unsuccesful message in actiivity stream
- needs attention flag updated
-run KPI6 report 
 auto set first response date and time field 
-investigation outcome field set to Violation confirmed
- resolution field set to completed
- state set to resolved
</t>
  </si>
  <si>
    <t>- auto set first response date and time field</t>
  </si>
  <si>
    <t>KP35</t>
  </si>
  <si>
    <t>AL03-NON BAIL - answered</t>
  </si>
  <si>
    <t>KP36</t>
  </si>
  <si>
    <t>AL03-NON BAIL - abandoned</t>
  </si>
  <si>
    <t>KP37</t>
  </si>
  <si>
    <t>AL03-NON BAIL - not answered</t>
  </si>
  <si>
    <t xml:space="preserve">- API to PD displayed in activity 
- auto set first response date and time field in table
- First Call Outcome data field populated on case
- needs attention flag updated on case
- no interaction created
- investigation outcome field set to Violation confirmed
- resolution field set to completed
- state set to resolved
</t>
  </si>
  <si>
    <t>KP38</t>
  </si>
  <si>
    <t>AL04-NON BAIL- answered</t>
  </si>
  <si>
    <t>KP39</t>
  </si>
  <si>
    <t>AL04-NON BAIL - abandoned</t>
  </si>
  <si>
    <t>KP40</t>
  </si>
  <si>
    <t>AL04-NON BAIL - not answered</t>
  </si>
  <si>
    <t xml:space="preserve">- API to PD displayed in activity 
- auto set first response date and time field in table
- First Call Outcome data field populated on case
- no interaction created
- investigation outcome field set to Violation confirmed
- resolution field set to completed
- state set to resolved"
</t>
  </si>
  <si>
    <t>KP41</t>
  </si>
  <si>
    <t>AL05-NON BAIL - answered</t>
  </si>
  <si>
    <t xml:space="preserve">-Interaction created in ServiceNow with Short description: AL05 Movement of Home Monitoring Unit
- auto set first response date and time field in table
- First Call Outcome data field populated on case
- interaction updated as Closed Complete
- investigation outcome field set to Violation confirmed
- resolution field set to completed
- state set to resolved
</t>
  </si>
  <si>
    <t>KP42</t>
  </si>
  <si>
    <t>AL05-NON BAIL - abandoned</t>
  </si>
  <si>
    <t>KP43</t>
  </si>
  <si>
    <t>AL05-NON BAIL - not answered</t>
  </si>
  <si>
    <t>"AL05 has been created
- API to PD displayed in activity stream
- call made to HMU
unsuccesful message in actiivity stream
- needs attention flag updated
-run KPI6 report
 auto set first response date and time field
-investigation outcome field set to Violation confirmed
- resolution field set to completed
- state set to Closed
-save
-produce Breach Pack
-Run KPI6 report
"</t>
  </si>
  <si>
    <t xml:space="preserve">breach pack to send to RO mandatory 
Auto set first response date and time field 
</t>
  </si>
  <si>
    <t>KP44</t>
  </si>
  <si>
    <t>AL08-NON BAIL - answered</t>
  </si>
  <si>
    <t>KP45</t>
  </si>
  <si>
    <t>AL08-NON BAIL - abandoned</t>
  </si>
  <si>
    <t>KP46</t>
  </si>
  <si>
    <t>AL08-NON BAIL - not answered</t>
  </si>
  <si>
    <t>"AL08 has been created
- API to PD displayed in activity stream
- call made to HMU
unsuccesful message in actiivity stream
- needs attention flag updated
 auto set first response date and time field
-investigation outcome field set to Violation confirmed
- resolution field set to completed
- state set to Closed
-Run KPI6 report
"</t>
  </si>
  <si>
    <t>KP47</t>
  </si>
  <si>
    <t>AL10-NON BAIL - answered</t>
  </si>
  <si>
    <t>KP48</t>
  </si>
  <si>
    <t>AL10-NON BAIL - abandoned</t>
  </si>
  <si>
    <t>"AL10 has been created
- API to PD displayed in activity stream
- call made to HMU
-Interaction created in ServiceNow with Short description: AL02 Tamper of worn device (non-curfew order)
-Listen to 50% of call-Call Adbandoned
- call ends
- interaction closed
- auto set first response date and time field
run KPI 6 report
-investigation outcome field set to Violation confirmed
- resolution field set to completed
- state set to resolved</t>
  </si>
  <si>
    <t>KP49</t>
  </si>
  <si>
    <t>AL10-NON BAIL - not answered</t>
  </si>
  <si>
    <t>"AL10 has been created
- API to PD displayed in activity stream
- call made to HMU
unsuccesful message in actiivity stream
- needs attention flag updated
 auto set first response date and time field
-investigation outcome field set to Violation confirmed
- resolution field set to completed
- state set to Closed
-Run KPI6 report
"</t>
  </si>
  <si>
    <t>KP50</t>
  </si>
  <si>
    <t>AL19-NON BAIL - answered</t>
  </si>
  <si>
    <t>Tested as part of KP103</t>
  </si>
  <si>
    <t>KP51</t>
  </si>
  <si>
    <t>AL19-NON BAIL - abandoned</t>
  </si>
  <si>
    <t>KP52</t>
  </si>
  <si>
    <t>AL19-NON BAIL - not answered</t>
  </si>
  <si>
    <t>KP53</t>
  </si>
  <si>
    <t>AL20-NON BAIL - answered</t>
  </si>
  <si>
    <t>KP54</t>
  </si>
  <si>
    <t>AL20-NON BAIL - abandoned</t>
  </si>
  <si>
    <t>AL20 has been created 
- API triggered to PD Non compliance campaign
- PD call made to HMU
- call answered
- update interaction chat summary &amp; abandon call after 50% of message heard
- call ends
- set interaction state to Closed Abandoned
- on case select 'Violation confirmed' in Investigation Outcome field
- set case state to resolved
- insert text in Work notes (private)
- insert Complete in Resolution code
- insert text in Resolution notes
- select Save</t>
  </si>
  <si>
    <t>- API to PD displayed in activity stream
- interaction created
- chat summary updated on interaction
- interaction set to Work In Progress state
- interaction updated to Closed Abandoned state
- case set to resolved and data fields updated</t>
  </si>
  <si>
    <t>KP55</t>
  </si>
  <si>
    <t>AL20-NON BAIL - not answered</t>
  </si>
  <si>
    <t>AL20 has been created 
- API triggered to PD Battery Alert campaign
- PD call made to HMU
- call not answered
- on case select 'Violation confirmed' in Investigation Outcome field
- set case state to resolved
- insert text in Work notes (private)
- insert Complete in Resolution code
- insert text in Resolution notes
- select Save</t>
  </si>
  <si>
    <t>- API to PD displayed in activity stream
- no interaction created
- case set to resolved and data fields updated</t>
  </si>
  <si>
    <t>KP56</t>
  </si>
  <si>
    <t>AL21 -NON BAIL- answered</t>
  </si>
  <si>
    <t>KP57</t>
  </si>
  <si>
    <t>AL21 -NON BAIL - abandoned</t>
  </si>
  <si>
    <t>KP58</t>
  </si>
  <si>
    <t>AL21 -NON BAIL - not answered</t>
  </si>
  <si>
    <t>KP59</t>
  </si>
  <si>
    <t>AL22-NON BAIL - answered</t>
  </si>
  <si>
    <t xml:space="preserve">AL22 has been created 
- API triggered to PD Battery Alert campaign
- PD call made to HMU
- call answered
- call ends
</t>
  </si>
  <si>
    <t>KP60</t>
  </si>
  <si>
    <t>AL22-NON BAIL - abandoned</t>
  </si>
  <si>
    <t>KP61</t>
  </si>
  <si>
    <t>AL22-NON BAIL - not answered</t>
  </si>
  <si>
    <t>KP62</t>
  </si>
  <si>
    <t>AL02-Immigration - answered</t>
  </si>
  <si>
    <t>" AL02 has been created 
- API to PD displayed in activity stream
- call made to HMU
-Interaction created in ServiceNow with Short description: AL02 Tamper of worn device (non-curfew order)
- call ends
- interaction closed</t>
  </si>
  <si>
    <t xml:space="preserve">- investigation outcome field set to Violation confirmed
- resolution field set to completed
- state set to resolved
</t>
  </si>
  <si>
    <t>IMMIGRATION DON'T GET PD CALLS 
TESTED ON KP95</t>
  </si>
  <si>
    <t>KP63</t>
  </si>
  <si>
    <t>AL02-Immigration - abandoned</t>
  </si>
  <si>
    <t>AL02 has been created 
- API to PD displayed in activity stream
- call made to HMU
-Interaction created in ServiceNow with Short description: AL02 Tamper of worn device (non-curfew order)
-Listen to 50% of call
- call ends</t>
  </si>
  <si>
    <t>KP64</t>
  </si>
  <si>
    <t>AL02-Immigration - not answered</t>
  </si>
  <si>
    <t>AL02 has been created 
- API to PD displayed in activity stream
- call made to HMU
unsuccesful message in actiivity stream
- needs attention flag updated</t>
  </si>
  <si>
    <t>KP65</t>
  </si>
  <si>
    <t>AL03-Immigration - answered</t>
  </si>
  <si>
    <t>AL03 has been created 
- API to PD displayed in activity stream
- call made to HMU
- interaction created in ServiceNow with Short description: AL03-Tamper of worn device with curfew order
- call ends
- interaction closed</t>
  </si>
  <si>
    <t>IMMIGRATION DON'T GET PD CALLS 
TESTED ON KP96</t>
  </si>
  <si>
    <t>KP66</t>
  </si>
  <si>
    <t>AL03-Immigration - abandoned</t>
  </si>
  <si>
    <t>AL03 has been created 
- API to PD displayed in activity stream
- call made to HMU
-interaction created in ServiceNow with Short description: AL03-Tamper of worn device with curfew order
-Listen to 50% of call
- call ends</t>
  </si>
  <si>
    <t>KP67</t>
  </si>
  <si>
    <t>AL03-Immigration - not answered</t>
  </si>
  <si>
    <t>AL03 has been created 
- API to PD displayed in activity stream
- call made to HMU
unsuccesful message in actiivity stream
- needs attention flag updated</t>
  </si>
  <si>
    <t>KP68</t>
  </si>
  <si>
    <t>AL04-Immigration - answered</t>
  </si>
  <si>
    <t>AL04 has been created 
- API to PD displayed in activity stream
- call made to HMU
 -interaction created in ServiceNow with Short description: AL04-Power off of curfew monitoring equipment at home
- call ends
- interaction closed</t>
  </si>
  <si>
    <t>IMMIGRATION DON'T GET PD CALLS 
TESTED ON KP97</t>
  </si>
  <si>
    <t>KP69</t>
  </si>
  <si>
    <t>AL04-Immigration - abandoned</t>
  </si>
  <si>
    <t>AL04 has been created 
- API to PD displayed in activity stream
- call made to HMU
-interaction created in ServiceNow with Short description: AL04-Power off of curfew monitoring equipment at home
Listen to 50% of call
- call ends</t>
  </si>
  <si>
    <t>KP70</t>
  </si>
  <si>
    <t>AL04-Immigration - not answered</t>
  </si>
  <si>
    <t>AL04 has been created 
- API to PD displayed in activity stream
- call made to HMU
unsuccesful message in actiivity stream
- needs attention flag updated</t>
  </si>
  <si>
    <t xml:space="preserve">IMMIGRATION DON'T GET PD CALLS 
Tested on KP97
</t>
  </si>
  <si>
    <t>KP71</t>
  </si>
  <si>
    <t>AL05-Immigration - answered</t>
  </si>
  <si>
    <t>AL05 has been created 
- API to PD displayed in activity stream
- call made to HMU
 -interaction created in ServiceNow with Short description: AL05-Movement of home monitoring unit at home
- call ends
- interaction closed</t>
  </si>
  <si>
    <t>IMMIGRATION DON'T GET PD CALLS 
Tested on KP98</t>
  </si>
  <si>
    <t>KP72</t>
  </si>
  <si>
    <t>AL05-Immigration - abandoned</t>
  </si>
  <si>
    <t>AL05 has been created 
- API to PD displayed in activity stream
- call made to HMU
 -interaction created in ServiceNow with Short description: AL05-Movement of home monitoring unit at home
-Listen to 50% of call
- call ends</t>
  </si>
  <si>
    <t>KP73</t>
  </si>
  <si>
    <t>AL05-Immigration - not answered</t>
  </si>
  <si>
    <t>AL05 has been created 
- API to PD displayed in activity stream
- call made to HMU
unsuccesful message in actiivity stream
- needs attention flag updated</t>
  </si>
  <si>
    <t>KP74</t>
  </si>
  <si>
    <t>AL08-Immigration - answered</t>
  </si>
  <si>
    <t>AL08 has been created 
- API to PD displayed in activity stream
- call made to HMU
- interaction created in ServiceNow with Short description: AL08-Out past curfew commencement
- call ends
- interaction closed</t>
  </si>
  <si>
    <t xml:space="preserve">IMMIGRATION DON'T GET PD CALLS </t>
  </si>
  <si>
    <t>KP75</t>
  </si>
  <si>
    <t>AL08-Immigration - abandoned</t>
  </si>
  <si>
    <t>AL08 has been created 
- API to PD displayed in activity stream
- call made to HMU
-interaction created in ServiceNow with Short description: AL08-Out past curfew commencement
-Listen to 50% of call
- call ends</t>
  </si>
  <si>
    <t>KP76</t>
  </si>
  <si>
    <t>AL08-Immigration - not answered</t>
  </si>
  <si>
    <t>AL08 has been created 
- API to PD displayed in activity stream
- call made to HMU
unsuccesful message in actiivity stream
- needs attention flag updated</t>
  </si>
  <si>
    <t>KP77</t>
  </si>
  <si>
    <t>AL10-Immigration - answered</t>
  </si>
  <si>
    <t>AL10 has been created 
- API to PD displayed in activity stream
- call made to HMU
- interaction created in ServiceNow with Short description: AL10-Left home during curfew
- call ends
- interaction closed</t>
  </si>
  <si>
    <t>KP78</t>
  </si>
  <si>
    <t>AL10-Immigration - abandoned</t>
  </si>
  <si>
    <t>AL10 has been created 
- API to PD displayed in activity stream
- call made to HMU
-interaction created in ServiceNow with Short description: AL10-Left home during curfew
Listen to 50% of call
- call ends</t>
  </si>
  <si>
    <t>KP79</t>
  </si>
  <si>
    <t>AL10-Immigration - not answered</t>
  </si>
  <si>
    <t>AL10 has been created 
- API to PD displayed in activity stream
- call made to HMU
unsuccesful message in actiivity stream
- needs attention flag updated</t>
  </si>
  <si>
    <t>KP80</t>
  </si>
  <si>
    <t>AL19-Immigration - answered</t>
  </si>
  <si>
    <t>IMMIGRATION DON'T GET PD CALLS 
Tested on KP99</t>
  </si>
  <si>
    <t>KP81</t>
  </si>
  <si>
    <t>AL19-Immigration - abandoned</t>
  </si>
  <si>
    <t>KP82</t>
  </si>
  <si>
    <t>AL19-Immigration - not answered</t>
  </si>
  <si>
    <t>KP83</t>
  </si>
  <si>
    <t>AL20-Immigration - answered</t>
  </si>
  <si>
    <t>AL20 has been created 
- API to PD displayed in activity stream
- call made to HMU
 interaction created in ServiceNow with Short description: AL20-No movement of Device-Wearer
- call ends
- interaction closed</t>
  </si>
  <si>
    <t>IMMIGRATION DON'T GET PD CALLS 
Tested on KP100</t>
  </si>
  <si>
    <t>KP84</t>
  </si>
  <si>
    <t>AL20-Immigration - abandoned</t>
  </si>
  <si>
    <t>AL20 has been created 
- API to PD displayed in activity stream
- call made to HMU
 -interaction created in ServiceNow with Short description: AL20-No movement of Device-Wearer
-Listen to 50% of call
- call ends</t>
  </si>
  <si>
    <t>KP85</t>
  </si>
  <si>
    <t>AL20-Immigration - not answered</t>
  </si>
  <si>
    <t>AL20 has been created 
- API to PD displayed in activity stream
- call made to HMU
-unsuccesful message in actiivity stream
- needs attention flag updated</t>
  </si>
  <si>
    <t>KP86</t>
  </si>
  <si>
    <t>AL21 -Immigration - answered</t>
  </si>
  <si>
    <t>IMMIGRATION DON'T GET PD CALLS 
tested on KP101</t>
  </si>
  <si>
    <t>KP87</t>
  </si>
  <si>
    <t>AL21 -Immigration - abandoned</t>
  </si>
  <si>
    <t>KP88</t>
  </si>
  <si>
    <t>AL21 -Immigration - not answered</t>
  </si>
  <si>
    <t>KP89</t>
  </si>
  <si>
    <t>AL22-Immigration - answered</t>
  </si>
  <si>
    <t>AL22 has been created 
- API to PD displayed in activity stream
- call made to HMU
- interaction created in ServiceNow with Short description: AL22 Automated voice message to Device Wearer
- call ends
- interaction closed</t>
  </si>
  <si>
    <t xml:space="preserve">IMMIGRATION DON'T GET PD CALLS 
Tested on KP104 AND KP 105 </t>
  </si>
  <si>
    <t>KP90</t>
  </si>
  <si>
    <t>AL22-Immigration - abandoned</t>
  </si>
  <si>
    <t>"AL22 has been created 
- API to PD displayed in activity stream
- call made to HMU
- interaction created in ServiceNow with Short description: AL22 Automated voice message to Device Wearer
-Listen to 50% of call
- call ends</t>
  </si>
  <si>
    <t>KP91</t>
  </si>
  <si>
    <t>AL22-Immigration - not answered</t>
  </si>
  <si>
    <t>AL22 Alert case
- API to PD displayed in activity stream
- call made to HMU
- unsuccesful message in actiivity stream
- needs attention flag updated</t>
  </si>
  <si>
    <t>KP92</t>
  </si>
  <si>
    <t>AL23 - Bail - answered</t>
  </si>
  <si>
    <t>AL23 has been created
- API to PD displayed in activity stream
- call made to HMU and picked up
- call ends
- update investigation outcome field on case to Violation confirmed
- update resolution field to completed
- update state to resolved
- promote to enforcement AL105
- create breach pack"</t>
  </si>
  <si>
    <t>Short description: AL23 Automated voice message to Device Wearer
- auto set first response date and time field in table
- First Call Outcome data field populated on case
- interaction updated as Closed Complete
- needs attention flag updated
- investigation outcome field set to Violation confirmed
- resolution field set to completed
- state set to resolved
- interaction created on AL23 shown on AL105 breach pack"</t>
  </si>
  <si>
    <t>KP93</t>
  </si>
  <si>
    <t>AL23 - Non-Bail - abandoned</t>
  </si>
  <si>
    <t>"AL23 has been created
- API to PD displayed in activity stream
- call made to HMU
- interaction created in ServiceNow with Short description: AL22 Automated voice message to Device Wearer
-Listen to 50% of call-Call Abandoned
- call ends
investigation outcome field set to Violation confirmed
- resolution field set to completed
- state set to Closed
Auto set first response date and time field
promote to enforcement AL105
- create breach pack
-run KPI 6 report"</t>
  </si>
  <si>
    <t>"Short description: AL23 Automated voice message to Device Wearer
interaction created on AL23 and shown on AL105 breach pack
auto set first response date and time field</t>
  </si>
  <si>
    <t>KP94</t>
  </si>
  <si>
    <t>AL23 - Bail - not answered</t>
  </si>
  <si>
    <t>"AL23 has been created
- API to PD displayed in activity stream
- call made to HMU
unsuccessful message in actiivity stream
- needs attention flag updated
 auto set first response date and time field
-investigation outcome field set to Violation confirmed
- resolution field set to completed
- state set to Closed
Auto set first response date and time field
wait for 15 minutes before promoting 
promote to enforcement AL105
- create breach pack
-run KPI 6 report"</t>
  </si>
  <si>
    <t>KP95</t>
  </si>
  <si>
    <t>AL02-Immigration</t>
  </si>
  <si>
    <t>- Create an AL02</t>
  </si>
  <si>
    <t>KPI6- First Call Outcome not populated</t>
  </si>
  <si>
    <t>No first call outcome - Immigration</t>
  </si>
  <si>
    <t>KP96</t>
  </si>
  <si>
    <t>AL04-Immigration</t>
  </si>
  <si>
    <t>- Create an AL04</t>
  </si>
  <si>
    <t>KP97</t>
  </si>
  <si>
    <t>AL05-Immigration</t>
  </si>
  <si>
    <t>- Create an AL05</t>
  </si>
  <si>
    <t>KP98</t>
  </si>
  <si>
    <t>AL19-Immigration</t>
  </si>
  <si>
    <t>KPI6- Manual adding first respone date/time
leave balnk</t>
  </si>
  <si>
    <t>KP99</t>
  </si>
  <si>
    <t>AL20-Immigration</t>
  </si>
  <si>
    <t>KPI6- Manual adding first respone date/time
out of sla</t>
  </si>
  <si>
    <t>KP100</t>
  </si>
  <si>
    <t>AL23-Immigration</t>
  </si>
  <si>
    <t>AL23 Alert created
- no API to PD in activity stream
- note in activity stream to indicate immigration no contact number available
- case set to resolved
KPI6-Manual Adding First respone date/time</t>
  </si>
  <si>
    <t>KP101</t>
  </si>
  <si>
    <t>AL22-Immigration</t>
  </si>
  <si>
    <t>AL22 Alert created
- no API to PD in activity stream
- note in activity stream to indicate immigration no contact number available
- case set to resolved
KPI6-Manual Adding First respone date/time
Leave date and time blank</t>
  </si>
  <si>
    <t>KP102</t>
  </si>
  <si>
    <t>AL19-Bail</t>
  </si>
  <si>
    <t>AL19 Alert created
- case set to resolved</t>
  </si>
  <si>
    <t xml:space="preserve"> no API generated for PD
</t>
  </si>
  <si>
    <t>KP103</t>
  </si>
  <si>
    <t>AL19-Non Bail</t>
  </si>
  <si>
    <t>Development</t>
  </si>
  <si>
    <t>Blocked</t>
  </si>
  <si>
    <t>Incident / JIRA ref</t>
  </si>
  <si>
    <t>Issue</t>
  </si>
  <si>
    <t>Description</t>
  </si>
  <si>
    <t>Category</t>
  </si>
  <si>
    <t>Impact Rating
(H-M-L)</t>
  </si>
  <si>
    <t>Date Opened</t>
  </si>
  <si>
    <t>Date Resolved</t>
  </si>
  <si>
    <t>Target Release Date</t>
  </si>
  <si>
    <t>Post Production Check Y/N</t>
  </si>
  <si>
    <t>Resolution</t>
  </si>
  <si>
    <t>Release</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</si>
  <si>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</si>
  <si>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</si>
  <si>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</si>
  <si>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</si>
  <si>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</si>
  <si>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</si>
  <si>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</si>
  <si>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</si>
  <si>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</si>
  <si>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</si>
  <si>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</si>
  <si>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</si>
  <si>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</si>
  <si>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</si>
  <si>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</si>
  <si>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</si>
  <si>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</si>
  <si>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</si>
  <si>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</si>
  <si>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</si>
  <si>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</si>
  <si>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</si>
  <si>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</si>
  <si>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</si>
  <si>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</si>
  <si>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</si>
  <si>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</si>
  <si>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</si>
  <si>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</si>
  <si>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</si>
  <si>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</si>
  <si>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</si>
  <si>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</si>
  <si>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</si>
  <si>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</si>
  <si>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</si>
  <si>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</si>
  <si>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</si>
  <si>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</si>
  <si>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</si>
  <si>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</si>
  <si>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</si>
  <si>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</si>
  <si>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</si>
  <si>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</si>
  <si>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</si>
  <si>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</si>
  <si>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</si>
  <si>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</si>
  <si>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</si>
  <si>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</si>
  <si>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</si>
  <si>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</si>
  <si>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</si>
  <si>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</si>
  <si>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</si>
  <si>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</si>
  <si>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</si>
  <si>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</si>
  <si>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</si>
  <si>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</si>
  <si>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</si>
  <si>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</si>
  <si>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</si>
  <si>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</si>
  <si>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</si>
  <si>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</si>
  <si>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</si>
  <si>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</si>
  <si>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</si>
  <si>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</si>
  <si>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</si>
  <si>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</si>
  <si>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</si>
  <si>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</si>
  <si>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</si>
  <si>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</si>
  <si>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</si>
  <si>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</si>
  <si>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</si>
  <si>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</si>
  <si>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</si>
  <si>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</si>
  <si>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</si>
  <si>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</si>
  <si>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</si>
  <si>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</si>
  <si>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</si>
  <si>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</si>
  <si>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</si>
  <si>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</si>
  <si>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</si>
  <si>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</si>
  <si>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</si>
  <si>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</si>
  <si>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</si>
  <si>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</si>
  <si>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</si>
  <si>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</si>
  <si>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</si>
  <si>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</si>
  <si>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</si>
  <si>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</si>
  <si>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</si>
  <si>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</si>
  <si>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</si>
  <si>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</si>
  <si>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</si>
  <si>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</si>
  <si>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</si>
  <si>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</si>
  <si>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</si>
  <si>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</si>
  <si>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</si>
  <si>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</si>
  <si>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</si>
  <si>
    <t>Issue/Defect</t>
  </si>
  <si>
    <t>SERCO JIRA ID</t>
  </si>
  <si>
    <t>SNOW 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</si>
</sst>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50">
    <font>
      <sz val="10"/>
      <name val="Arial"/>
    </font>
    <font>
      <b/>
      <sz val="10"/>
      <name val="Arial"/>
      <family val="2"/>
    </font>
    <font>
      <sz val="8"/>
      <name val="Arial"/>
      <family val="2"/>
    </font>
    <font>
      <sz val="10"/>
      <name val="Arial"/>
      <family val="2"/>
    </font>
    <font>
      <i/>
      <sz val="10"/>
      <name val="Arial"/>
      <family val="2"/>
    </font>
    <font>
      <sz val="9"/>
      <color indexed="81"/>
      <name val="Tahoma"/>
      <family val="2"/>
    </font>
    <font>
      <b/>
      <sz val="9"/>
      <color indexed="81"/>
      <name val="Tahoma"/>
      <family val="2"/>
    </font>
    <font>
      <sz val="8"/>
      <name val="Arial"/>
      <family val="2"/>
    </font>
    <font>
      <sz val="8"/>
      <name val="Arial"/>
      <family val="2"/>
    </font>
    <font>
      <sz val="10"/>
      <color rgb="FFFF0000"/>
      <name val="Arial"/>
      <family val="2"/>
    </font>
    <font>
      <i/>
      <sz val="10"/>
      <color rgb="FFFF0000"/>
      <name val="Arial"/>
      <family val="2"/>
    </font>
    <font>
      <sz val="10"/>
      <color theme="6" tint="-0.499984740745262"/>
      <name val="Arial"/>
      <family val="2"/>
    </font>
    <font>
      <sz val="10"/>
      <color theme="9" tint="-0.249977111117893"/>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000000"/>
      <name val="Aptos"/>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i/>
      <sz val="10"/>
      <color rgb="FF00B050"/>
      <name val="Arial"/>
      <family val="2"/>
    </font>
    <font>
      <sz val="11"/>
      <color rgb="FF000000"/>
      <name val="Calibri"/>
      <family val="2"/>
      <scheme val="minor"/>
    </font>
    <font>
      <b/>
      <u/>
      <sz val="10"/>
      <color rgb="FF000000"/>
      <name val="Arial"/>
      <family val="2"/>
    </font>
    <font>
      <i/>
      <sz val="11"/>
      <color rgb="FF000000"/>
      <name val="Aptos Narrow"/>
      <family val="2"/>
    </font>
    <font>
      <sz val="12"/>
      <name val="Aptos"/>
      <family val="2"/>
      <charset val="1"/>
    </font>
    <font>
      <b/>
      <sz val="11"/>
      <color rgb="FF000000"/>
      <name val="Aptos Narrow"/>
      <family val="2"/>
    </font>
    <font>
      <sz val="11"/>
      <color rgb="FF242424"/>
      <name val="Arial"/>
      <family val="2"/>
    </font>
    <font>
      <sz val="10"/>
      <color rgb="FF16191F"/>
      <name val="Arial"/>
      <family val="2"/>
    </font>
    <font>
      <b/>
      <sz val="11"/>
      <name val="Arial"/>
      <family val="2"/>
    </font>
    <font>
      <sz val="11"/>
      <name val="Aptos"/>
      <family val="2"/>
      <charset val="1"/>
    </font>
    <font>
      <b/>
      <sz val="11"/>
      <color rgb="FF242424"/>
      <name val="Arial"/>
      <family val="2"/>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sz val="11"/>
      <name val="Tahoma"/>
      <family val="2"/>
    </font>
    <font>
      <sz val="11"/>
      <color rgb="FFFF0066"/>
      <name val="Calibri"/>
      <family val="2"/>
      <scheme val="minor"/>
    </font>
    <font>
      <b/>
      <i/>
      <sz val="11"/>
      <color rgb="FF000000"/>
      <name val="Calibri"/>
      <family val="2"/>
      <scheme val="minor"/>
    </font>
    <font>
      <sz val="11"/>
      <name val="Calibri"/>
      <family val="2"/>
      <scheme val="minor"/>
    </font>
  </fonts>
  <fills count="18">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215C98"/>
        <bgColor rgb="FF000000"/>
      </patternFill>
    </fill>
    <fill>
      <patternFill patternType="solid">
        <fgColor theme="8" tint="0.59999389629810485"/>
        <bgColor indexed="64"/>
      </patternFill>
    </fill>
  </fills>
  <borders count="42">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style="thin">
        <color indexed="64"/>
      </bottom>
      <diagonal/>
    </border>
  </borders>
  <cellStyleXfs count="4">
    <xf numFmtId="0" fontId="0" fillId="0" borderId="0"/>
    <xf numFmtId="0" fontId="3" fillId="0" borderId="0"/>
    <xf numFmtId="0" fontId="20" fillId="0" borderId="0" applyNumberFormat="0" applyFill="0" applyBorder="0" applyAlignment="0" applyProtection="0"/>
    <xf numFmtId="0" fontId="41" fillId="0" borderId="0"/>
  </cellStyleXfs>
  <cellXfs count="493">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12" xfId="0" applyFont="1" applyBorder="1"/>
    <xf numFmtId="0" fontId="1" fillId="0" borderId="12" xfId="0" applyFont="1" applyBorder="1" applyAlignment="1">
      <alignment wrapText="1"/>
    </xf>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164" fontId="3" fillId="0" borderId="12" xfId="0" quotePrefix="1" applyNumberFormat="1" applyFont="1" applyBorder="1" applyAlignment="1">
      <alignment horizontal="left"/>
    </xf>
    <xf numFmtId="164" fontId="0" fillId="0" borderId="12" xfId="0" quotePrefix="1" applyNumberFormat="1" applyBorder="1" applyAlignment="1">
      <alignment horizontal="left"/>
    </xf>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3" fillId="0" borderId="12" xfId="0" quotePrefix="1" applyFont="1" applyBorder="1" applyAlignment="1">
      <alignment horizontal="left" vertical="top" wrapText="1"/>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4" fillId="0" borderId="12" xfId="0" quotePrefix="1" applyFont="1" applyBorder="1" applyAlignment="1">
      <alignment horizontal="left" vertical="top" wrapText="1"/>
    </xf>
    <xf numFmtId="0" fontId="9" fillId="0" borderId="12" xfId="0" applyFont="1" applyBorder="1" applyAlignment="1">
      <alignment wrapText="1"/>
    </xf>
    <xf numFmtId="0" fontId="9" fillId="0" borderId="12" xfId="0" applyFont="1" applyBorder="1"/>
    <xf numFmtId="0" fontId="9"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3" fillId="0" borderId="12" xfId="0" applyFont="1" applyBorder="1" applyAlignment="1">
      <alignment horizontal="left" vertical="top" wrapText="1"/>
    </xf>
    <xf numFmtId="0" fontId="4" fillId="0" borderId="13" xfId="0" applyFont="1" applyBorder="1"/>
    <xf numFmtId="0" fontId="4" fillId="0" borderId="12" xfId="0" applyFont="1" applyBorder="1" applyAlignment="1">
      <alignment horizontal="left" vertical="top" wrapText="1"/>
    </xf>
    <xf numFmtId="0" fontId="13" fillId="0" borderId="12" xfId="0" applyFont="1" applyBorder="1"/>
    <xf numFmtId="0" fontId="13" fillId="0" borderId="12" xfId="0" applyFont="1" applyBorder="1" applyAlignment="1">
      <alignment horizontal="left" wrapText="1"/>
    </xf>
    <xf numFmtId="0" fontId="14" fillId="0" borderId="12" xfId="0" applyFont="1" applyBorder="1" applyAlignment="1">
      <alignment horizontal="left" wrapText="1"/>
    </xf>
    <xf numFmtId="0" fontId="4" fillId="0" borderId="12" xfId="0" applyFont="1" applyBorder="1" applyAlignment="1">
      <alignment vertical="center" wrapText="1"/>
    </xf>
    <xf numFmtId="0" fontId="15" fillId="0" borderId="12" xfId="0" applyFont="1" applyBorder="1" applyAlignment="1">
      <alignment horizontal="center" vertical="center"/>
    </xf>
    <xf numFmtId="0" fontId="16" fillId="7" borderId="12" xfId="0" applyFont="1" applyFill="1" applyBorder="1" applyAlignment="1">
      <alignment horizontal="left" vertical="center" wrapText="1"/>
    </xf>
    <xf numFmtId="0" fontId="16" fillId="0" borderId="12" xfId="0" applyFont="1" applyBorder="1" applyAlignment="1">
      <alignment horizontal="left" vertical="center" wrapText="1"/>
    </xf>
    <xf numFmtId="0" fontId="3" fillId="7" borderId="12" xfId="0" applyFont="1" applyFill="1" applyBorder="1" applyAlignment="1">
      <alignment horizontal="left" vertical="center" wrapText="1"/>
    </xf>
    <xf numFmtId="0" fontId="17" fillId="0" borderId="12" xfId="0" applyFont="1" applyBorder="1" applyAlignment="1">
      <alignment horizontal="left" vertical="center" wrapText="1"/>
    </xf>
    <xf numFmtId="0" fontId="0" fillId="0" borderId="12" xfId="0" applyBorder="1" applyAlignment="1">
      <alignment horizontal="left" wrapText="1"/>
    </xf>
    <xf numFmtId="0" fontId="15"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9" fillId="0" borderId="14" xfId="0" applyFont="1" applyBorder="1" applyAlignment="1">
      <alignment wrapText="1"/>
    </xf>
    <xf numFmtId="0" fontId="11" fillId="0" borderId="14" xfId="0" applyFont="1" applyBorder="1" applyAlignment="1" applyProtection="1">
      <alignment wrapText="1"/>
      <protection locked="0"/>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19" fillId="0" borderId="12" xfId="0" applyFont="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9" fillId="0" borderId="14" xfId="0" applyFont="1" applyBorder="1" applyAlignment="1" applyProtection="1">
      <alignment horizontal="left" wrapText="1"/>
      <protection locked="0"/>
    </xf>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8" xfId="0" applyBorder="1" applyAlignment="1" applyProtection="1">
      <alignment wrapText="1"/>
      <protection locked="0"/>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6" fillId="0" borderId="12" xfId="0" quotePrefix="1" applyFont="1" applyBorder="1" applyAlignment="1">
      <alignment horizontal="left" vertical="center" wrapText="1"/>
    </xf>
    <xf numFmtId="0" fontId="16" fillId="0" borderId="12" xfId="0" quotePrefix="1" applyFont="1" applyBorder="1" applyAlignment="1">
      <alignment horizontal="left" vertical="top" wrapText="1"/>
    </xf>
    <xf numFmtId="0" fontId="17" fillId="0" borderId="12" xfId="0" quotePrefix="1" applyFont="1" applyBorder="1" applyAlignment="1">
      <alignment horizontal="left" vertical="center" wrapText="1"/>
    </xf>
    <xf numFmtId="0" fontId="17" fillId="0" borderId="12" xfId="0" quotePrefix="1" applyFont="1" applyBorder="1" applyAlignment="1">
      <alignment horizontal="left" vertical="top" wrapText="1"/>
    </xf>
    <xf numFmtId="0" fontId="18"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7" xfId="0" quotePrefix="1" applyBorder="1" applyAlignment="1" applyProtection="1">
      <alignment horizontal="left" wrapText="1"/>
      <protection locked="0"/>
    </xf>
    <xf numFmtId="0" fontId="0" fillId="0" borderId="16" xfId="0" applyBorder="1" applyAlignment="1">
      <alignment horizontal="center" vertical="center"/>
    </xf>
    <xf numFmtId="0" fontId="0" fillId="0" borderId="15" xfId="0" quotePrefix="1" applyBorder="1" applyAlignment="1" applyProtection="1">
      <alignment horizontal="left" wrapText="1"/>
      <protection locked="0"/>
    </xf>
    <xf numFmtId="0" fontId="0" fillId="0" borderId="16" xfId="0" applyBorder="1" applyAlignment="1">
      <alignment horizontal="center"/>
    </xf>
    <xf numFmtId="0" fontId="0" fillId="0" borderId="12" xfId="0" applyBorder="1" applyAlignment="1">
      <alignment vertical="center" wrapText="1"/>
    </xf>
    <xf numFmtId="0" fontId="0" fillId="0" borderId="12" xfId="0" quotePrefix="1" applyBorder="1" applyAlignment="1">
      <alignment horizontal="center" vertical="top" wrapText="1"/>
    </xf>
    <xf numFmtId="0" fontId="3" fillId="0" borderId="12" xfId="0" applyFont="1" applyBorder="1" applyAlignment="1" applyProtection="1">
      <alignment horizontal="center" vertical="center"/>
      <protection locked="0"/>
    </xf>
    <xf numFmtId="0" fontId="20" fillId="0" borderId="0" xfId="2" applyFill="1"/>
    <xf numFmtId="0" fontId="0" fillId="0" borderId="12" xfId="0" quotePrefix="1" applyBorder="1" applyAlignment="1">
      <alignment vertical="center" wrapText="1"/>
    </xf>
    <xf numFmtId="0" fontId="0" fillId="0" borderId="0" xfId="0" applyAlignment="1">
      <alignment vertical="center" wrapText="1"/>
    </xf>
    <xf numFmtId="0" fontId="1" fillId="0" borderId="17" xfId="0" applyFont="1" applyBorder="1" applyAlignment="1" applyProtection="1">
      <alignment horizontal="center" wrapText="1"/>
      <protection locked="0"/>
    </xf>
    <xf numFmtId="165" fontId="1" fillId="0" borderId="12" xfId="0" applyNumberFormat="1" applyFont="1" applyBorder="1" applyAlignment="1">
      <alignment wrapText="1"/>
    </xf>
    <xf numFmtId="165" fontId="0" fillId="0" borderId="12" xfId="0" applyNumberFormat="1" applyBorder="1" applyProtection="1">
      <protection locked="0"/>
    </xf>
    <xf numFmtId="165" fontId="0" fillId="0" borderId="0" xfId="0" applyNumberFormat="1"/>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5" fillId="0" borderId="0" xfId="0" applyFont="1"/>
    <xf numFmtId="0" fontId="1" fillId="0" borderId="0" xfId="0" applyFont="1" applyAlignment="1">
      <alignment horizontal="center"/>
    </xf>
    <xf numFmtId="0" fontId="15" fillId="10" borderId="0" xfId="0" applyFont="1" applyFill="1" applyAlignment="1">
      <alignment wrapText="1"/>
    </xf>
    <xf numFmtId="0" fontId="15" fillId="0" borderId="0" xfId="0" applyFont="1" applyAlignment="1">
      <alignment wrapText="1"/>
    </xf>
    <xf numFmtId="0" fontId="15" fillId="8" borderId="0" xfId="0" applyFont="1" applyFill="1" applyAlignment="1">
      <alignment wrapText="1"/>
    </xf>
    <xf numFmtId="0" fontId="29" fillId="9" borderId="0" xfId="0" applyFont="1" applyFill="1" applyAlignment="1">
      <alignment wrapText="1"/>
    </xf>
    <xf numFmtId="0" fontId="15" fillId="8" borderId="0" xfId="0" applyFont="1" applyFill="1" applyAlignment="1">
      <alignment horizontal="center" wrapText="1"/>
    </xf>
    <xf numFmtId="0" fontId="29" fillId="0" borderId="0" xfId="0" applyFont="1" applyAlignment="1">
      <alignment wrapText="1"/>
    </xf>
    <xf numFmtId="0" fontId="29" fillId="8" borderId="0" xfId="0" applyFont="1" applyFill="1" applyAlignment="1">
      <alignment wrapText="1"/>
    </xf>
    <xf numFmtId="0" fontId="15"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0" fontId="3" fillId="0" borderId="14" xfId="0" applyFont="1" applyBorder="1" applyAlignment="1" applyProtection="1">
      <alignment wrapText="1"/>
      <protection locked="0"/>
    </xf>
    <xf numFmtId="165" fontId="3" fillId="0" borderId="12" xfId="0" applyNumberFormat="1" applyFont="1" applyBorder="1" applyProtection="1">
      <protection locked="0"/>
    </xf>
    <xf numFmtId="165" fontId="0" fillId="0" borderId="12" xfId="0" applyNumberFormat="1" applyBorder="1" applyAlignment="1" applyProtection="1">
      <alignment horizontal="right"/>
      <protection locked="0"/>
    </xf>
    <xf numFmtId="0" fontId="3" fillId="0" borderId="12" xfId="0" applyFont="1" applyBorder="1" applyAlignment="1" applyProtection="1">
      <alignment horizontal="left" vertical="center" wrapText="1"/>
      <protection locked="0"/>
    </xf>
    <xf numFmtId="0" fontId="3" fillId="0" borderId="12" xfId="0" quotePrefix="1" applyFont="1" applyBorder="1" applyAlignment="1" applyProtection="1">
      <alignment wrapText="1"/>
      <protection locked="0"/>
    </xf>
    <xf numFmtId="0" fontId="0" fillId="0" borderId="16" xfId="0" applyBorder="1" applyProtection="1">
      <protection locked="0"/>
    </xf>
    <xf numFmtId="0" fontId="3" fillId="0" borderId="12" xfId="0" quotePrefix="1" applyFont="1" applyBorder="1" applyAlignment="1">
      <alignment horizontal="left" wrapText="1"/>
    </xf>
    <xf numFmtId="164" fontId="0" fillId="0" borderId="19" xfId="0" applyNumberFormat="1" applyBorder="1" applyAlignment="1">
      <alignment horizontal="left"/>
    </xf>
    <xf numFmtId="0" fontId="0" fillId="0" borderId="15" xfId="0" applyBorder="1" applyProtection="1">
      <protection locked="0"/>
    </xf>
    <xf numFmtId="0" fontId="0" fillId="0" borderId="15" xfId="0" quotePrefix="1" applyBorder="1" applyAlignment="1">
      <alignment horizontal="left" vertical="top" wrapText="1"/>
    </xf>
    <xf numFmtId="0" fontId="3" fillId="0" borderId="12" xfId="0" applyFont="1" applyBorder="1" applyAlignment="1">
      <alignment horizontal="center" vertical="top"/>
    </xf>
    <xf numFmtId="0" fontId="3" fillId="0" borderId="12" xfId="0" applyFont="1" applyBorder="1" applyAlignment="1" applyProtection="1">
      <alignment horizontal="left" vertical="top" wrapText="1"/>
      <protection locked="0"/>
    </xf>
    <xf numFmtId="0" fontId="3" fillId="0" borderId="12" xfId="0" applyFont="1" applyBorder="1" applyAlignment="1" applyProtection="1">
      <alignment vertical="top" wrapText="1"/>
      <protection locked="0"/>
    </xf>
    <xf numFmtId="0" fontId="3" fillId="0" borderId="12" xfId="0" applyFont="1" applyBorder="1" applyAlignment="1" applyProtection="1">
      <alignment vertical="top"/>
      <protection locked="0"/>
    </xf>
    <xf numFmtId="0" fontId="0" fillId="0" borderId="12" xfId="0" applyBorder="1" applyAlignment="1" applyProtection="1">
      <alignment horizontal="left" vertical="top" wrapText="1"/>
      <protection locked="0"/>
    </xf>
    <xf numFmtId="0" fontId="22" fillId="0" borderId="12" xfId="0" applyFont="1" applyBorder="1" applyAlignment="1">
      <alignment wrapText="1"/>
    </xf>
    <xf numFmtId="0" fontId="23" fillId="0" borderId="12" xfId="0" applyFont="1" applyBorder="1"/>
    <xf numFmtId="0" fontId="15" fillId="0" borderId="12" xfId="0" applyFont="1" applyBorder="1" applyAlignment="1" applyProtection="1">
      <alignment horizontal="left" wrapText="1"/>
      <protection locked="0"/>
    </xf>
    <xf numFmtId="0" fontId="3" fillId="0" borderId="17" xfId="0" applyFont="1" applyBorder="1" applyAlignment="1" applyProtection="1">
      <alignment wrapText="1"/>
      <protection locked="0"/>
    </xf>
    <xf numFmtId="0" fontId="3" fillId="0" borderId="17" xfId="0" applyFont="1" applyBorder="1" applyProtection="1">
      <protection locked="0"/>
    </xf>
    <xf numFmtId="0" fontId="3" fillId="0" borderId="16" xfId="0" applyFont="1" applyBorder="1" applyAlignment="1">
      <alignment horizontal="center" vertical="center"/>
    </xf>
    <xf numFmtId="0" fontId="3" fillId="0" borderId="15" xfId="0" applyFont="1" applyBorder="1" applyAlignment="1" applyProtection="1">
      <alignment wrapText="1"/>
      <protection locked="0"/>
    </xf>
    <xf numFmtId="0" fontId="3" fillId="0" borderId="15" xfId="0" applyFont="1" applyBorder="1" applyProtection="1">
      <protection locked="0"/>
    </xf>
    <xf numFmtId="0" fontId="15" fillId="0" borderId="15" xfId="0" quotePrefix="1" applyFont="1" applyBorder="1" applyAlignment="1">
      <alignment wrapText="1"/>
    </xf>
    <xf numFmtId="0" fontId="23" fillId="0" borderId="12" xfId="0" applyFont="1" applyBorder="1" applyAlignment="1">
      <alignment wrapText="1"/>
    </xf>
    <xf numFmtId="0" fontId="3" fillId="0" borderId="15" xfId="0" applyFont="1" applyBorder="1"/>
    <xf numFmtId="0" fontId="3" fillId="0" borderId="15" xfId="0" applyFont="1" applyBorder="1" applyAlignment="1">
      <alignment horizontal="left" wrapText="1"/>
    </xf>
    <xf numFmtId="0" fontId="0" fillId="0" borderId="15" xfId="0" applyBorder="1" applyAlignment="1">
      <alignment wrapText="1"/>
    </xf>
    <xf numFmtId="0" fontId="3" fillId="0" borderId="17" xfId="0" applyFont="1" applyBorder="1" applyAlignment="1">
      <alignment horizontal="left" vertical="center" wrapText="1"/>
    </xf>
    <xf numFmtId="0" fontId="0" fillId="0" borderId="17" xfId="0" applyBorder="1" applyAlignment="1">
      <alignment horizontal="center"/>
    </xf>
    <xf numFmtId="1" fontId="3" fillId="0" borderId="17" xfId="0" applyNumberFormat="1" applyFont="1" applyBorder="1" applyAlignment="1" applyProtection="1">
      <alignment horizontal="center" vertical="center"/>
      <protection locked="0"/>
    </xf>
    <xf numFmtId="0" fontId="3" fillId="0" borderId="20" xfId="0" applyFont="1" applyBorder="1" applyAlignment="1">
      <alignment horizontal="center" vertical="center"/>
    </xf>
    <xf numFmtId="0" fontId="3" fillId="0" borderId="21" xfId="0" applyFont="1" applyBorder="1" applyAlignment="1">
      <alignment horizontal="left" wrapText="1"/>
    </xf>
    <xf numFmtId="0" fontId="3" fillId="0" borderId="21" xfId="0" applyFont="1" applyBorder="1"/>
    <xf numFmtId="0" fontId="3" fillId="0" borderId="16"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wrapText="1"/>
    </xf>
    <xf numFmtId="0" fontId="0" fillId="0" borderId="16" xfId="0" quotePrefix="1" applyBorder="1" applyAlignment="1">
      <alignment horizontal="left" vertical="center" wrapText="1"/>
    </xf>
    <xf numFmtId="0" fontId="3" fillId="0" borderId="21" xfId="0" applyFont="1" applyBorder="1" applyAlignment="1">
      <alignment horizontal="center"/>
    </xf>
    <xf numFmtId="1" fontId="3" fillId="0" borderId="21" xfId="0" applyNumberFormat="1" applyFont="1" applyBorder="1" applyAlignment="1">
      <alignment horizontal="center"/>
    </xf>
    <xf numFmtId="0" fontId="3" fillId="0" borderId="22" xfId="0" applyFont="1" applyBorder="1"/>
    <xf numFmtId="0" fontId="3" fillId="0" borderId="15" xfId="0" applyFont="1" applyBorder="1" applyAlignment="1">
      <alignment horizontal="left" vertical="center" wrapText="1"/>
    </xf>
    <xf numFmtId="0" fontId="3" fillId="0" borderId="15" xfId="0" applyFont="1" applyBorder="1" applyAlignment="1">
      <alignment wrapText="1"/>
    </xf>
    <xf numFmtId="0" fontId="3" fillId="0" borderId="15" xfId="0" applyFont="1" applyBorder="1" applyAlignment="1">
      <alignment horizontal="center"/>
    </xf>
    <xf numFmtId="1" fontId="3" fillId="0" borderId="15" xfId="0" applyNumberFormat="1" applyFont="1" applyBorder="1" applyAlignment="1">
      <alignment horizontal="center"/>
    </xf>
    <xf numFmtId="0" fontId="0" fillId="0" borderId="15" xfId="0" applyBorder="1" applyAlignment="1">
      <alignment horizontal="left" vertical="center" wrapText="1"/>
    </xf>
    <xf numFmtId="0" fontId="0" fillId="0" borderId="15" xfId="0" applyBorder="1" applyAlignment="1">
      <alignment horizontal="center"/>
    </xf>
    <xf numFmtId="1" fontId="0" fillId="0" borderId="15" xfId="0" applyNumberFormat="1" applyBorder="1" applyAlignment="1">
      <alignment horizontal="center"/>
    </xf>
    <xf numFmtId="0" fontId="25" fillId="0" borderId="15" xfId="0" applyFont="1" applyBorder="1" applyAlignment="1">
      <alignment wrapText="1"/>
    </xf>
    <xf numFmtId="0" fontId="26" fillId="0" borderId="12" xfId="0" quotePrefix="1" applyFont="1" applyBorder="1" applyAlignment="1">
      <alignment horizontal="left" vertical="center" wrapText="1"/>
    </xf>
    <xf numFmtId="0" fontId="27" fillId="0" borderId="12" xfId="0" quotePrefix="1" applyFont="1" applyBorder="1" applyAlignment="1">
      <alignment wrapText="1"/>
    </xf>
    <xf numFmtId="0" fontId="28" fillId="0" borderId="12" xfId="0" applyFont="1" applyBorder="1" applyAlignment="1">
      <alignment horizontal="center"/>
    </xf>
    <xf numFmtId="1" fontId="0" fillId="0" borderId="16" xfId="0" applyNumberFormat="1" applyBorder="1" applyAlignment="1">
      <alignment horizontal="center"/>
    </xf>
    <xf numFmtId="0" fontId="0" fillId="0" borderId="15" xfId="0" quotePrefix="1" applyBorder="1" applyAlignment="1">
      <alignment horizontal="left" wrapText="1"/>
    </xf>
    <xf numFmtId="0" fontId="0" fillId="0" borderId="15" xfId="0" applyBorder="1" applyAlignment="1">
      <alignment vertical="center" wrapText="1"/>
    </xf>
    <xf numFmtId="0" fontId="0" fillId="0" borderId="21" xfId="0" applyBorder="1" applyAlignment="1">
      <alignment vertical="center" wrapText="1"/>
    </xf>
    <xf numFmtId="0" fontId="34" fillId="0" borderId="0" xfId="0" applyFont="1"/>
    <xf numFmtId="0" fontId="0" fillId="0" borderId="21" xfId="0" applyBorder="1" applyAlignment="1">
      <alignment horizontal="left" wrapText="1"/>
    </xf>
    <xf numFmtId="0" fontId="0" fillId="0" borderId="21" xfId="0" applyBorder="1"/>
    <xf numFmtId="0" fontId="0" fillId="0" borderId="14" xfId="0" applyBorder="1" applyAlignment="1">
      <alignment horizontal="center" vertical="center"/>
    </xf>
    <xf numFmtId="1" fontId="0" fillId="0" borderId="12" xfId="0" applyNumberFormat="1" applyBorder="1" applyAlignment="1" applyProtection="1">
      <alignment horizontal="center" vertical="center"/>
      <protection locked="0"/>
    </xf>
    <xf numFmtId="0" fontId="28" fillId="0" borderId="15" xfId="0" applyFont="1" applyBorder="1" applyAlignment="1">
      <alignment horizontal="center" vertical="center"/>
    </xf>
    <xf numFmtId="0" fontId="28" fillId="0" borderId="27" xfId="0" applyFont="1" applyBorder="1" applyAlignment="1">
      <alignment horizontal="center" vertical="center"/>
    </xf>
    <xf numFmtId="0" fontId="33" fillId="0" borderId="15" xfId="0" applyFont="1" applyBorder="1" applyAlignment="1">
      <alignment wrapText="1"/>
    </xf>
    <xf numFmtId="0" fontId="26" fillId="0" borderId="12" xfId="0" applyFont="1" applyBorder="1" applyAlignment="1">
      <alignment horizontal="left" vertical="center" wrapText="1"/>
    </xf>
    <xf numFmtId="1" fontId="0" fillId="0" borderId="16" xfId="0" applyNumberFormat="1" applyBorder="1" applyAlignment="1">
      <alignment horizontal="center" vertical="center"/>
    </xf>
    <xf numFmtId="0" fontId="15" fillId="0" borderId="12" xfId="0" applyFont="1" applyBorder="1" applyAlignment="1">
      <alignment vertical="center" wrapText="1"/>
    </xf>
    <xf numFmtId="0" fontId="15" fillId="0" borderId="12" xfId="0" applyFont="1" applyBorder="1" applyAlignment="1">
      <alignment horizontal="left" vertical="center" wrapText="1"/>
    </xf>
    <xf numFmtId="0" fontId="0" fillId="0" borderId="23" xfId="0" applyBorder="1" applyAlignment="1">
      <alignment vertical="top"/>
    </xf>
    <xf numFmtId="0" fontId="0" fillId="0" borderId="23" xfId="0" quotePrefix="1" applyBorder="1" applyAlignment="1">
      <alignment vertical="top" wrapText="1"/>
    </xf>
    <xf numFmtId="0" fontId="3" fillId="0" borderId="17" xfId="0" quotePrefix="1" applyFont="1" applyBorder="1" applyAlignment="1">
      <alignment vertical="center" wrapText="1"/>
    </xf>
    <xf numFmtId="0" fontId="0" fillId="0" borderId="28" xfId="0" applyBorder="1" applyAlignment="1">
      <alignment vertical="top"/>
    </xf>
    <xf numFmtId="0" fontId="3" fillId="0" borderId="16" xfId="0" applyFont="1" applyBorder="1" applyAlignment="1">
      <alignment vertical="center" wrapText="1"/>
    </xf>
    <xf numFmtId="0" fontId="24" fillId="0" borderId="15" xfId="0" quotePrefix="1" applyFont="1" applyBorder="1" applyAlignment="1">
      <alignment wrapText="1"/>
    </xf>
    <xf numFmtId="0" fontId="0" fillId="0" borderId="15" xfId="0" applyBorder="1" applyAlignment="1">
      <alignment vertical="top"/>
    </xf>
    <xf numFmtId="0" fontId="0" fillId="0" borderId="13" xfId="0" quotePrefix="1" applyBorder="1" applyAlignment="1">
      <alignment vertical="center" wrapText="1"/>
    </xf>
    <xf numFmtId="0" fontId="3" fillId="0" borderId="13" xfId="0" quotePrefix="1" applyFont="1" applyBorder="1" applyAlignment="1">
      <alignment vertical="center" wrapText="1"/>
    </xf>
    <xf numFmtId="0" fontId="3" fillId="0" borderId="17" xfId="0" quotePrefix="1" applyFont="1" applyBorder="1" applyAlignment="1" applyProtection="1">
      <alignment horizontal="left" wrapText="1"/>
      <protection locked="0"/>
    </xf>
    <xf numFmtId="0" fontId="15" fillId="0" borderId="15" xfId="0" applyFont="1" applyBorder="1"/>
    <xf numFmtId="0" fontId="0" fillId="0" borderId="21" xfId="0" applyBorder="1" applyAlignment="1">
      <alignment vertical="top" wrapText="1"/>
    </xf>
    <xf numFmtId="0" fontId="3" fillId="0" borderId="15" xfId="0" applyFont="1" applyBorder="1" applyAlignment="1" applyProtection="1">
      <alignment horizontal="left" wrapText="1"/>
      <protection locked="0"/>
    </xf>
    <xf numFmtId="0" fontId="4" fillId="0" borderId="15" xfId="0" quotePrefix="1" applyFont="1" applyBorder="1" applyAlignment="1">
      <alignment vertical="top" wrapText="1"/>
    </xf>
    <xf numFmtId="0" fontId="3" fillId="0" borderId="13" xfId="0" applyFont="1" applyBorder="1" applyAlignment="1" applyProtection="1">
      <alignment horizontal="left" wrapText="1"/>
      <protection locked="0"/>
    </xf>
    <xf numFmtId="0" fontId="24" fillId="0" borderId="0" xfId="0" applyFont="1" applyAlignment="1">
      <alignment wrapText="1"/>
    </xf>
    <xf numFmtId="0" fontId="3" fillId="0" borderId="17" xfId="0" quotePrefix="1" applyFont="1" applyBorder="1" applyAlignment="1">
      <alignment horizontal="left" vertical="center" wrapText="1"/>
    </xf>
    <xf numFmtId="0" fontId="3" fillId="0" borderId="17" xfId="0" applyFont="1" applyBorder="1" applyAlignment="1">
      <alignment horizontal="center" vertical="center"/>
    </xf>
    <xf numFmtId="0" fontId="0" fillId="0" borderId="21" xfId="0" applyBorder="1" applyAlignment="1">
      <alignment horizontal="center"/>
    </xf>
    <xf numFmtId="0" fontId="24" fillId="0" borderId="21" xfId="0" applyFont="1" applyBorder="1" applyAlignment="1">
      <alignment wrapText="1"/>
    </xf>
    <xf numFmtId="0" fontId="24" fillId="0" borderId="15" xfId="0" applyFont="1" applyBorder="1" applyAlignment="1">
      <alignment wrapText="1"/>
    </xf>
    <xf numFmtId="0" fontId="3" fillId="0" borderId="15" xfId="0" quotePrefix="1" applyFont="1" applyBorder="1" applyAlignment="1">
      <alignment horizontal="left" vertical="center" wrapText="1"/>
    </xf>
    <xf numFmtId="0" fontId="3" fillId="0" borderId="15" xfId="0" applyFont="1" applyBorder="1" applyAlignment="1">
      <alignment horizontal="center" vertical="center"/>
    </xf>
    <xf numFmtId="1" fontId="3" fillId="0" borderId="15" xfId="0" applyNumberFormat="1" applyFont="1" applyBorder="1" applyAlignment="1" applyProtection="1">
      <alignment horizontal="center" vertical="center"/>
      <protection locked="0"/>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15" xfId="0" applyFont="1" applyBorder="1"/>
    <xf numFmtId="0" fontId="0" fillId="0" borderId="15" xfId="0" applyBorder="1" applyAlignment="1">
      <alignment horizontal="center" vertical="center"/>
    </xf>
    <xf numFmtId="0" fontId="0" fillId="0" borderId="15" xfId="0" applyBorder="1" applyAlignment="1" applyProtection="1">
      <alignment horizontal="left" wrapText="1"/>
      <protection locked="0"/>
    </xf>
    <xf numFmtId="0" fontId="3" fillId="0" borderId="31" xfId="0" applyFont="1" applyBorder="1" applyAlignment="1">
      <alignment horizontal="left" vertical="center" wrapText="1"/>
    </xf>
    <xf numFmtId="0" fontId="3" fillId="0" borderId="13" xfId="0" applyFont="1" applyBorder="1" applyAlignment="1">
      <alignment horizontal="left" vertical="center" wrapText="1"/>
    </xf>
    <xf numFmtId="0" fontId="4" fillId="0" borderId="29" xfId="0" quotePrefix="1" applyFont="1" applyBorder="1" applyAlignment="1">
      <alignment vertical="top" wrapText="1"/>
    </xf>
    <xf numFmtId="0" fontId="0" fillId="0" borderId="32" xfId="0" applyBorder="1" applyAlignment="1">
      <alignment vertical="top"/>
    </xf>
    <xf numFmtId="0" fontId="3" fillId="0" borderId="29" xfId="0" applyFont="1" applyBorder="1" applyAlignment="1">
      <alignment horizontal="center"/>
    </xf>
    <xf numFmtId="1" fontId="3" fillId="0" borderId="29" xfId="0" applyNumberFormat="1" applyFont="1" applyBorder="1" applyAlignment="1">
      <alignment horizontal="center"/>
    </xf>
    <xf numFmtId="0" fontId="3" fillId="0" borderId="19" xfId="0" applyFont="1" applyBorder="1" applyAlignment="1">
      <alignment horizontal="center" vertical="center"/>
    </xf>
    <xf numFmtId="0" fontId="3" fillId="0" borderId="29" xfId="0" applyFont="1" applyBorder="1" applyAlignment="1">
      <alignment horizontal="left" wrapText="1"/>
    </xf>
    <xf numFmtId="0" fontId="3" fillId="0" borderId="24" xfId="0" applyFont="1" applyBorder="1" applyAlignment="1">
      <alignment horizontal="left" vertical="center" wrapText="1"/>
    </xf>
    <xf numFmtId="0" fontId="3" fillId="0" borderId="25" xfId="0" applyFont="1" applyBorder="1" applyAlignment="1">
      <alignment horizontal="center" vertical="center"/>
    </xf>
    <xf numFmtId="0" fontId="3" fillId="0" borderId="25" xfId="0" applyFont="1" applyBorder="1" applyAlignment="1" applyProtection="1">
      <alignment wrapText="1"/>
      <protection locked="0"/>
    </xf>
    <xf numFmtId="0" fontId="3" fillId="0" borderId="25" xfId="0" applyFont="1" applyBorder="1" applyProtection="1">
      <protection locked="0"/>
    </xf>
    <xf numFmtId="0" fontId="3" fillId="0" borderId="26" xfId="0" applyFont="1" applyBorder="1" applyProtection="1">
      <protection locked="0"/>
    </xf>
    <xf numFmtId="0" fontId="4" fillId="0" borderId="15" xfId="0" applyFont="1" applyBorder="1" applyAlignment="1">
      <alignment wrapText="1"/>
    </xf>
    <xf numFmtId="0" fontId="19" fillId="0" borderId="0" xfId="0" applyFont="1"/>
    <xf numFmtId="0" fontId="3" fillId="0" borderId="17" xfId="0" applyFont="1" applyBorder="1" applyAlignment="1">
      <alignment vertical="center" wrapText="1"/>
    </xf>
    <xf numFmtId="0" fontId="3" fillId="0" borderId="21" xfId="0" applyFont="1" applyBorder="1" applyAlignment="1">
      <alignment horizontal="center" vertical="center"/>
    </xf>
    <xf numFmtId="0" fontId="3" fillId="0" borderId="15" xfId="0" applyFont="1" applyBorder="1" applyAlignment="1">
      <alignment vertical="center" wrapText="1"/>
    </xf>
    <xf numFmtId="0" fontId="3" fillId="0" borderId="15" xfId="0" quotePrefix="1" applyFont="1" applyBorder="1" applyAlignment="1">
      <alignment vertical="center" wrapText="1"/>
    </xf>
    <xf numFmtId="0" fontId="3" fillId="0" borderId="28" xfId="0" applyFont="1" applyBorder="1"/>
    <xf numFmtId="0" fontId="3" fillId="0" borderId="29" xfId="0" applyFont="1" applyBorder="1"/>
    <xf numFmtId="0" fontId="3" fillId="0" borderId="13" xfId="0" applyFont="1" applyBorder="1" applyAlignment="1">
      <alignment vertical="center" wrapText="1"/>
    </xf>
    <xf numFmtId="0" fontId="4" fillId="0" borderId="29" xfId="0" applyFont="1" applyBorder="1" applyAlignment="1">
      <alignment horizontal="left" vertical="top" wrapText="1"/>
    </xf>
    <xf numFmtId="0" fontId="4" fillId="0" borderId="29" xfId="0" applyFont="1" applyBorder="1"/>
    <xf numFmtId="0" fontId="3" fillId="0" borderId="29" xfId="0" applyFont="1" applyBorder="1" applyAlignment="1">
      <alignment horizontal="center" vertical="center"/>
    </xf>
    <xf numFmtId="0" fontId="0" fillId="0" borderId="17" xfId="0" applyBorder="1" applyAlignment="1">
      <alignment vertical="center" wrapText="1"/>
    </xf>
    <xf numFmtId="0" fontId="4" fillId="0" borderId="21" xfId="0" applyFont="1" applyBorder="1" applyAlignment="1">
      <alignment horizontal="left" vertical="top" wrapText="1"/>
    </xf>
    <xf numFmtId="0" fontId="4" fillId="0" borderId="21" xfId="0" applyFont="1" applyBorder="1"/>
    <xf numFmtId="0" fontId="3" fillId="0" borderId="22" xfId="0" applyFont="1" applyBorder="1" applyAlignment="1">
      <alignment horizontal="center"/>
    </xf>
    <xf numFmtId="0" fontId="15" fillId="0" borderId="21" xfId="0" applyFont="1" applyBorder="1" applyAlignment="1">
      <alignment horizontal="left" wrapText="1"/>
    </xf>
    <xf numFmtId="0" fontId="3" fillId="0" borderId="23" xfId="0" applyFont="1" applyBorder="1"/>
    <xf numFmtId="0" fontId="0" fillId="0" borderId="15" xfId="0" quotePrefix="1" applyBorder="1" applyAlignment="1">
      <alignment horizontal="left" vertical="center" wrapText="1"/>
    </xf>
    <xf numFmtId="0" fontId="0" fillId="0" borderId="15" xfId="0" applyBorder="1" applyAlignment="1">
      <alignment vertical="top" wrapText="1"/>
    </xf>
    <xf numFmtId="0" fontId="24" fillId="0" borderId="29" xfId="0" applyFont="1" applyBorder="1" applyAlignment="1">
      <alignment wrapText="1"/>
    </xf>
    <xf numFmtId="0" fontId="0" fillId="0" borderId="29" xfId="0" quotePrefix="1" applyBorder="1" applyAlignment="1">
      <alignment horizontal="left" vertical="center" wrapText="1"/>
    </xf>
    <xf numFmtId="0" fontId="0" fillId="0" borderId="29" xfId="0" applyBorder="1" applyAlignment="1">
      <alignment vertical="top" wrapText="1"/>
    </xf>
    <xf numFmtId="0" fontId="0" fillId="0" borderId="29" xfId="0" applyBorder="1" applyAlignment="1">
      <alignment horizontal="center"/>
    </xf>
    <xf numFmtId="0" fontId="26" fillId="0" borderId="21" xfId="0" quotePrefix="1" applyFont="1" applyBorder="1" applyAlignment="1">
      <alignment horizontal="left" vertical="center" wrapText="1"/>
    </xf>
    <xf numFmtId="0" fontId="27" fillId="0" borderId="21" xfId="0" quotePrefix="1" applyFont="1" applyBorder="1" applyAlignment="1">
      <alignment wrapText="1"/>
    </xf>
    <xf numFmtId="0" fontId="3" fillId="0" borderId="27" xfId="0" applyFont="1" applyBorder="1"/>
    <xf numFmtId="0" fontId="26" fillId="0" borderId="27" xfId="0" quotePrefix="1" applyFont="1" applyBorder="1" applyAlignment="1">
      <alignment horizontal="left" vertical="center" wrapText="1"/>
    </xf>
    <xf numFmtId="0" fontId="27" fillId="0" borderId="15" xfId="0" quotePrefix="1" applyFont="1" applyBorder="1" applyAlignment="1">
      <alignment wrapText="1"/>
    </xf>
    <xf numFmtId="0" fontId="0" fillId="0" borderId="23" xfId="0" applyBorder="1" applyAlignment="1">
      <alignment horizontal="center" vertical="center"/>
    </xf>
    <xf numFmtId="1" fontId="0" fillId="0" borderId="15" xfId="0" applyNumberFormat="1" applyBorder="1" applyAlignment="1">
      <alignment horizontal="center" vertical="center"/>
    </xf>
    <xf numFmtId="0" fontId="0" fillId="0" borderId="29" xfId="0" applyBorder="1" applyAlignment="1">
      <alignment vertical="center" wrapText="1"/>
    </xf>
    <xf numFmtId="0" fontId="26" fillId="0" borderId="29" xfId="0" quotePrefix="1" applyFont="1" applyBorder="1" applyAlignment="1">
      <alignment horizontal="left" vertical="center" wrapText="1"/>
    </xf>
    <xf numFmtId="0" fontId="27" fillId="0" borderId="29" xfId="0" quotePrefix="1" applyFont="1" applyBorder="1" applyAlignment="1">
      <alignment wrapText="1"/>
    </xf>
    <xf numFmtId="0" fontId="22" fillId="0" borderId="15" xfId="0" applyFont="1" applyBorder="1" applyAlignment="1">
      <alignment wrapText="1"/>
    </xf>
    <xf numFmtId="0" fontId="15" fillId="0" borderId="15" xfId="0" applyFont="1" applyBorder="1" applyAlignment="1">
      <alignment vertical="center" wrapText="1"/>
    </xf>
    <xf numFmtId="0" fontId="26" fillId="0" borderId="15" xfId="0" quotePrefix="1" applyFont="1" applyBorder="1" applyAlignment="1">
      <alignment horizontal="left" vertical="center" wrapText="1"/>
    </xf>
    <xf numFmtId="0" fontId="31" fillId="0" borderId="15" xfId="0" applyFont="1" applyBorder="1" applyAlignment="1">
      <alignment wrapText="1"/>
    </xf>
    <xf numFmtId="0" fontId="15" fillId="0" borderId="15" xfId="0" applyFont="1" applyBorder="1" applyAlignment="1">
      <alignment wrapText="1"/>
    </xf>
    <xf numFmtId="0" fontId="35" fillId="0" borderId="15" xfId="0" applyFont="1" applyBorder="1" applyAlignment="1">
      <alignment horizontal="center" vertical="center" wrapText="1"/>
    </xf>
    <xf numFmtId="0" fontId="0" fillId="0" borderId="21" xfId="0" applyBorder="1" applyAlignment="1">
      <alignment horizontal="center" vertical="center"/>
    </xf>
    <xf numFmtId="0" fontId="4" fillId="0" borderId="28" xfId="0" quotePrefix="1" applyFont="1" applyBorder="1" applyAlignment="1">
      <alignment vertical="top" wrapText="1"/>
    </xf>
    <xf numFmtId="0" fontId="0" fillId="0" borderId="30" xfId="0" applyBorder="1" applyAlignment="1">
      <alignment vertical="top"/>
    </xf>
    <xf numFmtId="0" fontId="0" fillId="0" borderId="28" xfId="0" applyBorder="1" applyAlignment="1">
      <alignment horizontal="center" vertical="center"/>
    </xf>
    <xf numFmtId="0" fontId="28" fillId="0" borderId="21" xfId="0" applyFont="1" applyBorder="1" applyAlignment="1">
      <alignment horizontal="center" vertical="center"/>
    </xf>
    <xf numFmtId="0" fontId="22" fillId="0" borderId="22" xfId="0" applyFont="1" applyBorder="1" applyAlignment="1">
      <alignment wrapText="1"/>
    </xf>
    <xf numFmtId="0" fontId="0" fillId="0" borderId="15" xfId="0" quotePrefix="1" applyBorder="1" applyAlignment="1">
      <alignment vertical="center" wrapText="1"/>
    </xf>
    <xf numFmtId="0" fontId="3" fillId="0" borderId="27" xfId="0" applyFont="1" applyBorder="1" applyAlignment="1">
      <alignment horizontal="left" wrapText="1"/>
    </xf>
    <xf numFmtId="0" fontId="4" fillId="0" borderId="21" xfId="0" quotePrefix="1" applyFont="1" applyBorder="1" applyAlignment="1">
      <alignment vertical="top" wrapText="1"/>
    </xf>
    <xf numFmtId="1" fontId="0" fillId="0" borderId="21" xfId="0" applyNumberFormat="1" applyBorder="1" applyAlignment="1">
      <alignment horizontal="center"/>
    </xf>
    <xf numFmtId="0" fontId="3" fillId="0" borderId="22" xfId="0" applyFont="1" applyBorder="1" applyAlignment="1">
      <alignment horizontal="left" wrapText="1"/>
    </xf>
    <xf numFmtId="0" fontId="0" fillId="0" borderId="21" xfId="0" applyBorder="1" applyAlignment="1">
      <alignment wrapText="1"/>
    </xf>
    <xf numFmtId="0" fontId="0" fillId="0" borderId="21" xfId="0" quotePrefix="1" applyBorder="1" applyAlignment="1">
      <alignment vertical="center" wrapText="1"/>
    </xf>
    <xf numFmtId="0" fontId="4" fillId="0" borderId="21" xfId="0" applyFont="1" applyBorder="1" applyAlignment="1">
      <alignment wrapText="1"/>
    </xf>
    <xf numFmtId="0" fontId="19" fillId="0" borderId="15" xfId="0" applyFont="1" applyBorder="1"/>
    <xf numFmtId="1" fontId="3" fillId="0" borderId="27" xfId="0" applyNumberFormat="1" applyFont="1" applyBorder="1" applyAlignment="1">
      <alignment horizontal="center"/>
    </xf>
    <xf numFmtId="0" fontId="1" fillId="0" borderId="12" xfId="0" applyFont="1" applyBorder="1" applyAlignment="1" applyProtection="1">
      <alignment horizontal="center" vertical="top"/>
      <protection locked="0"/>
    </xf>
    <xf numFmtId="0" fontId="1" fillId="0" borderId="12" xfId="0" applyFont="1" applyBorder="1" applyAlignment="1" applyProtection="1">
      <alignment horizontal="center" vertical="top" wrapText="1"/>
      <protection locked="0"/>
    </xf>
    <xf numFmtId="1" fontId="1" fillId="0" borderId="12" xfId="0" applyNumberFormat="1" applyFont="1" applyBorder="1" applyAlignment="1" applyProtection="1">
      <alignment horizontal="center" vertical="top" wrapText="1"/>
      <protection locked="0"/>
    </xf>
    <xf numFmtId="0" fontId="1" fillId="0" borderId="12" xfId="0" applyFont="1" applyBorder="1" applyAlignment="1" applyProtection="1">
      <alignment horizontal="left" vertical="top" wrapText="1"/>
      <protection locked="0"/>
    </xf>
    <xf numFmtId="1" fontId="3" fillId="0" borderId="12" xfId="0" applyNumberFormat="1" applyFont="1" applyBorder="1" applyAlignment="1">
      <alignment horizontal="center" vertical="top"/>
    </xf>
    <xf numFmtId="0" fontId="3" fillId="0" borderId="15" xfId="0" quotePrefix="1" applyFont="1" applyBorder="1" applyAlignment="1" applyProtection="1">
      <alignment horizontal="left" vertical="top" wrapText="1"/>
      <protection locked="0"/>
    </xf>
    <xf numFmtId="0" fontId="9" fillId="0" borderId="14" xfId="0" quotePrefix="1" applyFont="1" applyBorder="1" applyAlignment="1" applyProtection="1">
      <alignment horizontal="left" vertical="top" wrapText="1"/>
      <protection locked="0"/>
    </xf>
    <xf numFmtId="0" fontId="9" fillId="0" borderId="14" xfId="0" applyFont="1" applyBorder="1" applyAlignment="1">
      <alignment vertical="top" wrapText="1"/>
    </xf>
    <xf numFmtId="0" fontId="0" fillId="0" borderId="12" xfId="0" applyBorder="1" applyAlignment="1">
      <alignment vertical="top" wrapText="1"/>
    </xf>
    <xf numFmtId="0" fontId="0" fillId="0" borderId="0" xfId="0" applyAlignment="1">
      <alignment vertical="top" wrapText="1"/>
    </xf>
    <xf numFmtId="0" fontId="3" fillId="0" borderId="17" xfId="0" quotePrefix="1" applyFont="1" applyBorder="1" applyAlignment="1" applyProtection="1">
      <alignment horizontal="left" vertical="top" wrapText="1"/>
      <protection locked="0"/>
    </xf>
    <xf numFmtId="0" fontId="9" fillId="0" borderId="12" xfId="0" quotePrefix="1" applyFont="1" applyBorder="1" applyAlignment="1" applyProtection="1">
      <alignment horizontal="left" vertical="top" wrapText="1"/>
      <protection locked="0"/>
    </xf>
    <xf numFmtId="0" fontId="3" fillId="0" borderId="14" xfId="0" applyFont="1" applyBorder="1" applyAlignment="1" applyProtection="1">
      <alignment vertical="top" wrapText="1"/>
      <protection locked="0"/>
    </xf>
    <xf numFmtId="0" fontId="0" fillId="0" borderId="15" xfId="0" applyBorder="1" applyAlignment="1">
      <alignment horizontal="left" vertical="top" wrapText="1"/>
    </xf>
    <xf numFmtId="0" fontId="3" fillId="0" borderId="18" xfId="0" applyFont="1" applyBorder="1" applyAlignment="1" applyProtection="1">
      <alignment vertical="top" wrapText="1"/>
      <protection locked="0"/>
    </xf>
    <xf numFmtId="0" fontId="15" fillId="0" borderId="15" xfId="0" quotePrefix="1" applyFont="1" applyBorder="1" applyAlignment="1" applyProtection="1">
      <alignment horizontal="left" vertical="top" wrapText="1"/>
      <protection locked="0"/>
    </xf>
    <xf numFmtId="0" fontId="11" fillId="0" borderId="14" xfId="0" applyFont="1" applyBorder="1" applyAlignment="1" applyProtection="1">
      <alignment vertical="top" wrapText="1"/>
      <protection locked="0"/>
    </xf>
    <xf numFmtId="0" fontId="30" fillId="0" borderId="12" xfId="0" quotePrefix="1" applyFont="1" applyBorder="1" applyAlignment="1" applyProtection="1">
      <alignment horizontal="left" vertical="top" wrapText="1"/>
      <protection locked="0"/>
    </xf>
    <xf numFmtId="0" fontId="9" fillId="0" borderId="12" xfId="0" applyFont="1" applyBorder="1" applyAlignment="1" applyProtection="1">
      <alignment vertical="top" wrapText="1"/>
      <protection locked="0"/>
    </xf>
    <xf numFmtId="0" fontId="10" fillId="0" borderId="12" xfId="0" quotePrefix="1" applyFont="1" applyBorder="1" applyAlignment="1" applyProtection="1">
      <alignment horizontal="left" vertical="top" wrapText="1"/>
      <protection locked="0"/>
    </xf>
    <xf numFmtId="0" fontId="9" fillId="0" borderId="12" xfId="0" applyFont="1" applyBorder="1" applyAlignment="1">
      <alignment vertical="top"/>
    </xf>
    <xf numFmtId="0" fontId="3" fillId="0" borderId="12" xfId="0" quotePrefix="1" applyFont="1" applyBorder="1" applyAlignment="1" applyProtection="1">
      <alignment horizontal="left" vertical="top" wrapText="1"/>
      <protection locked="0"/>
    </xf>
    <xf numFmtId="0" fontId="3" fillId="0" borderId="12" xfId="0" applyFont="1" applyBorder="1" applyAlignment="1">
      <alignment vertical="top" wrapText="1"/>
    </xf>
    <xf numFmtId="0" fontId="9" fillId="0" borderId="12" xfId="0" applyFont="1" applyBorder="1" applyAlignment="1" applyProtection="1">
      <alignment horizontal="left" vertical="top" wrapText="1"/>
      <protection locked="0"/>
    </xf>
    <xf numFmtId="0" fontId="3" fillId="0" borderId="12" xfId="0" applyFont="1" applyBorder="1" applyAlignment="1">
      <alignment vertical="top"/>
    </xf>
    <xf numFmtId="0" fontId="9" fillId="0" borderId="12" xfId="0" applyFont="1" applyBorder="1" applyAlignment="1">
      <alignment vertical="top" wrapText="1"/>
    </xf>
    <xf numFmtId="0" fontId="21" fillId="0" borderId="12" xfId="0" applyFont="1" applyBorder="1" applyAlignment="1">
      <alignment horizontal="left" vertical="top" wrapText="1"/>
    </xf>
    <xf numFmtId="0" fontId="15" fillId="0" borderId="12" xfId="0" applyFont="1" applyBorder="1" applyAlignment="1">
      <alignment horizontal="left" vertical="top" wrapText="1"/>
    </xf>
    <xf numFmtId="0" fontId="4" fillId="0" borderId="12" xfId="0" applyFont="1" applyBorder="1" applyAlignment="1">
      <alignment vertical="top"/>
    </xf>
    <xf numFmtId="0" fontId="9" fillId="0" borderId="13" xfId="0" applyFont="1" applyBorder="1" applyAlignment="1">
      <alignment vertical="top"/>
    </xf>
    <xf numFmtId="0" fontId="3" fillId="0" borderId="13" xfId="0" applyFont="1" applyBorder="1" applyAlignment="1">
      <alignment vertical="top"/>
    </xf>
    <xf numFmtId="0" fontId="3" fillId="0" borderId="14" xfId="0" applyFont="1" applyBorder="1" applyAlignment="1">
      <alignment horizontal="left" vertical="top" wrapText="1"/>
    </xf>
    <xf numFmtId="0" fontId="4" fillId="0" borderId="13" xfId="0" applyFont="1" applyBorder="1" applyAlignment="1">
      <alignment vertical="top"/>
    </xf>
    <xf numFmtId="0" fontId="3" fillId="0" borderId="13" xfId="0" applyFont="1" applyBorder="1" applyAlignment="1">
      <alignment horizontal="center" vertical="top"/>
    </xf>
    <xf numFmtId="1" fontId="3" fillId="0" borderId="13" xfId="0" applyNumberFormat="1" applyFont="1" applyBorder="1" applyAlignment="1">
      <alignment horizontal="center" vertical="top"/>
    </xf>
    <xf numFmtId="0" fontId="13" fillId="0" borderId="12" xfId="0" applyFont="1" applyBorder="1" applyAlignment="1">
      <alignment vertical="top"/>
    </xf>
    <xf numFmtId="0" fontId="4" fillId="0" borderId="12" xfId="0" applyFont="1" applyBorder="1" applyAlignment="1">
      <alignment vertical="top" wrapText="1"/>
    </xf>
    <xf numFmtId="0" fontId="15" fillId="0" borderId="12" xfId="0" applyFont="1" applyBorder="1" applyAlignment="1">
      <alignment horizontal="center" vertical="top"/>
    </xf>
    <xf numFmtId="0" fontId="3" fillId="0" borderId="14" xfId="0" quotePrefix="1" applyFont="1" applyBorder="1" applyAlignment="1">
      <alignment horizontal="left" vertical="top" wrapText="1"/>
    </xf>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horizontal="center" vertical="top"/>
    </xf>
    <xf numFmtId="1" fontId="3" fillId="0" borderId="0" xfId="0" applyNumberFormat="1" applyFont="1" applyAlignment="1">
      <alignment horizontal="center" vertical="top"/>
    </xf>
    <xf numFmtId="0" fontId="3" fillId="0" borderId="0" xfId="0" applyFont="1" applyAlignment="1">
      <alignment horizontal="left" vertical="top" wrapText="1"/>
    </xf>
    <xf numFmtId="0" fontId="38" fillId="0" borderId="0" xfId="0" applyFont="1" applyAlignment="1">
      <alignment vertical="top" wrapText="1"/>
    </xf>
    <xf numFmtId="0" fontId="0" fillId="12" borderId="15" xfId="0" applyFill="1" applyBorder="1" applyAlignment="1">
      <alignment wrapText="1"/>
    </xf>
    <xf numFmtId="0" fontId="15" fillId="12" borderId="12" xfId="0" quotePrefix="1" applyFont="1" applyFill="1" applyBorder="1" applyAlignment="1">
      <alignment horizontal="left" vertical="center" wrapText="1"/>
    </xf>
    <xf numFmtId="0" fontId="3" fillId="12" borderId="15" xfId="0" quotePrefix="1" applyFont="1" applyFill="1" applyBorder="1" applyAlignment="1">
      <alignment horizontal="left" vertical="top" wrapText="1"/>
    </xf>
    <xf numFmtId="1" fontId="3" fillId="12" borderId="12" xfId="0" applyNumberFormat="1" applyFont="1" applyFill="1" applyBorder="1" applyAlignment="1" applyProtection="1">
      <alignment horizontal="center" vertical="center"/>
      <protection locked="0"/>
    </xf>
    <xf numFmtId="1" fontId="3" fillId="12" borderId="12" xfId="0" applyNumberFormat="1" applyFont="1" applyFill="1" applyBorder="1" applyAlignment="1" applyProtection="1">
      <alignment horizontal="center" vertical="top"/>
      <protection locked="0"/>
    </xf>
    <xf numFmtId="0" fontId="39" fillId="0" borderId="15" xfId="0" applyFont="1" applyBorder="1"/>
    <xf numFmtId="0" fontId="3" fillId="12" borderId="16" xfId="0" applyFont="1" applyFill="1" applyBorder="1" applyAlignment="1">
      <alignment horizontal="center" vertical="center"/>
    </xf>
    <xf numFmtId="0" fontId="3" fillId="12" borderId="16" xfId="0" applyFont="1" applyFill="1" applyBorder="1" applyAlignment="1">
      <alignment horizontal="center" vertical="top"/>
    </xf>
    <xf numFmtId="0" fontId="1" fillId="0" borderId="17" xfId="0" applyFont="1" applyBorder="1" applyAlignment="1" applyProtection="1">
      <alignment horizontal="left" wrapText="1"/>
      <protection locked="0"/>
    </xf>
    <xf numFmtId="0" fontId="3" fillId="0" borderId="15" xfId="0" applyFont="1" applyBorder="1" applyAlignment="1">
      <alignment vertical="top"/>
    </xf>
    <xf numFmtId="0" fontId="3" fillId="0" borderId="16" xfId="0" applyFont="1" applyBorder="1" applyAlignment="1" applyProtection="1">
      <alignment vertical="top"/>
      <protection locked="0"/>
    </xf>
    <xf numFmtId="0" fontId="3" fillId="0" borderId="16" xfId="0" applyFont="1" applyBorder="1" applyAlignment="1">
      <alignment vertical="top"/>
    </xf>
    <xf numFmtId="0" fontId="40" fillId="13" borderId="15" xfId="0" applyFont="1" applyFill="1" applyBorder="1" applyAlignment="1">
      <alignment vertical="top" wrapText="1"/>
    </xf>
    <xf numFmtId="0" fontId="36" fillId="13" borderId="15" xfId="0" applyFont="1" applyFill="1" applyBorder="1" applyAlignment="1">
      <alignment vertical="top" wrapText="1"/>
    </xf>
    <xf numFmtId="0" fontId="0" fillId="13" borderId="15" xfId="0" quotePrefix="1" applyFill="1" applyBorder="1" applyAlignment="1">
      <alignment vertical="top" wrapText="1"/>
    </xf>
    <xf numFmtId="0" fontId="3" fillId="0" borderId="12" xfId="0" applyFont="1" applyBorder="1" applyAlignment="1" applyProtection="1">
      <alignment horizontal="left"/>
      <protection locked="0"/>
    </xf>
    <xf numFmtId="0" fontId="3" fillId="0" borderId="33" xfId="0" applyFont="1" applyBorder="1" applyAlignment="1">
      <alignment horizontal="left" vertical="top" wrapText="1"/>
    </xf>
    <xf numFmtId="0" fontId="3" fillId="0" borderId="36" xfId="0" applyFont="1" applyBorder="1" applyAlignment="1">
      <alignment horizontal="left" vertical="top" wrapText="1"/>
    </xf>
    <xf numFmtId="0" fontId="3" fillId="0" borderId="37" xfId="0" applyFont="1" applyBorder="1" applyAlignment="1">
      <alignment horizontal="center" vertical="top"/>
    </xf>
    <xf numFmtId="0" fontId="3" fillId="13" borderId="36" xfId="0" applyFont="1" applyFill="1" applyBorder="1" applyAlignment="1">
      <alignment horizontal="left" vertical="top" wrapText="1"/>
    </xf>
    <xf numFmtId="0" fontId="0" fillId="13" borderId="15" xfId="0" applyFill="1" applyBorder="1" applyAlignment="1">
      <alignment vertical="top"/>
    </xf>
    <xf numFmtId="0" fontId="0" fillId="13" borderId="15" xfId="0" quotePrefix="1" applyFill="1" applyBorder="1" applyAlignment="1">
      <alignment horizontal="left" vertical="top" wrapText="1"/>
    </xf>
    <xf numFmtId="0" fontId="0" fillId="13" borderId="15" xfId="0" applyFill="1" applyBorder="1" applyAlignment="1">
      <alignment horizontal="center" vertical="top"/>
    </xf>
    <xf numFmtId="0" fontId="3" fillId="13" borderId="37" xfId="0" applyFont="1" applyFill="1" applyBorder="1" applyAlignment="1">
      <alignment horizontal="center" vertical="top"/>
    </xf>
    <xf numFmtId="1" fontId="3" fillId="13" borderId="15" xfId="0" applyNumberFormat="1" applyFont="1" applyFill="1" applyBorder="1" applyAlignment="1">
      <alignment horizontal="center" vertical="top"/>
    </xf>
    <xf numFmtId="0" fontId="37" fillId="11" borderId="15" xfId="0" applyFont="1" applyFill="1" applyBorder="1" applyAlignment="1">
      <alignment horizontal="left" vertical="top" wrapText="1"/>
    </xf>
    <xf numFmtId="0" fontId="0" fillId="13" borderId="15" xfId="0" applyFill="1" applyBorder="1" applyAlignment="1">
      <alignment horizontal="left" vertical="top" wrapText="1"/>
    </xf>
    <xf numFmtId="0" fontId="0" fillId="13" borderId="15" xfId="0" applyFill="1" applyBorder="1" applyAlignment="1">
      <alignment vertical="top" wrapText="1"/>
    </xf>
    <xf numFmtId="0" fontId="3" fillId="0" borderId="38" xfId="0" applyFont="1" applyBorder="1" applyAlignment="1">
      <alignment horizontal="left" vertical="top" wrapText="1"/>
    </xf>
    <xf numFmtId="0" fontId="0" fillId="0" borderId="39" xfId="0" applyBorder="1" applyAlignment="1">
      <alignment vertical="top" wrapText="1"/>
    </xf>
    <xf numFmtId="0" fontId="3" fillId="0" borderId="39" xfId="0" quotePrefix="1" applyFont="1" applyBorder="1" applyAlignment="1">
      <alignment horizontal="left" vertical="top" wrapText="1"/>
    </xf>
    <xf numFmtId="0" fontId="4" fillId="0" borderId="39" xfId="0" applyFont="1" applyBorder="1" applyAlignment="1">
      <alignment vertical="top"/>
    </xf>
    <xf numFmtId="0" fontId="3" fillId="0" borderId="39" xfId="0" applyFont="1" applyBorder="1" applyAlignment="1">
      <alignment horizontal="center" vertical="top"/>
    </xf>
    <xf numFmtId="1" fontId="3" fillId="0" borderId="39" xfId="0" applyNumberFormat="1" applyFont="1" applyBorder="1" applyAlignment="1">
      <alignment horizontal="center" vertical="top"/>
    </xf>
    <xf numFmtId="0" fontId="3" fillId="0" borderId="40" xfId="0" applyFont="1" applyBorder="1" applyAlignment="1">
      <alignment horizontal="center" vertical="top"/>
    </xf>
    <xf numFmtId="0" fontId="0" fillId="12" borderId="15" xfId="0" applyFill="1" applyBorder="1" applyAlignment="1">
      <alignment horizontal="left" vertical="top" wrapText="1"/>
    </xf>
    <xf numFmtId="0" fontId="3" fillId="12" borderId="37" xfId="0" applyFont="1" applyFill="1" applyBorder="1" applyAlignment="1">
      <alignment horizontal="center" vertical="top"/>
    </xf>
    <xf numFmtId="0" fontId="3" fillId="8" borderId="15" xfId="0" applyFont="1" applyFill="1" applyBorder="1" applyAlignment="1">
      <alignment horizontal="center" vertical="top"/>
    </xf>
    <xf numFmtId="1" fontId="3" fillId="8" borderId="15" xfId="0" applyNumberFormat="1" applyFont="1" applyFill="1" applyBorder="1" applyAlignment="1">
      <alignment horizontal="center" vertical="top"/>
    </xf>
    <xf numFmtId="0" fontId="3" fillId="8" borderId="37" xfId="0" applyFont="1" applyFill="1" applyBorder="1" applyAlignment="1">
      <alignment horizontal="center" vertical="top"/>
    </xf>
    <xf numFmtId="0" fontId="0" fillId="8" borderId="15" xfId="0" applyFill="1" applyBorder="1" applyAlignment="1">
      <alignment vertical="top"/>
    </xf>
    <xf numFmtId="0" fontId="3" fillId="8" borderId="15" xfId="0" quotePrefix="1" applyFont="1" applyFill="1" applyBorder="1" applyAlignment="1">
      <alignment horizontal="left" vertical="top" wrapText="1"/>
    </xf>
    <xf numFmtId="0" fontId="4" fillId="8" borderId="15" xfId="0" quotePrefix="1" applyFont="1" applyFill="1" applyBorder="1" applyAlignment="1">
      <alignment vertical="top" wrapText="1"/>
    </xf>
    <xf numFmtId="0" fontId="0" fillId="8" borderId="15" xfId="0" applyFill="1" applyBorder="1" applyAlignment="1">
      <alignment vertical="top" wrapText="1"/>
    </xf>
    <xf numFmtId="0" fontId="0" fillId="8" borderId="15" xfId="0" applyFill="1" applyBorder="1" applyAlignment="1">
      <alignment horizontal="center"/>
    </xf>
    <xf numFmtId="1" fontId="3" fillId="8" borderId="12" xfId="0" applyNumberFormat="1" applyFont="1" applyFill="1" applyBorder="1" applyAlignment="1" applyProtection="1">
      <alignment horizontal="center" vertical="center"/>
      <protection locked="0"/>
    </xf>
    <xf numFmtId="0" fontId="3" fillId="8" borderId="16" xfId="0" applyFont="1" applyFill="1" applyBorder="1" applyAlignment="1">
      <alignment horizontal="center" vertical="center"/>
    </xf>
    <xf numFmtId="0" fontId="0" fillId="15" borderId="15" xfId="0" applyFill="1" applyBorder="1" applyAlignment="1">
      <alignment wrapText="1"/>
    </xf>
    <xf numFmtId="0" fontId="15" fillId="15" borderId="12" xfId="0" quotePrefix="1" applyFont="1" applyFill="1" applyBorder="1" applyAlignment="1">
      <alignment horizontal="left" vertical="center" wrapText="1"/>
    </xf>
    <xf numFmtId="0" fontId="3" fillId="15" borderId="15" xfId="0" quotePrefix="1" applyFont="1" applyFill="1" applyBorder="1" applyAlignment="1">
      <alignment horizontal="left" vertical="top" wrapText="1"/>
    </xf>
    <xf numFmtId="0" fontId="3" fillId="12" borderId="36" xfId="0" applyFont="1" applyFill="1" applyBorder="1" applyAlignment="1">
      <alignment horizontal="left" vertical="top" wrapText="1"/>
    </xf>
    <xf numFmtId="0" fontId="0" fillId="14" borderId="15" xfId="0" applyFill="1" applyBorder="1" applyAlignment="1">
      <alignment wrapText="1"/>
    </xf>
    <xf numFmtId="0" fontId="41" fillId="0" borderId="0" xfId="3"/>
    <xf numFmtId="0" fontId="43" fillId="16" borderId="12" xfId="3" applyFont="1" applyFill="1" applyBorder="1"/>
    <xf numFmtId="0" fontId="44" fillId="0" borderId="0" xfId="3" applyFont="1"/>
    <xf numFmtId="0" fontId="31" fillId="0" borderId="0" xfId="3" applyFont="1"/>
    <xf numFmtId="0" fontId="43" fillId="16" borderId="0" xfId="3" applyFont="1" applyFill="1"/>
    <xf numFmtId="0" fontId="46" fillId="0" borderId="12" xfId="3" applyFont="1" applyBorder="1" applyAlignment="1">
      <alignment vertical="top" wrapText="1" readingOrder="1"/>
    </xf>
    <xf numFmtId="0" fontId="31" fillId="0" borderId="12" xfId="3" applyFont="1" applyBorder="1" applyAlignment="1">
      <alignment vertical="top"/>
    </xf>
    <xf numFmtId="0" fontId="31" fillId="0" borderId="12" xfId="3" applyFont="1" applyBorder="1" applyAlignment="1">
      <alignment vertical="top" wrapText="1"/>
    </xf>
    <xf numFmtId="0" fontId="46" fillId="0" borderId="12" xfId="3" applyFont="1" applyBorder="1" applyAlignment="1">
      <alignment wrapText="1" readingOrder="1"/>
    </xf>
    <xf numFmtId="0" fontId="47" fillId="0" borderId="0" xfId="3" applyFont="1"/>
    <xf numFmtId="0" fontId="20" fillId="0" borderId="18" xfId="2" applyBorder="1"/>
    <xf numFmtId="0" fontId="17" fillId="0" borderId="12" xfId="3" applyFont="1" applyBorder="1" applyAlignment="1">
      <alignment horizontal="center" vertical="center"/>
    </xf>
    <xf numFmtId="14" fontId="17" fillId="0" borderId="14" xfId="3" applyNumberFormat="1" applyFont="1" applyBorder="1" applyAlignment="1">
      <alignment horizontal="center" vertical="center"/>
    </xf>
    <xf numFmtId="0" fontId="17" fillId="0" borderId="14" xfId="3" applyFont="1" applyBorder="1" applyAlignment="1">
      <alignment vertical="center"/>
    </xf>
    <xf numFmtId="0" fontId="17" fillId="0" borderId="13" xfId="3" applyFont="1" applyBorder="1" applyAlignment="1">
      <alignment horizontal="center" vertical="center"/>
    </xf>
    <xf numFmtId="14" fontId="17" fillId="0" borderId="18" xfId="3" applyNumberFormat="1" applyFont="1" applyBorder="1" applyAlignment="1">
      <alignment horizontal="center" vertical="center"/>
    </xf>
    <xf numFmtId="0" fontId="17" fillId="0" borderId="18" xfId="3" applyFont="1" applyBorder="1" applyAlignment="1">
      <alignment vertical="center"/>
    </xf>
    <xf numFmtId="166" fontId="17" fillId="0" borderId="13" xfId="3" applyNumberFormat="1" applyFont="1" applyBorder="1" applyAlignment="1">
      <alignment horizontal="center" vertical="center"/>
    </xf>
    <xf numFmtId="0" fontId="17" fillId="0" borderId="18" xfId="3" applyFont="1" applyBorder="1" applyAlignment="1">
      <alignment horizontal="center" vertical="center"/>
    </xf>
    <xf numFmtId="2" fontId="17" fillId="0" borderId="13" xfId="3" applyNumberFormat="1" applyFont="1" applyBorder="1" applyAlignment="1">
      <alignment horizontal="center" vertical="center"/>
    </xf>
    <xf numFmtId="0" fontId="0" fillId="8" borderId="15" xfId="0" quotePrefix="1" applyFill="1" applyBorder="1" applyAlignment="1">
      <alignment vertical="top" wrapText="1"/>
    </xf>
    <xf numFmtId="0" fontId="0" fillId="8" borderId="15" xfId="0" applyFill="1" applyBorder="1" applyAlignment="1">
      <alignment horizontal="center" vertical="top"/>
    </xf>
    <xf numFmtId="0" fontId="0" fillId="12" borderId="15" xfId="0" quotePrefix="1" applyFill="1" applyBorder="1" applyAlignment="1">
      <alignment vertical="top" wrapText="1"/>
    </xf>
    <xf numFmtId="0" fontId="0" fillId="12" borderId="15" xfId="0" applyFill="1" applyBorder="1" applyAlignment="1">
      <alignment vertical="top"/>
    </xf>
    <xf numFmtId="0" fontId="0" fillId="8" borderId="15" xfId="0" quotePrefix="1" applyFill="1" applyBorder="1" applyAlignment="1">
      <alignment horizontal="left" vertical="top" wrapText="1"/>
    </xf>
    <xf numFmtId="0" fontId="0" fillId="8" borderId="15" xfId="0" applyFill="1" applyBorder="1" applyAlignment="1">
      <alignment wrapText="1"/>
    </xf>
    <xf numFmtId="0" fontId="15" fillId="8" borderId="12" xfId="0" quotePrefix="1" applyFont="1" applyFill="1" applyBorder="1" applyAlignment="1">
      <alignment horizontal="left" vertical="center" wrapText="1"/>
    </xf>
    <xf numFmtId="1" fontId="3" fillId="8" borderId="12" xfId="0" applyNumberFormat="1" applyFont="1" applyFill="1" applyBorder="1" applyAlignment="1" applyProtection="1">
      <alignment horizontal="center" vertical="top"/>
      <protection locked="0"/>
    </xf>
    <xf numFmtId="0" fontId="3" fillId="8" borderId="16" xfId="0" applyFont="1" applyFill="1" applyBorder="1" applyAlignment="1">
      <alignment horizontal="center" vertical="top"/>
    </xf>
    <xf numFmtId="0" fontId="15" fillId="14" borderId="12" xfId="0" quotePrefix="1" applyFont="1" applyFill="1" applyBorder="1" applyAlignment="1">
      <alignment horizontal="left" vertical="center" wrapText="1"/>
    </xf>
    <xf numFmtId="0" fontId="3" fillId="14" borderId="15" xfId="0" quotePrefix="1" applyFont="1" applyFill="1" applyBorder="1" applyAlignment="1">
      <alignment horizontal="left" vertical="top" wrapText="1"/>
    </xf>
    <xf numFmtId="0" fontId="0" fillId="14" borderId="15" xfId="0" applyFill="1" applyBorder="1" applyAlignment="1">
      <alignment horizontal="center"/>
    </xf>
    <xf numFmtId="0" fontId="0" fillId="7" borderId="15" xfId="0" applyFill="1" applyBorder="1" applyAlignment="1">
      <alignment vertical="top"/>
    </xf>
    <xf numFmtId="0" fontId="0" fillId="0" borderId="12" xfId="0" quotePrefix="1" applyBorder="1" applyAlignment="1" applyProtection="1">
      <alignment horizontal="left" vertical="top" wrapText="1"/>
      <protection locked="0"/>
    </xf>
    <xf numFmtId="0" fontId="0" fillId="8" borderId="34" xfId="0" applyFill="1" applyBorder="1" applyAlignment="1">
      <alignment vertical="top"/>
    </xf>
    <xf numFmtId="0" fontId="3" fillId="8" borderId="35" xfId="0" applyFont="1" applyFill="1" applyBorder="1" applyAlignment="1">
      <alignment horizontal="center" vertical="top"/>
    </xf>
    <xf numFmtId="0" fontId="0" fillId="8" borderId="34" xfId="0" quotePrefix="1" applyFill="1" applyBorder="1" applyAlignment="1">
      <alignment horizontal="left" vertical="top" wrapText="1"/>
    </xf>
    <xf numFmtId="0" fontId="12" fillId="0" borderId="12" xfId="0" applyFont="1" applyBorder="1" applyAlignment="1" applyProtection="1">
      <alignment vertical="top" wrapText="1"/>
      <protection locked="0"/>
    </xf>
    <xf numFmtId="0" fontId="33" fillId="8" borderId="15" xfId="0" applyFont="1" applyFill="1" applyBorder="1" applyAlignment="1">
      <alignment wrapText="1"/>
    </xf>
    <xf numFmtId="0" fontId="36" fillId="8" borderId="15" xfId="0" applyFont="1" applyFill="1" applyBorder="1" applyAlignment="1">
      <alignment vertical="top" wrapText="1"/>
    </xf>
    <xf numFmtId="0" fontId="22" fillId="8" borderId="15" xfId="0" applyFont="1" applyFill="1" applyBorder="1" applyAlignment="1">
      <alignment wrapText="1"/>
    </xf>
    <xf numFmtId="0" fontId="22" fillId="8" borderId="15" xfId="0" applyFont="1" applyFill="1" applyBorder="1"/>
    <xf numFmtId="0" fontId="36" fillId="8" borderId="15" xfId="0" quotePrefix="1" applyFont="1" applyFill="1" applyBorder="1" applyAlignment="1">
      <alignment wrapText="1"/>
    </xf>
    <xf numFmtId="0" fontId="22" fillId="8" borderId="15" xfId="0" quotePrefix="1" applyFont="1" applyFill="1" applyBorder="1" applyAlignment="1">
      <alignment wrapText="1"/>
    </xf>
    <xf numFmtId="0" fontId="3" fillId="8" borderId="36" xfId="0" applyFont="1" applyFill="1" applyBorder="1" applyAlignment="1">
      <alignment horizontal="left" vertical="top" wrapText="1"/>
    </xf>
    <xf numFmtId="0" fontId="49" fillId="0" borderId="12" xfId="3" applyFont="1" applyBorder="1" applyAlignment="1">
      <alignment vertical="top" wrapText="1" readingOrder="1"/>
    </xf>
    <xf numFmtId="0" fontId="45" fillId="17" borderId="12" xfId="3" applyFont="1" applyFill="1" applyBorder="1"/>
    <xf numFmtId="0" fontId="17" fillId="0" borderId="12"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42" fillId="16" borderId="12" xfId="3" applyFont="1" applyFill="1" applyBorder="1" applyAlignment="1"/>
    <xf numFmtId="0" fontId="42" fillId="16" borderId="16" xfId="3" applyFont="1" applyFill="1" applyBorder="1" applyAlignment="1"/>
    <xf numFmtId="0" fontId="42" fillId="16" borderId="41" xfId="3" applyFont="1" applyFill="1" applyBorder="1" applyAlignment="1"/>
    <xf numFmtId="0" fontId="48" fillId="0" borderId="16" xfId="3" applyFont="1" applyBorder="1" applyAlignment="1"/>
    <xf numFmtId="0" fontId="48" fillId="0" borderId="41" xfId="3" applyFont="1" applyBorder="1" applyAlignment="1"/>
    <xf numFmtId="0" fontId="45" fillId="17" borderId="16" xfId="3" applyFont="1" applyFill="1" applyBorder="1" applyAlignment="1"/>
    <xf numFmtId="0" fontId="45" fillId="17" borderId="41" xfId="3" applyFont="1" applyFill="1" applyBorder="1" applyAlignment="1"/>
    <xf numFmtId="0" fontId="0" fillId="0" borderId="2" xfId="0" applyBorder="1" applyAlignment="1"/>
    <xf numFmtId="0" fontId="4" fillId="8" borderId="15" xfId="0" quotePrefix="1" applyFont="1" applyFill="1" applyBorder="1" applyAlignment="1">
      <alignment horizontal="left" vertical="top" wrapText="1"/>
    </xf>
    <xf numFmtId="0" fontId="15" fillId="0" borderId="12" xfId="0" quotePrefix="1" applyFont="1" applyBorder="1" applyAlignment="1" applyProtection="1">
      <alignment horizontal="left" vertical="top" wrapText="1"/>
      <protection locked="0"/>
    </xf>
    <xf numFmtId="0" fontId="15" fillId="8" borderId="15" xfId="0" quotePrefix="1" applyFont="1" applyFill="1" applyBorder="1" applyAlignment="1">
      <alignment horizontal="left" vertical="top" wrapText="1"/>
    </xf>
    <xf numFmtId="0" fontId="15" fillId="7" borderId="15" xfId="0" quotePrefix="1" applyFont="1" applyFill="1" applyBorder="1" applyAlignment="1">
      <alignment vertical="top" wrapText="1"/>
    </xf>
    <xf numFmtId="0" fontId="4" fillId="8" borderId="15" xfId="0" applyFont="1" applyFill="1" applyBorder="1" applyAlignment="1">
      <alignment horizontal="left" vertical="top" wrapText="1"/>
    </xf>
    <xf numFmtId="0" fontId="19" fillId="8" borderId="15" xfId="0" quotePrefix="1" applyFont="1" applyFill="1" applyBorder="1" applyAlignment="1">
      <alignment horizontal="left" vertical="top" wrapText="1"/>
    </xf>
    <xf numFmtId="0" fontId="15" fillId="13" borderId="15" xfId="0" quotePrefix="1" applyFont="1" applyFill="1" applyBorder="1" applyAlignment="1">
      <alignment vertical="top" wrapText="1"/>
    </xf>
    <xf numFmtId="0" fontId="25" fillId="13" borderId="15" xfId="0" applyFont="1" applyFill="1" applyBorder="1" applyAlignment="1">
      <alignment vertical="top" wrapText="1"/>
    </xf>
    <xf numFmtId="0" fontId="19" fillId="8" borderId="15" xfId="0" quotePrefix="1" applyFont="1" applyFill="1" applyBorder="1" applyAlignment="1">
      <alignment wrapText="1"/>
    </xf>
    <xf numFmtId="0" fontId="19" fillId="8" borderId="15" xfId="0" applyFont="1" applyFill="1" applyBorder="1" applyAlignment="1">
      <alignment wrapText="1"/>
    </xf>
    <xf numFmtId="0" fontId="15" fillId="8" borderId="15" xfId="0" quotePrefix="1" applyFont="1" applyFill="1" applyBorder="1" applyAlignment="1">
      <alignment horizontal="left" vertical="center" wrapText="1"/>
    </xf>
  </cellXfs>
  <cellStyles count="4">
    <cellStyle name="Hyperlink" xfId="2" builtinId="8"/>
    <cellStyle name="Normal" xfId="0" builtinId="0"/>
    <cellStyle name="Normal 2" xfId="1" xr:uid="{1DD03006-975C-4B5F-BAD6-860EEC402895}"/>
    <cellStyle name="Normal 3" xfId="3" xr:uid="{E7CA43DB-5D42-48AC-8579-5708E26659AF}"/>
  </cellStyles>
  <dxfs count="218">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Z78:SZ79" insertRow="1" totalsRowShown="0" headerRowDxfId="188" dataDxfId="187">
  <autoFilter ref="SZ78:SZ79" xr:uid="{E0FDEC2D-A720-41F7-A850-C7F7D7AB468F}"/>
  <tableColumns count="1">
    <tableColumn id="1" xr3:uid="{0FAC254D-96A4-48EC-BB85-BE0E2B8F605D}" name="Column1" dataDxfId="186"/>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KPI6?csf=1&amp;web=1&amp;e=e2GdOW"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9F6B7-B5DA-49FC-80C5-708C02BFAB3C}">
  <dimension ref="C4:F49"/>
  <sheetViews>
    <sheetView tabSelected="1" workbookViewId="0">
      <selection activeCell="E19" sqref="E19"/>
    </sheetView>
  </sheetViews>
  <sheetFormatPr defaultColWidth="8.85546875" defaultRowHeight="14.45"/>
  <cols>
    <col min="1" max="2" width="8.85546875" style="422"/>
    <col min="3" max="3" width="16.28515625" style="422" customWidth="1"/>
    <col min="4" max="4" width="27.140625" style="422" customWidth="1"/>
    <col min="5" max="5" width="45.28515625" style="422" customWidth="1"/>
    <col min="6" max="12" width="27.140625" style="422" customWidth="1"/>
    <col min="13" max="16384" width="8.85546875" style="422"/>
  </cols>
  <sheetData>
    <row r="4" spans="3:5" ht="15.6">
      <c r="C4" s="474" t="s">
        <v>0</v>
      </c>
      <c r="D4" s="474"/>
      <c r="E4" s="474"/>
    </row>
    <row r="5" spans="3:5">
      <c r="C5" s="423" t="s">
        <v>1</v>
      </c>
      <c r="D5" s="469" t="s">
        <v>2</v>
      </c>
      <c r="E5" s="469"/>
    </row>
    <row r="6" spans="3:5">
      <c r="C6" s="423" t="s">
        <v>1</v>
      </c>
      <c r="D6" s="469" t="s">
        <v>3</v>
      </c>
      <c r="E6" s="469"/>
    </row>
    <row r="7" spans="3:5">
      <c r="C7" s="423" t="s">
        <v>4</v>
      </c>
      <c r="D7" s="469" t="s">
        <v>5</v>
      </c>
      <c r="E7" s="469"/>
    </row>
    <row r="8" spans="3:5">
      <c r="C8" s="423" t="s">
        <v>6</v>
      </c>
      <c r="D8" s="469" t="s">
        <v>7</v>
      </c>
      <c r="E8" s="469"/>
    </row>
    <row r="9" spans="3:5">
      <c r="C9" s="424"/>
      <c r="D9" s="425"/>
      <c r="E9" s="425"/>
    </row>
    <row r="10" spans="3:5" ht="15.6">
      <c r="C10" s="475" t="s">
        <v>8</v>
      </c>
      <c r="D10" s="476"/>
      <c r="E10" s="476"/>
    </row>
    <row r="11" spans="3:5">
      <c r="C11" s="426" t="s">
        <v>9</v>
      </c>
      <c r="D11" s="426" t="s">
        <v>10</v>
      </c>
      <c r="E11" s="426" t="s">
        <v>11</v>
      </c>
    </row>
    <row r="12" spans="3:5">
      <c r="C12" s="433">
        <v>0.1</v>
      </c>
      <c r="D12" s="434">
        <v>46143</v>
      </c>
      <c r="E12" s="435" t="s">
        <v>12</v>
      </c>
    </row>
    <row r="13" spans="3:5">
      <c r="C13" s="436">
        <v>0.2</v>
      </c>
      <c r="D13" s="437">
        <v>46053</v>
      </c>
      <c r="E13" s="438" t="s">
        <v>13</v>
      </c>
    </row>
    <row r="14" spans="3:5">
      <c r="C14" s="439"/>
      <c r="D14" s="440"/>
      <c r="E14" s="438"/>
    </row>
    <row r="15" spans="3:5">
      <c r="C15" s="441"/>
      <c r="D15" s="440"/>
      <c r="E15" s="438"/>
    </row>
    <row r="16" spans="3:5">
      <c r="C16" s="436"/>
      <c r="D16" s="440"/>
      <c r="E16" s="438"/>
    </row>
    <row r="17" spans="3:5">
      <c r="C17" s="425"/>
      <c r="D17" s="425"/>
      <c r="E17" s="425"/>
    </row>
    <row r="18" spans="3:5" ht="15.6">
      <c r="C18" s="475" t="s">
        <v>14</v>
      </c>
      <c r="D18" s="476"/>
      <c r="E18" s="476"/>
    </row>
    <row r="19" spans="3:5">
      <c r="C19" s="477" t="s">
        <v>15</v>
      </c>
      <c r="D19" s="478"/>
      <c r="E19" s="432" t="s">
        <v>16</v>
      </c>
    </row>
    <row r="20" spans="3:5">
      <c r="C20" s="425"/>
      <c r="D20" s="425"/>
      <c r="E20" s="425"/>
    </row>
    <row r="21" spans="3:5" ht="15.6">
      <c r="C21" s="475" t="s">
        <v>17</v>
      </c>
      <c r="D21" s="476"/>
      <c r="E21" s="476"/>
    </row>
    <row r="22" spans="3:5">
      <c r="C22" s="479" t="s">
        <v>18</v>
      </c>
      <c r="D22" s="480"/>
      <c r="E22" s="480"/>
    </row>
    <row r="23" spans="3:5">
      <c r="C23" s="468" t="s">
        <v>19</v>
      </c>
      <c r="D23" s="468" t="s">
        <v>20</v>
      </c>
      <c r="E23" s="468" t="s">
        <v>21</v>
      </c>
    </row>
    <row r="24" spans="3:5" ht="43.15">
      <c r="C24" s="467" t="s">
        <v>22</v>
      </c>
      <c r="D24" s="428" t="s">
        <v>23</v>
      </c>
      <c r="E24" s="429" t="s">
        <v>24</v>
      </c>
    </row>
    <row r="25" spans="3:5" ht="43.15">
      <c r="C25" s="467" t="s">
        <v>25</v>
      </c>
      <c r="D25" s="428" t="s">
        <v>23</v>
      </c>
      <c r="E25" s="429" t="s">
        <v>26</v>
      </c>
    </row>
    <row r="26" spans="3:5" ht="28.9">
      <c r="C26" s="467" t="s">
        <v>27</v>
      </c>
      <c r="D26" s="428" t="s">
        <v>23</v>
      </c>
      <c r="E26" s="429" t="s">
        <v>28</v>
      </c>
    </row>
    <row r="27" spans="3:5">
      <c r="C27" s="467" t="s">
        <v>29</v>
      </c>
      <c r="D27" s="428" t="s">
        <v>23</v>
      </c>
      <c r="E27" s="429" t="s">
        <v>30</v>
      </c>
    </row>
    <row r="28" spans="3:5" ht="28.9">
      <c r="C28" s="467" t="s">
        <v>31</v>
      </c>
      <c r="D28" s="428" t="s">
        <v>23</v>
      </c>
      <c r="E28" s="429" t="s">
        <v>32</v>
      </c>
    </row>
    <row r="29" spans="3:5">
      <c r="C29" s="427"/>
      <c r="D29" s="428"/>
      <c r="E29" s="429"/>
    </row>
    <row r="30" spans="3:5">
      <c r="C30" s="427"/>
      <c r="D30" s="428"/>
      <c r="E30" s="429"/>
    </row>
    <row r="31" spans="3:5">
      <c r="C31" s="427"/>
      <c r="D31" s="428"/>
      <c r="E31" s="429"/>
    </row>
    <row r="32" spans="3:5">
      <c r="C32" s="430"/>
      <c r="D32" s="428"/>
      <c r="E32" s="428"/>
    </row>
    <row r="33" spans="3:6">
      <c r="C33" s="428"/>
      <c r="D33" s="428"/>
      <c r="E33" s="428"/>
    </row>
    <row r="34" spans="3:6">
      <c r="C34" s="425"/>
      <c r="D34" s="431"/>
      <c r="E34" s="425"/>
    </row>
    <row r="37" spans="3:6">
      <c r="C37" s="425"/>
      <c r="D37" s="425"/>
      <c r="E37" s="425"/>
    </row>
    <row r="38" spans="3:6">
      <c r="C38"/>
      <c r="D38"/>
      <c r="E38"/>
    </row>
    <row r="39" spans="3:6">
      <c r="C39"/>
      <c r="D39"/>
      <c r="E39"/>
    </row>
    <row r="40" spans="3:6">
      <c r="C40"/>
      <c r="D40"/>
      <c r="E40"/>
      <c r="F40"/>
    </row>
    <row r="41" spans="3:6">
      <c r="C41"/>
      <c r="D41"/>
      <c r="E41"/>
      <c r="F41"/>
    </row>
    <row r="42" spans="3:6">
      <c r="C42"/>
      <c r="D42"/>
      <c r="E42"/>
      <c r="F42"/>
    </row>
    <row r="43" spans="3:6">
      <c r="C43"/>
      <c r="D43"/>
      <c r="E43"/>
      <c r="F43"/>
    </row>
    <row r="44" spans="3:6">
      <c r="C44"/>
      <c r="D44"/>
      <c r="E44"/>
      <c r="F44"/>
    </row>
    <row r="45" spans="3:6">
      <c r="C45"/>
      <c r="D45"/>
      <c r="E45"/>
      <c r="F45"/>
    </row>
    <row r="46" spans="3:6">
      <c r="C46"/>
      <c r="D46"/>
      <c r="E46"/>
      <c r="F46"/>
    </row>
    <row r="47" spans="3:6">
      <c r="C47"/>
      <c r="D47"/>
      <c r="E47"/>
      <c r="F47"/>
    </row>
    <row r="48" spans="3:6">
      <c r="C48"/>
      <c r="D48"/>
      <c r="E48"/>
      <c r="F48"/>
    </row>
    <row r="49" spans="3:6">
      <c r="C49"/>
      <c r="D49"/>
      <c r="E49"/>
      <c r="F49"/>
    </row>
  </sheetData>
  <mergeCells count="10">
    <mergeCell ref="C21:E21"/>
    <mergeCell ref="C22:E22"/>
    <mergeCell ref="C18:E18"/>
    <mergeCell ref="C19:D19"/>
    <mergeCell ref="C4:E4"/>
    <mergeCell ref="D5:E5"/>
    <mergeCell ref="D6:E6"/>
    <mergeCell ref="D7:E7"/>
    <mergeCell ref="D8:E8"/>
    <mergeCell ref="C10:E10"/>
  </mergeCells>
  <hyperlinks>
    <hyperlink ref="E19" r:id="rId1" xr:uid="{3FB4732C-7C29-4EA1-83B1-F1F393DB5DF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zoomScale="70" zoomScaleNormal="70" workbookViewId="0">
      <selection activeCell="P27" sqref="P27"/>
    </sheetView>
  </sheetViews>
  <sheetFormatPr defaultRowHeight="13.15"/>
  <cols>
    <col min="1" max="1" width="1.85546875" customWidth="1"/>
    <col min="2" max="2" width="18.140625" customWidth="1"/>
    <col min="3" max="3" width="9.85546875" customWidth="1"/>
    <col min="12" max="12" width="7.28515625" customWidth="1"/>
    <col min="13" max="13" width="2.5703125" customWidth="1"/>
    <col min="14" max="14" width="1.85546875" customWidth="1"/>
    <col min="15" max="15" width="15.42578125" customWidth="1"/>
    <col min="16" max="16" width="10" customWidth="1"/>
    <col min="25" max="25" width="7.7109375" customWidth="1"/>
    <col min="29" max="29" width="13.85546875" customWidth="1"/>
  </cols>
  <sheetData>
    <row r="1" spans="1:39" ht="13.9" thickBot="1">
      <c r="A1" s="4"/>
      <c r="B1" s="4"/>
      <c r="C1" s="4"/>
      <c r="D1" s="4"/>
      <c r="E1" s="4"/>
      <c r="F1" s="4"/>
      <c r="G1" s="4"/>
      <c r="H1" s="4"/>
      <c r="I1" s="4"/>
      <c r="J1" s="4"/>
      <c r="K1" s="4"/>
      <c r="L1" s="4"/>
    </row>
    <row r="2" spans="1:39">
      <c r="A2" s="5"/>
      <c r="B2" s="5"/>
      <c r="C2" s="5"/>
      <c r="D2" s="5"/>
      <c r="E2" s="470" t="s">
        <v>33</v>
      </c>
      <c r="F2" s="470"/>
      <c r="G2" s="470"/>
      <c r="H2" s="470"/>
      <c r="I2" s="5"/>
      <c r="J2" s="5"/>
      <c r="K2" s="5"/>
      <c r="L2" s="5"/>
      <c r="M2" s="1"/>
      <c r="N2" s="42"/>
      <c r="O2" s="43"/>
      <c r="P2" s="43"/>
      <c r="Q2" s="43"/>
      <c r="R2" s="472" t="s">
        <v>34</v>
      </c>
      <c r="S2" s="472"/>
      <c r="T2" s="472"/>
      <c r="U2" s="472"/>
      <c r="V2" s="43"/>
      <c r="W2" s="43"/>
      <c r="X2" s="43"/>
      <c r="Y2" s="44"/>
      <c r="AB2" s="42"/>
      <c r="AC2" s="43"/>
      <c r="AD2" s="43"/>
      <c r="AE2" s="43"/>
      <c r="AF2" s="472" t="s">
        <v>35</v>
      </c>
      <c r="AG2" s="472"/>
      <c r="AH2" s="472"/>
      <c r="AI2" s="472"/>
      <c r="AJ2" s="43"/>
      <c r="AK2" s="43"/>
      <c r="AL2" s="43"/>
      <c r="AM2" s="44"/>
    </row>
    <row r="3" spans="1:39" ht="13.9" thickBot="1">
      <c r="A3" s="5"/>
      <c r="B3" s="6"/>
      <c r="C3" s="6"/>
      <c r="D3" s="5"/>
      <c r="E3" s="5"/>
      <c r="F3" s="5"/>
      <c r="G3" s="5"/>
      <c r="H3" s="5"/>
      <c r="I3" s="5"/>
      <c r="J3" s="5"/>
      <c r="K3" s="5"/>
      <c r="L3" s="5"/>
      <c r="M3" s="1"/>
      <c r="N3" s="40"/>
      <c r="O3" s="39"/>
      <c r="P3" s="39"/>
      <c r="Q3" s="38"/>
      <c r="R3" s="38"/>
      <c r="S3" s="38"/>
      <c r="T3" s="38"/>
      <c r="U3" s="38"/>
      <c r="V3" s="38"/>
      <c r="W3" s="38"/>
      <c r="X3" s="38"/>
      <c r="Y3" s="45"/>
      <c r="AB3" s="40"/>
      <c r="AC3" s="39"/>
      <c r="AD3" s="39"/>
      <c r="AE3" s="38"/>
      <c r="AF3" s="38"/>
      <c r="AG3" s="38"/>
      <c r="AH3" s="38"/>
      <c r="AI3" s="38"/>
      <c r="AJ3" s="38"/>
      <c r="AK3" s="38"/>
      <c r="AL3" s="38"/>
      <c r="AM3" s="45"/>
    </row>
    <row r="4" spans="1:39" ht="18" customHeight="1">
      <c r="A4" s="7"/>
      <c r="B4" s="9" t="s">
        <v>36</v>
      </c>
      <c r="C4" s="10"/>
      <c r="D4" s="5"/>
      <c r="E4" s="5"/>
      <c r="F4" s="5"/>
      <c r="G4" s="5"/>
      <c r="H4" s="5"/>
      <c r="I4" s="5"/>
      <c r="J4" s="5"/>
      <c r="K4" s="5"/>
      <c r="L4" s="5"/>
      <c r="M4" s="1"/>
      <c r="N4" s="40"/>
      <c r="O4" s="14" t="s">
        <v>36</v>
      </c>
      <c r="P4" s="16"/>
      <c r="Q4" s="38"/>
      <c r="R4" s="38"/>
      <c r="S4" s="38"/>
      <c r="T4" s="38"/>
      <c r="U4" s="38"/>
      <c r="V4" s="38"/>
      <c r="W4" s="38"/>
      <c r="X4" s="38"/>
      <c r="Y4" s="45"/>
      <c r="AB4" s="40"/>
      <c r="AC4" s="14" t="s">
        <v>36</v>
      </c>
      <c r="AD4" s="16"/>
      <c r="AE4" s="38"/>
      <c r="AF4" s="38"/>
      <c r="AG4" s="38"/>
      <c r="AH4" s="38"/>
      <c r="AI4" s="38"/>
      <c r="AJ4" s="38"/>
      <c r="AK4" s="38"/>
      <c r="AL4" s="38"/>
      <c r="AM4" s="45"/>
    </row>
    <row r="5" spans="1:39" ht="18" customHeight="1">
      <c r="A5" s="7"/>
      <c r="B5" s="11" t="s">
        <v>37</v>
      </c>
      <c r="C5" s="56">
        <f>SUM(Orders!F2:F43)</f>
        <v>90</v>
      </c>
      <c r="D5" s="5"/>
      <c r="E5" s="5"/>
      <c r="F5" s="5"/>
      <c r="G5" s="5"/>
      <c r="H5" s="5"/>
      <c r="I5" s="5"/>
      <c r="J5" s="5"/>
      <c r="K5" s="5"/>
      <c r="L5" s="5"/>
      <c r="M5" s="1"/>
      <c r="N5" s="40"/>
      <c r="O5" s="11" t="s">
        <v>37</v>
      </c>
      <c r="P5" s="56">
        <f>SUM('Sheet 4'!F2:F41)</f>
        <v>0</v>
      </c>
      <c r="Q5" s="38"/>
      <c r="R5" s="38"/>
      <c r="S5" s="38"/>
      <c r="T5" s="38"/>
      <c r="U5" s="38"/>
      <c r="V5" s="38"/>
      <c r="W5" s="38"/>
      <c r="X5" s="38"/>
      <c r="Y5" s="45"/>
      <c r="AB5" s="40"/>
      <c r="AC5" s="11" t="s">
        <v>37</v>
      </c>
      <c r="AD5" s="56">
        <f>SUM(OVERALL!F2:F82)</f>
        <v>0</v>
      </c>
      <c r="AE5" s="38"/>
      <c r="AF5" s="38"/>
      <c r="AG5" s="38"/>
      <c r="AH5" s="38"/>
      <c r="AI5" s="38"/>
      <c r="AJ5" s="38"/>
      <c r="AK5" s="38"/>
      <c r="AL5" s="38"/>
      <c r="AM5" s="45"/>
    </row>
    <row r="6" spans="1:39" ht="18" customHeight="1">
      <c r="A6" s="7"/>
      <c r="B6" s="11" t="s">
        <v>38</v>
      </c>
      <c r="C6" s="10">
        <f>C7-C5</f>
        <v>0</v>
      </c>
      <c r="D6" s="5"/>
      <c r="E6" s="5"/>
      <c r="F6" s="5"/>
      <c r="G6" s="5"/>
      <c r="H6" s="5"/>
      <c r="I6" s="5"/>
      <c r="J6" s="5"/>
      <c r="K6" s="5"/>
      <c r="L6" s="5"/>
      <c r="M6" s="1"/>
      <c r="N6" s="40"/>
      <c r="O6" s="11" t="s">
        <v>38</v>
      </c>
      <c r="P6" s="10">
        <f>SUM(P7-P5)</f>
        <v>0</v>
      </c>
      <c r="Q6" s="38"/>
      <c r="R6" s="38"/>
      <c r="S6" s="38"/>
      <c r="T6" s="38"/>
      <c r="U6" s="38"/>
      <c r="V6" s="38"/>
      <c r="W6" s="38"/>
      <c r="X6" s="38"/>
      <c r="Y6" s="45"/>
      <c r="AB6" s="40"/>
      <c r="AC6" s="11" t="s">
        <v>38</v>
      </c>
      <c r="AD6" s="10">
        <f>SUM(AD7-AD5)</f>
        <v>0</v>
      </c>
      <c r="AE6" s="38"/>
      <c r="AF6" s="38"/>
      <c r="AG6" s="38"/>
      <c r="AH6" s="38"/>
      <c r="AI6" s="38"/>
      <c r="AJ6" s="38"/>
      <c r="AK6" s="38"/>
      <c r="AL6" s="38"/>
      <c r="AM6" s="45"/>
    </row>
    <row r="7" spans="1:39" ht="18" customHeight="1">
      <c r="A7" s="7"/>
      <c r="B7" s="11" t="s">
        <v>39</v>
      </c>
      <c r="C7" s="10">
        <f>SUM(Orders!E2:E43)</f>
        <v>90</v>
      </c>
      <c r="D7" s="5"/>
      <c r="E7" s="5"/>
      <c r="F7" s="5"/>
      <c r="G7" s="5"/>
      <c r="H7" s="5"/>
      <c r="I7" s="5"/>
      <c r="J7" s="5"/>
      <c r="K7" s="5"/>
      <c r="L7" s="5"/>
      <c r="M7" s="1"/>
      <c r="N7" s="40"/>
      <c r="O7" s="11" t="s">
        <v>39</v>
      </c>
      <c r="P7" s="10">
        <f>SUM('Sheet 4'!E2:E41)</f>
        <v>0</v>
      </c>
      <c r="Q7" s="38"/>
      <c r="R7" s="38"/>
      <c r="S7" s="38"/>
      <c r="T7" s="38"/>
      <c r="U7" s="38"/>
      <c r="V7" s="38"/>
      <c r="W7" s="38"/>
      <c r="X7" s="38"/>
      <c r="Y7" s="45"/>
      <c r="AB7" s="40"/>
      <c r="AC7" s="11" t="s">
        <v>39</v>
      </c>
      <c r="AD7" s="10">
        <f>SUM(OVERALL!E2:E82)</f>
        <v>0</v>
      </c>
      <c r="AE7" s="38"/>
      <c r="AF7" s="38"/>
      <c r="AG7" s="38"/>
      <c r="AH7" s="38"/>
      <c r="AI7" s="38"/>
      <c r="AJ7" s="38"/>
      <c r="AK7" s="38"/>
      <c r="AL7" s="38"/>
      <c r="AM7" s="45"/>
    </row>
    <row r="8" spans="1:39" ht="18" customHeight="1">
      <c r="A8" s="7"/>
      <c r="B8" s="11"/>
      <c r="C8" s="10"/>
      <c r="D8" s="5"/>
      <c r="E8" s="5"/>
      <c r="F8" s="5"/>
      <c r="G8" s="5"/>
      <c r="H8" s="5"/>
      <c r="I8" s="5"/>
      <c r="J8" s="5"/>
      <c r="K8" s="5"/>
      <c r="L8" s="5"/>
      <c r="M8" s="1"/>
      <c r="N8" s="40"/>
      <c r="O8" s="11"/>
      <c r="P8" s="10"/>
      <c r="Q8" s="38"/>
      <c r="R8" s="38"/>
      <c r="S8" s="38"/>
      <c r="T8" s="38"/>
      <c r="U8" s="38"/>
      <c r="V8" s="38"/>
      <c r="W8" s="38"/>
      <c r="X8" s="38"/>
      <c r="Y8" s="45"/>
      <c r="AB8" s="40"/>
      <c r="AC8" s="11"/>
      <c r="AD8" s="10"/>
      <c r="AE8" s="38"/>
      <c r="AF8" s="38"/>
      <c r="AG8" s="38"/>
      <c r="AH8" s="38"/>
      <c r="AI8" s="38"/>
      <c r="AJ8" s="38"/>
      <c r="AK8" s="38"/>
      <c r="AL8" s="38"/>
      <c r="AM8" s="45"/>
    </row>
    <row r="9" spans="1:39" ht="18" customHeight="1" thickBot="1">
      <c r="A9" s="7"/>
      <c r="B9" s="12" t="s">
        <v>40</v>
      </c>
      <c r="C9" s="13">
        <f>C5/C7</f>
        <v>1</v>
      </c>
      <c r="D9" s="5"/>
      <c r="E9" s="5"/>
      <c r="F9" s="5"/>
      <c r="G9" s="5"/>
      <c r="H9" s="5"/>
      <c r="I9" s="5"/>
      <c r="J9" s="5"/>
      <c r="K9" s="5"/>
      <c r="L9" s="5"/>
      <c r="M9" s="1"/>
      <c r="N9" s="40"/>
      <c r="O9" s="12" t="s">
        <v>40</v>
      </c>
      <c r="P9" s="13" t="e" cm="1">
        <f t="array" aca="1" ref="P9" ca="1">Orders!A2:A10P5/P7</f>
        <v>#NAME?</v>
      </c>
      <c r="Q9" s="38"/>
      <c r="R9" s="38"/>
      <c r="S9" s="38"/>
      <c r="T9" s="38"/>
      <c r="U9" s="38"/>
      <c r="V9" s="38"/>
      <c r="W9" s="38"/>
      <c r="X9" s="38"/>
      <c r="Y9" s="45"/>
      <c r="AB9" s="40"/>
      <c r="AC9" s="12" t="s">
        <v>40</v>
      </c>
      <c r="AD9" s="13" t="e">
        <f>AD5/AD7</f>
        <v>#DIV/0!</v>
      </c>
      <c r="AE9" s="38"/>
      <c r="AF9" s="38"/>
      <c r="AG9" s="38"/>
      <c r="AH9" s="38"/>
      <c r="AI9" s="38"/>
      <c r="AJ9" s="38"/>
      <c r="AK9" s="38"/>
      <c r="AL9" s="38"/>
      <c r="AM9" s="45"/>
    </row>
    <row r="10" spans="1:39" ht="18" customHeight="1" thickBot="1">
      <c r="A10" s="7"/>
      <c r="B10" s="5"/>
      <c r="C10" s="5"/>
      <c r="D10" s="5"/>
      <c r="E10" s="5"/>
      <c r="F10" s="5"/>
      <c r="G10" s="5"/>
      <c r="H10" s="5"/>
      <c r="I10" s="5"/>
      <c r="J10" s="5"/>
      <c r="K10" s="5"/>
      <c r="L10" s="5"/>
      <c r="M10" s="1"/>
      <c r="N10" s="40"/>
      <c r="O10" s="38"/>
      <c r="P10" s="38"/>
      <c r="Q10" s="38"/>
      <c r="R10" s="38"/>
      <c r="S10" s="38"/>
      <c r="T10" s="38"/>
      <c r="U10" s="38"/>
      <c r="V10" s="38"/>
      <c r="W10" s="38"/>
      <c r="X10" s="38"/>
      <c r="Y10" s="45"/>
      <c r="AB10" s="40"/>
      <c r="AC10" s="38"/>
      <c r="AD10" s="38"/>
      <c r="AE10" s="38"/>
      <c r="AF10" s="38"/>
      <c r="AG10" s="38"/>
      <c r="AH10" s="38"/>
      <c r="AI10" s="38"/>
      <c r="AJ10" s="38"/>
      <c r="AK10" s="38"/>
      <c r="AL10" s="38"/>
      <c r="AM10" s="45"/>
    </row>
    <row r="11" spans="1:39" ht="18" customHeight="1">
      <c r="A11" s="7"/>
      <c r="B11" s="14" t="s">
        <v>41</v>
      </c>
      <c r="C11" s="15"/>
      <c r="D11" s="16"/>
      <c r="E11" s="5"/>
      <c r="F11" s="5"/>
      <c r="G11" s="5"/>
      <c r="H11" s="5"/>
      <c r="I11" s="5"/>
      <c r="J11" s="5"/>
      <c r="K11" s="5"/>
      <c r="L11" s="5"/>
      <c r="M11" s="1"/>
      <c r="N11" s="40"/>
      <c r="O11" s="14" t="s">
        <v>41</v>
      </c>
      <c r="P11" s="15"/>
      <c r="Q11" s="16"/>
      <c r="R11" s="38"/>
      <c r="S11" s="38"/>
      <c r="T11" s="38"/>
      <c r="U11" s="38"/>
      <c r="V11" s="38"/>
      <c r="W11" s="38"/>
      <c r="X11" s="38"/>
      <c r="Y11" s="45"/>
      <c r="AB11" s="40"/>
      <c r="AC11" s="14" t="s">
        <v>41</v>
      </c>
      <c r="AD11" s="15"/>
      <c r="AE11" s="16"/>
      <c r="AF11" s="38"/>
      <c r="AG11" s="38"/>
      <c r="AH11" s="38"/>
      <c r="AI11" s="38"/>
      <c r="AJ11" s="38"/>
      <c r="AK11" s="38"/>
      <c r="AL11" s="38"/>
      <c r="AM11" s="45"/>
    </row>
    <row r="12" spans="1:39" ht="18" customHeight="1">
      <c r="A12" s="7"/>
      <c r="B12" s="11" t="s">
        <v>42</v>
      </c>
      <c r="C12" s="17">
        <f>COUNTIF(Orders!$G$2:$G$143,Summary!B12)</f>
        <v>9</v>
      </c>
      <c r="D12" s="18">
        <f>C12/$C$19</f>
        <v>1</v>
      </c>
      <c r="E12" s="5"/>
      <c r="F12" s="5"/>
      <c r="G12" s="5"/>
      <c r="H12" s="5"/>
      <c r="I12" s="5"/>
      <c r="J12" s="5"/>
      <c r="K12" s="5"/>
      <c r="L12" s="5"/>
      <c r="M12" s="1"/>
      <c r="N12" s="40"/>
      <c r="O12" s="11" t="s">
        <v>42</v>
      </c>
      <c r="P12" s="17">
        <f>COUNTIF('Sheet 4'!$G$2:$G$148,Summary!O12)</f>
        <v>0</v>
      </c>
      <c r="Q12" s="18" t="e">
        <f t="shared" ref="Q12:Q18" si="0">P12/$P$19</f>
        <v>#DIV/0!</v>
      </c>
      <c r="R12" s="38"/>
      <c r="S12" s="38"/>
      <c r="T12" s="38"/>
      <c r="U12" s="38"/>
      <c r="V12" s="38"/>
      <c r="W12" s="38"/>
      <c r="X12" s="38"/>
      <c r="Y12" s="45"/>
      <c r="AB12" s="40"/>
      <c r="AC12" s="11" t="s">
        <v>42</v>
      </c>
      <c r="AD12" s="17">
        <f>COUNTIF(OVERALL!$G$2:$G$150,Summary!AC12)</f>
        <v>0</v>
      </c>
      <c r="AE12" s="18" t="e">
        <f t="shared" ref="AE12:AE18" si="1">AD12/$AD$19</f>
        <v>#DIV/0!</v>
      </c>
      <c r="AF12" s="38"/>
      <c r="AG12" s="38"/>
      <c r="AH12" s="38"/>
      <c r="AI12" s="38"/>
      <c r="AJ12" s="38"/>
      <c r="AK12" s="38"/>
      <c r="AL12" s="38"/>
      <c r="AM12" s="45"/>
    </row>
    <row r="13" spans="1:39" ht="18" customHeight="1">
      <c r="A13" s="7"/>
      <c r="B13" s="54" t="s">
        <v>43</v>
      </c>
      <c r="C13" s="17">
        <f>COUNTIF(Orders!$G$2:$G$143,Summary!B13)</f>
        <v>0</v>
      </c>
      <c r="D13" s="18">
        <f t="shared" ref="D13:D18" si="2">C13/$C$19</f>
        <v>0</v>
      </c>
      <c r="E13" s="5"/>
      <c r="F13" s="5"/>
      <c r="G13" s="5"/>
      <c r="H13" s="5"/>
      <c r="I13" s="5"/>
      <c r="J13" s="5"/>
      <c r="K13" s="5"/>
      <c r="L13" s="5"/>
      <c r="M13" s="1"/>
      <c r="N13" s="40"/>
      <c r="O13" s="11" t="s">
        <v>43</v>
      </c>
      <c r="P13" s="17">
        <f>COUNTIF('Sheet 4'!$G$2:$G$148,Summary!O13)</f>
        <v>0</v>
      </c>
      <c r="Q13" s="18" t="e">
        <f t="shared" si="0"/>
        <v>#DIV/0!</v>
      </c>
      <c r="R13" s="38"/>
      <c r="S13" s="38"/>
      <c r="T13" s="38"/>
      <c r="U13" s="38"/>
      <c r="V13" s="38"/>
      <c r="W13" s="38"/>
      <c r="X13" s="38"/>
      <c r="Y13" s="45"/>
      <c r="AB13" s="40"/>
      <c r="AC13" s="11" t="s">
        <v>43</v>
      </c>
      <c r="AD13" s="17">
        <f>COUNTIF(OVERALL!$G$2:$G$150,Summary!AC13)</f>
        <v>0</v>
      </c>
      <c r="AE13" s="18" t="e">
        <f t="shared" si="1"/>
        <v>#DIV/0!</v>
      </c>
      <c r="AF13" s="38"/>
      <c r="AG13" s="38"/>
      <c r="AH13" s="38"/>
      <c r="AI13" s="38"/>
      <c r="AJ13" s="38"/>
      <c r="AK13" s="38"/>
      <c r="AL13" s="38"/>
      <c r="AM13" s="45"/>
    </row>
    <row r="14" spans="1:39" ht="18" customHeight="1">
      <c r="A14" s="7"/>
      <c r="B14" s="11" t="s">
        <v>44</v>
      </c>
      <c r="C14" s="17">
        <f>COUNTIF(Orders!$G$2:$G$143,Summary!B14)</f>
        <v>0</v>
      </c>
      <c r="D14" s="18">
        <f t="shared" si="2"/>
        <v>0</v>
      </c>
      <c r="E14" s="5"/>
      <c r="F14" s="5"/>
      <c r="G14" s="5"/>
      <c r="H14" s="5"/>
      <c r="I14" s="5"/>
      <c r="J14" s="5"/>
      <c r="K14" s="5"/>
      <c r="L14" s="5"/>
      <c r="M14" s="1"/>
      <c r="N14" s="40"/>
      <c r="O14" s="11" t="s">
        <v>44</v>
      </c>
      <c r="P14" s="17">
        <f>COUNTIF('Sheet 4'!$G$2:$G$148,Summary!O14)</f>
        <v>0</v>
      </c>
      <c r="Q14" s="18" t="e">
        <f t="shared" si="0"/>
        <v>#DIV/0!</v>
      </c>
      <c r="R14" s="38"/>
      <c r="S14" s="38"/>
      <c r="T14" s="38"/>
      <c r="U14" s="38"/>
      <c r="V14" s="38"/>
      <c r="W14" s="38"/>
      <c r="X14" s="38"/>
      <c r="Y14" s="45"/>
      <c r="AB14" s="40"/>
      <c r="AC14" s="11" t="s">
        <v>44</v>
      </c>
      <c r="AD14" s="17">
        <f>COUNTIF(OVERALL!$G$2:$G$150,Summary!AC14)</f>
        <v>0</v>
      </c>
      <c r="AE14" s="18" t="e">
        <f t="shared" si="1"/>
        <v>#DIV/0!</v>
      </c>
      <c r="AF14" s="38"/>
      <c r="AG14" s="38"/>
      <c r="AH14" s="38"/>
      <c r="AI14" s="38"/>
      <c r="AJ14" s="38"/>
      <c r="AK14" s="38"/>
      <c r="AL14" s="38"/>
      <c r="AM14" s="45"/>
    </row>
    <row r="15" spans="1:39" ht="18" customHeight="1">
      <c r="A15" s="7"/>
      <c r="B15" s="11" t="s">
        <v>45</v>
      </c>
      <c r="C15" s="17">
        <f>COUNTIF(Orders!$G$2:$G$143,Summary!B15)</f>
        <v>0</v>
      </c>
      <c r="D15" s="18">
        <f t="shared" si="2"/>
        <v>0</v>
      </c>
      <c r="E15" s="5"/>
      <c r="F15" s="5"/>
      <c r="G15" s="5"/>
      <c r="H15" s="5"/>
      <c r="I15" s="5"/>
      <c r="J15" s="5"/>
      <c r="K15" s="5"/>
      <c r="L15" s="5"/>
      <c r="M15" s="1"/>
      <c r="N15" s="40"/>
      <c r="O15" s="11" t="s">
        <v>45</v>
      </c>
      <c r="P15" s="17">
        <f>COUNTIF('Sheet 4'!$G$2:$G$148,Summary!O15)</f>
        <v>0</v>
      </c>
      <c r="Q15" s="18" t="e">
        <f t="shared" si="0"/>
        <v>#DIV/0!</v>
      </c>
      <c r="R15" s="38"/>
      <c r="S15" s="38"/>
      <c r="T15" s="38"/>
      <c r="U15" s="38"/>
      <c r="V15" s="38"/>
      <c r="W15" s="38"/>
      <c r="X15" s="38"/>
      <c r="Y15" s="45"/>
      <c r="AB15" s="40"/>
      <c r="AC15" s="11" t="s">
        <v>45</v>
      </c>
      <c r="AD15" s="17">
        <f>COUNTIF(OVERALL!$G$2:$G$150,Summary!AC15)</f>
        <v>0</v>
      </c>
      <c r="AE15" s="18" t="e">
        <f t="shared" si="1"/>
        <v>#DIV/0!</v>
      </c>
      <c r="AF15" s="38"/>
      <c r="AG15" s="38"/>
      <c r="AH15" s="38"/>
      <c r="AI15" s="38"/>
      <c r="AJ15" s="38"/>
      <c r="AK15" s="38"/>
      <c r="AL15" s="38"/>
      <c r="AM15" s="45"/>
    </row>
    <row r="16" spans="1:39" ht="18" customHeight="1">
      <c r="A16" s="7"/>
      <c r="B16" s="11" t="s">
        <v>46</v>
      </c>
      <c r="C16" s="17">
        <f>COUNTIF(Orders!$G$2:$G$143,Summary!B16)</f>
        <v>0</v>
      </c>
      <c r="D16" s="18">
        <f t="shared" si="2"/>
        <v>0</v>
      </c>
      <c r="E16" s="5"/>
      <c r="F16" s="5"/>
      <c r="G16" s="5"/>
      <c r="H16" s="5"/>
      <c r="I16" s="5"/>
      <c r="J16" s="5"/>
      <c r="K16" s="5"/>
      <c r="L16" s="5"/>
      <c r="M16" s="1"/>
      <c r="N16" s="40"/>
      <c r="O16" s="11" t="s">
        <v>46</v>
      </c>
      <c r="P16" s="17">
        <f>COUNTIF('Sheet 4'!$G$2:$G$148,Summary!O16)</f>
        <v>0</v>
      </c>
      <c r="Q16" s="18" t="e">
        <f t="shared" si="0"/>
        <v>#DIV/0!</v>
      </c>
      <c r="R16" s="38"/>
      <c r="S16" s="38"/>
      <c r="T16" s="38"/>
      <c r="U16" s="38"/>
      <c r="V16" s="38"/>
      <c r="W16" s="38"/>
      <c r="X16" s="38"/>
      <c r="Y16" s="45"/>
      <c r="AB16" s="40"/>
      <c r="AC16" s="11" t="s">
        <v>46</v>
      </c>
      <c r="AD16" s="17">
        <f>COUNTIF(OVERALL!$G$2:$G$150,Summary!AC16)</f>
        <v>0</v>
      </c>
      <c r="AE16" s="18" t="e">
        <f t="shared" si="1"/>
        <v>#DIV/0!</v>
      </c>
      <c r="AF16" s="38"/>
      <c r="AG16" s="38"/>
      <c r="AH16" s="38"/>
      <c r="AI16" s="38"/>
      <c r="AJ16" s="38"/>
      <c r="AK16" s="38"/>
      <c r="AL16" s="38"/>
      <c r="AM16" s="45"/>
    </row>
    <row r="17" spans="1:39" ht="18" customHeight="1">
      <c r="A17" s="7"/>
      <c r="B17" s="11" t="s">
        <v>47</v>
      </c>
      <c r="C17" s="17">
        <f>COUNTIF(Orders!$G$2:$G$143,Summary!B17)</f>
        <v>0</v>
      </c>
      <c r="D17" s="18">
        <f t="shared" si="2"/>
        <v>0</v>
      </c>
      <c r="E17" s="5"/>
      <c r="F17" s="5"/>
      <c r="G17" s="5"/>
      <c r="H17" s="5"/>
      <c r="I17" s="5"/>
      <c r="J17" s="5"/>
      <c r="K17" s="5"/>
      <c r="L17" s="5"/>
      <c r="M17" s="1"/>
      <c r="N17" s="40"/>
      <c r="O17" s="11" t="s">
        <v>47</v>
      </c>
      <c r="P17" s="17">
        <f>COUNTIF('Sheet 4'!$G$2:$G$148,Summary!O17)</f>
        <v>0</v>
      </c>
      <c r="Q17" s="18" t="e">
        <f t="shared" si="0"/>
        <v>#DIV/0!</v>
      </c>
      <c r="R17" s="38"/>
      <c r="S17" s="38"/>
      <c r="T17" s="38"/>
      <c r="U17" s="38"/>
      <c r="V17" s="38"/>
      <c r="W17" s="38"/>
      <c r="X17" s="38"/>
      <c r="Y17" s="45"/>
      <c r="AB17" s="40"/>
      <c r="AC17" s="11" t="s">
        <v>47</v>
      </c>
      <c r="AD17" s="17">
        <f>COUNTIF(OVERALL!$G$2:$G$150,Summary!AC17)</f>
        <v>0</v>
      </c>
      <c r="AE17" s="18" t="e">
        <f t="shared" si="1"/>
        <v>#DIV/0!</v>
      </c>
      <c r="AF17" s="38"/>
      <c r="AG17" s="38"/>
      <c r="AH17" s="38"/>
      <c r="AI17" s="38"/>
      <c r="AJ17" s="38"/>
      <c r="AK17" s="38"/>
      <c r="AL17" s="38"/>
      <c r="AM17" s="45"/>
    </row>
    <row r="18" spans="1:39" ht="18" customHeight="1" thickBot="1">
      <c r="A18" s="7"/>
      <c r="B18" s="12" t="s">
        <v>48</v>
      </c>
      <c r="C18" s="17">
        <f>COUNTIF(Orders!$G$2:$G$143,Summary!B18)</f>
        <v>0</v>
      </c>
      <c r="D18" s="13">
        <f t="shared" si="2"/>
        <v>0</v>
      </c>
      <c r="E18" s="5"/>
      <c r="F18" s="5"/>
      <c r="G18" s="5"/>
      <c r="H18" s="5"/>
      <c r="I18" s="5"/>
      <c r="J18" s="5"/>
      <c r="K18" s="5"/>
      <c r="L18" s="5"/>
      <c r="M18" s="1"/>
      <c r="N18" s="40"/>
      <c r="O18" s="12" t="s">
        <v>48</v>
      </c>
      <c r="P18" s="17">
        <f>COUNTIF('Sheet 4'!$G$2:$G$148,Summary!O18)</f>
        <v>0</v>
      </c>
      <c r="Q18" s="13" t="e">
        <f t="shared" si="0"/>
        <v>#DIV/0!</v>
      </c>
      <c r="R18" s="38"/>
      <c r="S18" s="38"/>
      <c r="T18" s="38"/>
      <c r="U18" s="38"/>
      <c r="V18" s="38"/>
      <c r="W18" s="38"/>
      <c r="X18" s="38"/>
      <c r="Y18" s="45"/>
      <c r="AB18" s="40"/>
      <c r="AC18" s="12" t="s">
        <v>48</v>
      </c>
      <c r="AD18" s="17">
        <f>COUNTIF(OVERALL!$G$2:$G$150,Summary!AC18)</f>
        <v>0</v>
      </c>
      <c r="AE18" s="18" t="e">
        <f t="shared" si="1"/>
        <v>#DIV/0!</v>
      </c>
      <c r="AF18" s="38"/>
      <c r="AG18" s="38"/>
      <c r="AH18" s="38"/>
      <c r="AI18" s="38"/>
      <c r="AJ18" s="38"/>
      <c r="AK18" s="38"/>
      <c r="AL18" s="38"/>
      <c r="AM18" s="45"/>
    </row>
    <row r="19" spans="1:39" ht="13.9" thickBot="1">
      <c r="A19" s="7"/>
      <c r="B19" s="19" t="s">
        <v>49</v>
      </c>
      <c r="C19" s="20">
        <f>SUM(C12:C18)</f>
        <v>9</v>
      </c>
      <c r="D19" s="21"/>
      <c r="E19" s="5"/>
      <c r="F19" s="5"/>
      <c r="G19" s="5"/>
      <c r="H19" s="5"/>
      <c r="I19" s="5"/>
      <c r="J19" s="5"/>
      <c r="K19" s="5"/>
      <c r="L19" s="5"/>
      <c r="M19" s="1"/>
      <c r="N19" s="40"/>
      <c r="O19" s="19" t="s">
        <v>49</v>
      </c>
      <c r="P19" s="20">
        <f>SUM(P12:P18)</f>
        <v>0</v>
      </c>
      <c r="Q19" s="21"/>
      <c r="R19" s="38"/>
      <c r="S19" s="38"/>
      <c r="T19" s="38"/>
      <c r="U19" s="38"/>
      <c r="V19" s="38"/>
      <c r="W19" s="38"/>
      <c r="X19" s="38"/>
      <c r="Y19" s="45"/>
      <c r="AB19" s="40"/>
      <c r="AC19" s="19" t="s">
        <v>49</v>
      </c>
      <c r="AD19" s="20">
        <f>SUM(AD12:AD18)</f>
        <v>0</v>
      </c>
      <c r="AE19" s="21"/>
      <c r="AF19" s="38"/>
      <c r="AG19" s="38"/>
      <c r="AH19" s="38"/>
      <c r="AI19" s="38"/>
      <c r="AJ19" s="38"/>
      <c r="AK19" s="38"/>
      <c r="AL19" s="38"/>
      <c r="AM19" s="45"/>
    </row>
    <row r="20" spans="1:39" ht="13.9" thickBot="1">
      <c r="A20" s="8"/>
      <c r="B20" s="6"/>
      <c r="C20" s="6"/>
      <c r="D20" s="6"/>
      <c r="E20" s="6"/>
      <c r="F20" s="6"/>
      <c r="G20" s="6"/>
      <c r="H20" s="6"/>
      <c r="I20" s="6"/>
      <c r="J20" s="6"/>
      <c r="K20" s="6"/>
      <c r="L20" s="6"/>
      <c r="M20" s="1"/>
      <c r="N20" s="41"/>
      <c r="O20" s="39"/>
      <c r="P20" s="39"/>
      <c r="Q20" s="39"/>
      <c r="R20" s="39"/>
      <c r="S20" s="39"/>
      <c r="T20" s="39"/>
      <c r="U20" s="39"/>
      <c r="V20" s="39"/>
      <c r="W20" s="39"/>
      <c r="X20" s="39"/>
      <c r="Y20" s="46"/>
      <c r="AB20" s="41"/>
      <c r="AC20" s="39"/>
      <c r="AD20" s="39"/>
      <c r="AE20" s="39"/>
      <c r="AF20" s="39"/>
      <c r="AG20" s="39"/>
      <c r="AH20" s="39"/>
      <c r="AI20" s="39"/>
      <c r="AJ20" s="39"/>
      <c r="AK20" s="39"/>
      <c r="AL20" s="39"/>
      <c r="AM20" s="46"/>
    </row>
    <row r="21" spans="1:39">
      <c r="A21" s="3"/>
      <c r="B21" s="3"/>
      <c r="C21" s="3"/>
      <c r="D21" s="3"/>
      <c r="E21" s="3"/>
      <c r="F21" s="3"/>
      <c r="G21" s="3"/>
      <c r="H21" s="3"/>
      <c r="I21" s="3"/>
      <c r="J21" s="3"/>
      <c r="K21" s="3"/>
      <c r="L21" s="3"/>
    </row>
    <row r="22" spans="1:39" ht="13.9" thickBot="1">
      <c r="A22" s="4"/>
      <c r="B22" s="4"/>
      <c r="C22" s="4"/>
      <c r="D22" s="4"/>
      <c r="E22" s="4"/>
      <c r="F22" s="4"/>
      <c r="G22" s="4"/>
      <c r="H22" s="4"/>
      <c r="I22" s="4"/>
      <c r="J22" s="4"/>
      <c r="K22" s="4"/>
      <c r="L22" s="4"/>
    </row>
    <row r="23" spans="1:39">
      <c r="A23" s="22"/>
      <c r="B23" s="22"/>
      <c r="C23" s="22"/>
      <c r="D23" s="22"/>
      <c r="E23" s="471" t="s">
        <v>50</v>
      </c>
      <c r="F23" s="471"/>
      <c r="G23" s="471"/>
      <c r="H23" s="471"/>
      <c r="I23" s="22"/>
      <c r="J23" s="22"/>
      <c r="K23" s="22"/>
      <c r="L23" s="22"/>
      <c r="M23" s="1"/>
      <c r="N23" s="26"/>
      <c r="O23" s="27"/>
      <c r="P23" s="27"/>
      <c r="Q23" s="473" t="s">
        <v>51</v>
      </c>
      <c r="R23" s="481"/>
      <c r="S23" s="481"/>
      <c r="T23" s="481"/>
      <c r="U23" s="481"/>
      <c r="V23" s="481"/>
      <c r="W23" s="27"/>
      <c r="X23" s="27"/>
      <c r="Y23" s="28"/>
    </row>
    <row r="24" spans="1:39" ht="13.9" thickBot="1">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c r="A25" s="24"/>
      <c r="B25" s="9" t="s">
        <v>36</v>
      </c>
      <c r="C25" s="10"/>
      <c r="D25" s="22"/>
      <c r="E25" s="22"/>
      <c r="F25" s="22"/>
      <c r="G25" s="22"/>
      <c r="H25" s="22"/>
      <c r="I25" s="22"/>
      <c r="J25" s="22"/>
      <c r="K25" s="22"/>
      <c r="L25" s="22"/>
      <c r="M25" s="1"/>
      <c r="N25" s="29"/>
      <c r="O25" s="14" t="s">
        <v>36</v>
      </c>
      <c r="P25" s="16"/>
      <c r="Q25" s="31"/>
      <c r="R25" s="31"/>
      <c r="S25" s="31"/>
      <c r="T25" s="31"/>
      <c r="U25" s="31"/>
      <c r="V25" s="31"/>
      <c r="W25" s="31"/>
      <c r="X25" s="31"/>
      <c r="Y25" s="32"/>
    </row>
    <row r="26" spans="1:39">
      <c r="A26" s="24"/>
      <c r="B26" s="11" t="s">
        <v>37</v>
      </c>
      <c r="C26" s="56">
        <f>SUM(Sheet3!F2:F59)</f>
        <v>0</v>
      </c>
      <c r="D26" s="22"/>
      <c r="E26" s="22"/>
      <c r="F26" s="22"/>
      <c r="G26" s="22"/>
      <c r="H26" s="22"/>
      <c r="I26" s="22"/>
      <c r="J26" s="22"/>
      <c r="K26" s="22"/>
      <c r="L26" s="22"/>
      <c r="M26" s="1"/>
      <c r="N26" s="29"/>
      <c r="O26" s="11" t="s">
        <v>37</v>
      </c>
      <c r="P26" s="56">
        <f>SUM('KPI6'!F2:F62)</f>
        <v>513</v>
      </c>
      <c r="Q26" s="31"/>
      <c r="R26" s="31"/>
      <c r="S26" s="31"/>
      <c r="T26" s="31"/>
      <c r="U26" s="31"/>
      <c r="V26" s="31"/>
      <c r="W26" s="31"/>
      <c r="X26" s="31"/>
      <c r="Y26" s="32"/>
    </row>
    <row r="27" spans="1:39">
      <c r="A27" s="24"/>
      <c r="B27" s="11" t="s">
        <v>38</v>
      </c>
      <c r="C27" s="10">
        <f>SUM(C28-C26)</f>
        <v>0</v>
      </c>
      <c r="D27" s="22"/>
      <c r="E27" s="22"/>
      <c r="F27" s="22"/>
      <c r="G27" s="22"/>
      <c r="H27" s="22"/>
      <c r="I27" s="22"/>
      <c r="J27" s="22"/>
      <c r="K27" s="22"/>
      <c r="L27" s="22"/>
      <c r="M27" s="1"/>
      <c r="N27" s="29"/>
      <c r="O27" s="11" t="s">
        <v>38</v>
      </c>
      <c r="P27" s="10">
        <f>P28-P26</f>
        <v>0</v>
      </c>
      <c r="Q27" s="31"/>
      <c r="R27" s="31"/>
      <c r="S27" s="31"/>
      <c r="T27" s="31"/>
      <c r="U27" s="31"/>
      <c r="V27" s="31"/>
      <c r="W27" s="31"/>
      <c r="X27" s="31"/>
      <c r="Y27" s="32"/>
    </row>
    <row r="28" spans="1:39">
      <c r="A28" s="24"/>
      <c r="B28" s="11" t="s">
        <v>39</v>
      </c>
      <c r="C28" s="10">
        <f>SUM(Sheet3!E2:E59)</f>
        <v>0</v>
      </c>
      <c r="D28" s="22"/>
      <c r="E28" s="22"/>
      <c r="F28" s="22"/>
      <c r="G28" s="22"/>
      <c r="H28" s="22"/>
      <c r="I28" s="22"/>
      <c r="J28" s="22"/>
      <c r="K28" s="22"/>
      <c r="L28" s="22"/>
      <c r="M28" s="1"/>
      <c r="N28" s="29"/>
      <c r="O28" s="11" t="s">
        <v>39</v>
      </c>
      <c r="P28" s="10">
        <f>SUM('KPI6'!E2:E62)</f>
        <v>513</v>
      </c>
      <c r="Q28" s="31"/>
      <c r="R28" s="31"/>
      <c r="S28" s="31"/>
      <c r="T28" s="31"/>
      <c r="U28" s="31"/>
      <c r="V28" s="31"/>
      <c r="W28" s="31"/>
      <c r="X28" s="31"/>
      <c r="Y28" s="32"/>
    </row>
    <row r="29" spans="1:39">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3.9" thickBot="1">
      <c r="A30" s="24"/>
      <c r="B30" s="12" t="s">
        <v>40</v>
      </c>
      <c r="C30" s="13" t="e">
        <f>C26/C28</f>
        <v>#DIV/0!</v>
      </c>
      <c r="D30" s="22"/>
      <c r="E30" s="22"/>
      <c r="F30" s="22"/>
      <c r="G30" s="22"/>
      <c r="H30" s="22"/>
      <c r="I30" s="22"/>
      <c r="J30" s="22"/>
      <c r="K30" s="22"/>
      <c r="L30" s="22"/>
      <c r="M30" s="1"/>
      <c r="N30" s="29"/>
      <c r="O30" s="12" t="s">
        <v>40</v>
      </c>
      <c r="P30" s="13">
        <f>P26/P28</f>
        <v>1</v>
      </c>
      <c r="Q30" s="31"/>
      <c r="R30" s="31"/>
      <c r="S30" s="31"/>
      <c r="T30" s="31"/>
      <c r="U30" s="31"/>
      <c r="V30" s="31"/>
      <c r="W30" s="31"/>
      <c r="X30" s="31"/>
      <c r="Y30" s="32"/>
    </row>
    <row r="31" spans="1:39" ht="13.9" thickBot="1">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c r="A32" s="24"/>
      <c r="B32" s="14" t="s">
        <v>41</v>
      </c>
      <c r="C32" s="15"/>
      <c r="D32" s="16"/>
      <c r="E32" s="22"/>
      <c r="F32" s="22"/>
      <c r="G32" s="22"/>
      <c r="H32" s="22"/>
      <c r="I32" s="22"/>
      <c r="J32" s="22"/>
      <c r="K32" s="22"/>
      <c r="L32" s="22"/>
      <c r="M32" s="1"/>
      <c r="N32" s="29"/>
      <c r="O32" s="14" t="s">
        <v>41</v>
      </c>
      <c r="P32" s="15"/>
      <c r="Q32" s="16"/>
      <c r="R32" s="31"/>
      <c r="S32" s="31"/>
      <c r="T32" s="31"/>
      <c r="U32" s="31"/>
      <c r="V32" s="31"/>
      <c r="W32" s="31"/>
      <c r="X32" s="31"/>
      <c r="Y32" s="32"/>
    </row>
    <row r="33" spans="1:25">
      <c r="A33" s="24"/>
      <c r="B33" s="11" t="s">
        <v>42</v>
      </c>
      <c r="C33" s="17">
        <f>COUNTIF(Sheet3!$G$2:$G$149,Summary!B33)</f>
        <v>0</v>
      </c>
      <c r="D33" s="18" t="e">
        <f t="shared" ref="D33:D39" si="3">C33/$C$40</f>
        <v>#DIV/0!</v>
      </c>
      <c r="E33" s="22"/>
      <c r="F33" s="22"/>
      <c r="G33" s="22"/>
      <c r="H33" s="22"/>
      <c r="I33" s="22"/>
      <c r="J33" s="22"/>
      <c r="K33" s="22"/>
      <c r="L33" s="22"/>
      <c r="M33" s="1"/>
      <c r="N33" s="29"/>
      <c r="O33" s="11" t="s">
        <v>42</v>
      </c>
      <c r="P33" s="17">
        <f>COUNTIF('KPI6'!$G$2:$G$144,Summary!O33)</f>
        <v>61</v>
      </c>
      <c r="Q33" s="18">
        <f t="shared" ref="Q33:Q38" si="4">P33/$P$40</f>
        <v>0.59223300970873782</v>
      </c>
      <c r="R33" s="31"/>
      <c r="S33" s="31"/>
      <c r="T33" s="31"/>
      <c r="U33" s="31"/>
      <c r="V33" s="31"/>
      <c r="W33" s="31"/>
      <c r="X33" s="31"/>
      <c r="Y33" s="32"/>
    </row>
    <row r="34" spans="1:25">
      <c r="A34" s="24"/>
      <c r="B34" s="11" t="s">
        <v>43</v>
      </c>
      <c r="C34" s="17">
        <f>COUNTIF(Sheet3!$G$2:$G$149,Summary!B34)</f>
        <v>0</v>
      </c>
      <c r="D34" s="18" t="e">
        <f t="shared" si="3"/>
        <v>#DIV/0!</v>
      </c>
      <c r="E34" s="22"/>
      <c r="F34" s="22"/>
      <c r="G34" s="22"/>
      <c r="H34" s="22"/>
      <c r="I34" s="22"/>
      <c r="J34" s="22"/>
      <c r="K34" s="22"/>
      <c r="L34" s="22"/>
      <c r="M34" s="1"/>
      <c r="N34" s="29"/>
      <c r="O34" s="11" t="s">
        <v>43</v>
      </c>
      <c r="P34" s="17">
        <f>COUNTIF('KPI6'!$G$2:$G$144,Summary!O34)</f>
        <v>0</v>
      </c>
      <c r="Q34" s="18">
        <f t="shared" si="4"/>
        <v>0</v>
      </c>
      <c r="R34" s="31"/>
      <c r="S34" s="31"/>
      <c r="T34" s="31"/>
      <c r="U34" s="31"/>
      <c r="V34" s="31"/>
      <c r="W34" s="31"/>
      <c r="X34" s="31"/>
      <c r="Y34" s="32"/>
    </row>
    <row r="35" spans="1:25">
      <c r="A35" s="24"/>
      <c r="B35" s="11" t="s">
        <v>44</v>
      </c>
      <c r="C35" s="17">
        <f>COUNTIF(Sheet3!$G$2:$G$149,Summary!B35)</f>
        <v>0</v>
      </c>
      <c r="D35" s="18" t="e">
        <f t="shared" si="3"/>
        <v>#DIV/0!</v>
      </c>
      <c r="E35" s="22"/>
      <c r="F35" s="22"/>
      <c r="G35" s="22"/>
      <c r="H35" s="22"/>
      <c r="I35" s="22"/>
      <c r="J35" s="22"/>
      <c r="K35" s="22"/>
      <c r="L35" s="22"/>
      <c r="M35" s="1"/>
      <c r="N35" s="29"/>
      <c r="O35" s="11" t="s">
        <v>44</v>
      </c>
      <c r="P35" s="17">
        <f>COUNTIF('KPI6'!$G$2:$G$144,Summary!O35)</f>
        <v>0</v>
      </c>
      <c r="Q35" s="18">
        <f t="shared" si="4"/>
        <v>0</v>
      </c>
      <c r="R35" s="31"/>
      <c r="S35" s="31"/>
      <c r="T35" s="31"/>
      <c r="U35" s="31"/>
      <c r="V35" s="31"/>
      <c r="W35" s="31"/>
      <c r="X35" s="31"/>
      <c r="Y35" s="32"/>
    </row>
    <row r="36" spans="1:25">
      <c r="A36" s="24"/>
      <c r="B36" s="11" t="s">
        <v>45</v>
      </c>
      <c r="C36" s="17">
        <f>COUNTIF(Sheet3!$G$2:$G$149,Summary!B36)</f>
        <v>0</v>
      </c>
      <c r="D36" s="18" t="e">
        <f t="shared" si="3"/>
        <v>#DIV/0!</v>
      </c>
      <c r="E36" s="22"/>
      <c r="F36" s="22"/>
      <c r="G36" s="22"/>
      <c r="H36" s="22"/>
      <c r="I36" s="22"/>
      <c r="J36" s="22"/>
      <c r="K36" s="22"/>
      <c r="L36" s="22"/>
      <c r="M36" s="1"/>
      <c r="N36" s="29"/>
      <c r="O36" s="11" t="s">
        <v>45</v>
      </c>
      <c r="P36" s="17">
        <f>COUNTIF('KPI6'!$G$2:$G$144,Summary!O36)</f>
        <v>0</v>
      </c>
      <c r="Q36" s="18">
        <f t="shared" si="4"/>
        <v>0</v>
      </c>
      <c r="R36" s="31"/>
      <c r="S36" s="31"/>
      <c r="T36" s="31"/>
      <c r="U36" s="31"/>
      <c r="V36" s="31"/>
      <c r="W36" s="31"/>
      <c r="X36" s="31"/>
      <c r="Y36" s="32"/>
    </row>
    <row r="37" spans="1:25">
      <c r="A37" s="24"/>
      <c r="B37" s="11" t="s">
        <v>46</v>
      </c>
      <c r="C37" s="17">
        <f>COUNTIF(Sheet3!$G$2:$G$149,Summary!B37)</f>
        <v>0</v>
      </c>
      <c r="D37" s="18" t="e">
        <f t="shared" si="3"/>
        <v>#DIV/0!</v>
      </c>
      <c r="E37" s="22"/>
      <c r="F37" s="22"/>
      <c r="G37" s="22"/>
      <c r="H37" s="22"/>
      <c r="I37" s="22"/>
      <c r="J37" s="22"/>
      <c r="K37" s="22"/>
      <c r="L37" s="22"/>
      <c r="M37" s="1"/>
      <c r="N37" s="29"/>
      <c r="O37" s="11" t="s">
        <v>46</v>
      </c>
      <c r="P37" s="17">
        <f>COUNTIF('KPI6'!$G$2:$G$144,Summary!O37)</f>
        <v>0</v>
      </c>
      <c r="Q37" s="18">
        <f t="shared" si="4"/>
        <v>0</v>
      </c>
      <c r="R37" s="31"/>
      <c r="S37" s="31"/>
      <c r="T37" s="31"/>
      <c r="U37" s="31"/>
      <c r="V37" s="31"/>
      <c r="W37" s="31"/>
      <c r="X37" s="31"/>
      <c r="Y37" s="32"/>
    </row>
    <row r="38" spans="1:25">
      <c r="A38" s="24"/>
      <c r="B38" s="11" t="s">
        <v>47</v>
      </c>
      <c r="C38" s="17">
        <f>COUNTIF(Sheet3!$G$2:$G$149,Summary!B38)</f>
        <v>0</v>
      </c>
      <c r="D38" s="18" t="e">
        <f t="shared" si="3"/>
        <v>#DIV/0!</v>
      </c>
      <c r="E38" s="22"/>
      <c r="F38" s="22"/>
      <c r="G38" s="22"/>
      <c r="H38" s="22"/>
      <c r="I38" s="22"/>
      <c r="J38" s="22"/>
      <c r="K38" s="22"/>
      <c r="L38" s="22"/>
      <c r="M38" s="1"/>
      <c r="N38" s="29"/>
      <c r="O38" s="11" t="s">
        <v>47</v>
      </c>
      <c r="P38" s="17">
        <f>COUNTIF('KPI6'!$G$2:$G$144,Summary!O38)</f>
        <v>42</v>
      </c>
      <c r="Q38" s="18">
        <f t="shared" si="4"/>
        <v>0.40776699029126212</v>
      </c>
      <c r="R38" s="31"/>
      <c r="S38" s="31"/>
      <c r="T38" s="31"/>
      <c r="U38" s="31"/>
      <c r="V38" s="31"/>
      <c r="W38" s="31"/>
      <c r="X38" s="31"/>
      <c r="Y38" s="32"/>
    </row>
    <row r="39" spans="1:25" ht="13.9" thickBot="1">
      <c r="A39" s="24"/>
      <c r="B39" s="12" t="s">
        <v>48</v>
      </c>
      <c r="C39" s="17">
        <f>COUNTIF(Sheet3!$G$2:$G$149,Summary!B39)</f>
        <v>0</v>
      </c>
      <c r="D39" s="18" t="e">
        <f t="shared" si="3"/>
        <v>#DIV/0!</v>
      </c>
      <c r="E39" s="22"/>
      <c r="F39" s="22"/>
      <c r="G39" s="22"/>
      <c r="H39" s="22"/>
      <c r="I39" s="22"/>
      <c r="J39" s="22"/>
      <c r="K39" s="22"/>
      <c r="L39" s="22"/>
      <c r="M39" s="1"/>
      <c r="N39" s="29"/>
      <c r="O39" s="12" t="s">
        <v>48</v>
      </c>
      <c r="P39" s="17">
        <f>COUNTIF('KPI6'!$G$2:$G$144,Summary!O39)</f>
        <v>0</v>
      </c>
      <c r="Q39" s="13">
        <f>P39/$P$40</f>
        <v>0</v>
      </c>
      <c r="R39" s="31"/>
      <c r="S39" s="31"/>
      <c r="T39" s="31"/>
      <c r="U39" s="31"/>
      <c r="V39" s="31"/>
      <c r="W39" s="31"/>
      <c r="X39" s="31"/>
      <c r="Y39" s="32"/>
    </row>
    <row r="40" spans="1:25" ht="13.9" thickBot="1">
      <c r="A40" s="24"/>
      <c r="B40" s="19" t="s">
        <v>49</v>
      </c>
      <c r="C40" s="20">
        <f>SUM(C33:C39)</f>
        <v>0</v>
      </c>
      <c r="D40" s="21"/>
      <c r="E40" s="22"/>
      <c r="F40" s="22"/>
      <c r="G40" s="22"/>
      <c r="H40" s="22"/>
      <c r="I40" s="22"/>
      <c r="J40" s="22"/>
      <c r="K40" s="22"/>
      <c r="L40" s="22"/>
      <c r="M40" s="1"/>
      <c r="N40" s="29"/>
      <c r="O40" s="19" t="s">
        <v>49</v>
      </c>
      <c r="P40" s="20">
        <f>SUM(P33:P39)</f>
        <v>103</v>
      </c>
      <c r="Q40" s="21"/>
      <c r="R40" s="31"/>
      <c r="S40" s="31"/>
      <c r="T40" s="31"/>
      <c r="U40" s="31"/>
      <c r="V40" s="31"/>
      <c r="W40" s="31"/>
      <c r="X40" s="31"/>
      <c r="Y40" s="32"/>
    </row>
    <row r="41" spans="1:25" ht="13.9" thickBot="1">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filterMode="1">
    <tabColor indexed="44"/>
    <pageSetUpPr fitToPage="1"/>
  </sheetPr>
  <dimension ref="A1:SZ669"/>
  <sheetViews>
    <sheetView zoomScale="70" zoomScaleNormal="70" workbookViewId="0">
      <pane ySplit="1" topLeftCell="A3" activePane="bottomLeft" state="frozen"/>
      <selection pane="bottomLeft" activeCell="H3" sqref="H3"/>
    </sheetView>
  </sheetViews>
  <sheetFormatPr defaultColWidth="8.7109375" defaultRowHeight="12.75" customHeight="1"/>
  <cols>
    <col min="1" max="1" width="9.5703125" style="57" bestFit="1" customWidth="1"/>
    <col min="2" max="2" width="45.28515625" style="71" customWidth="1"/>
    <col min="3" max="3" width="38.5703125" style="49" customWidth="1"/>
    <col min="4" max="4" width="33.42578125" style="48" customWidth="1"/>
    <col min="5" max="5" width="12.28515625" style="72" bestFit="1" customWidth="1"/>
    <col min="6" max="6" width="14.140625" style="73" bestFit="1" customWidth="1"/>
    <col min="7" max="7" width="10.5703125" style="72" bestFit="1" customWidth="1"/>
    <col min="8" max="8" width="36.7109375" style="55" bestFit="1" customWidth="1"/>
    <col min="9" max="9" width="17" style="57" bestFit="1" customWidth="1"/>
    <col min="10" max="10" width="14.5703125" style="57" bestFit="1" customWidth="1"/>
    <col min="11" max="11" width="15" style="57" bestFit="1" customWidth="1"/>
    <col min="12" max="12" width="17.28515625" style="57" customWidth="1"/>
    <col min="13" max="519" width="8.7109375" style="57"/>
    <col min="520" max="520" width="11" style="57" customWidth="1"/>
    <col min="521" max="16384" width="8.7109375" style="57"/>
  </cols>
  <sheetData>
    <row r="1" spans="1:15" customFormat="1" ht="26.45">
      <c r="A1" s="67" t="s">
        <v>52</v>
      </c>
      <c r="B1" s="68" t="s">
        <v>53</v>
      </c>
      <c r="C1" s="68" t="s">
        <v>54</v>
      </c>
      <c r="D1" s="137" t="s">
        <v>55</v>
      </c>
      <c r="E1" s="67" t="s">
        <v>56</v>
      </c>
      <c r="F1" s="69" t="s">
        <v>57</v>
      </c>
      <c r="G1" s="68" t="s">
        <v>58</v>
      </c>
      <c r="H1" s="378" t="s">
        <v>59</v>
      </c>
      <c r="I1" s="68" t="s">
        <v>60</v>
      </c>
      <c r="J1" s="68" t="s">
        <v>61</v>
      </c>
      <c r="K1" s="68" t="s">
        <v>62</v>
      </c>
      <c r="L1" s="37" t="s">
        <v>63</v>
      </c>
    </row>
    <row r="2" spans="1:15" ht="159">
      <c r="A2" s="47" t="s">
        <v>64</v>
      </c>
      <c r="B2" s="447" t="s">
        <v>65</v>
      </c>
      <c r="C2" s="448" t="s">
        <v>66</v>
      </c>
      <c r="D2" s="411" t="s">
        <v>67</v>
      </c>
      <c r="E2" s="414">
        <v>10</v>
      </c>
      <c r="F2" s="415">
        <v>10</v>
      </c>
      <c r="G2" s="416" t="s">
        <v>42</v>
      </c>
      <c r="H2" s="375" t="s">
        <v>68</v>
      </c>
      <c r="I2" s="159"/>
      <c r="J2" s="385" t="s">
        <v>69</v>
      </c>
      <c r="K2" s="61"/>
      <c r="L2" s="101" t="s">
        <v>70</v>
      </c>
    </row>
    <row r="3" spans="1:15" ht="113.25" customHeight="1">
      <c r="A3" s="47" t="s">
        <v>71</v>
      </c>
      <c r="B3" s="370" t="s">
        <v>72</v>
      </c>
      <c r="C3" s="371" t="s">
        <v>66</v>
      </c>
      <c r="D3" s="372" t="s">
        <v>67</v>
      </c>
      <c r="E3" s="414">
        <v>10</v>
      </c>
      <c r="F3" s="373">
        <v>10</v>
      </c>
      <c r="G3" s="376" t="s">
        <v>42</v>
      </c>
      <c r="H3" s="375" t="s">
        <v>73</v>
      </c>
      <c r="I3" s="159"/>
      <c r="J3" s="385" t="s">
        <v>69</v>
      </c>
      <c r="K3" s="61"/>
      <c r="L3" s="101" t="s">
        <v>74</v>
      </c>
    </row>
    <row r="4" spans="1:15" ht="135" hidden="1" customHeight="1">
      <c r="A4" s="47" t="s">
        <v>75</v>
      </c>
      <c r="B4" s="370" t="s">
        <v>76</v>
      </c>
      <c r="C4" s="371" t="s">
        <v>66</v>
      </c>
      <c r="D4" s="372" t="s">
        <v>67</v>
      </c>
      <c r="E4" s="414">
        <v>10</v>
      </c>
      <c r="F4" s="415">
        <v>10</v>
      </c>
      <c r="G4" s="416" t="s">
        <v>42</v>
      </c>
      <c r="H4" s="375" t="s">
        <v>77</v>
      </c>
      <c r="I4" s="159"/>
      <c r="J4" s="385" t="s">
        <v>69</v>
      </c>
      <c r="K4" s="61"/>
      <c r="L4" s="64" t="s">
        <v>78</v>
      </c>
    </row>
    <row r="5" spans="1:15" ht="135.75" customHeight="1">
      <c r="A5" s="47" t="s">
        <v>79</v>
      </c>
      <c r="B5" s="417" t="s">
        <v>80</v>
      </c>
      <c r="C5" s="418" t="s">
        <v>66</v>
      </c>
      <c r="D5" s="419" t="s">
        <v>67</v>
      </c>
      <c r="E5" s="414">
        <v>10</v>
      </c>
      <c r="F5" s="415">
        <v>10</v>
      </c>
      <c r="G5" s="416" t="s">
        <v>42</v>
      </c>
      <c r="H5" s="375" t="s">
        <v>81</v>
      </c>
      <c r="I5" s="159"/>
      <c r="J5" s="385" t="s">
        <v>69</v>
      </c>
      <c r="K5" s="61"/>
      <c r="L5" s="64" t="s">
        <v>82</v>
      </c>
    </row>
    <row r="6" spans="1:15" ht="132">
      <c r="A6" s="47" t="s">
        <v>83</v>
      </c>
      <c r="B6" s="421" t="s">
        <v>84</v>
      </c>
      <c r="C6" s="451" t="s">
        <v>66</v>
      </c>
      <c r="D6" s="452" t="s">
        <v>67</v>
      </c>
      <c r="E6" s="414">
        <v>10</v>
      </c>
      <c r="F6" s="373">
        <v>10</v>
      </c>
      <c r="G6" s="376" t="s">
        <v>42</v>
      </c>
      <c r="H6" s="375" t="s">
        <v>85</v>
      </c>
      <c r="I6" s="159"/>
      <c r="J6" s="385" t="s">
        <v>69</v>
      </c>
      <c r="K6" s="61"/>
      <c r="L6" s="176" t="s">
        <v>86</v>
      </c>
    </row>
    <row r="7" spans="1:15" ht="184.9">
      <c r="A7" s="47" t="s">
        <v>87</v>
      </c>
      <c r="B7" s="370" t="s">
        <v>88</v>
      </c>
      <c r="C7" s="371" t="s">
        <v>66</v>
      </c>
      <c r="D7" s="372" t="s">
        <v>67</v>
      </c>
      <c r="E7" s="414">
        <v>10</v>
      </c>
      <c r="F7" s="373">
        <v>10</v>
      </c>
      <c r="G7" s="376" t="s">
        <v>42</v>
      </c>
      <c r="H7" s="185" t="s">
        <v>89</v>
      </c>
      <c r="I7" s="159"/>
      <c r="J7" s="385" t="s">
        <v>69</v>
      </c>
      <c r="K7" s="61"/>
      <c r="L7" s="65" t="s">
        <v>90</v>
      </c>
    </row>
    <row r="8" spans="1:15" ht="132">
      <c r="A8" s="47" t="s">
        <v>91</v>
      </c>
      <c r="B8" s="447" t="s">
        <v>92</v>
      </c>
      <c r="C8" s="448" t="s">
        <v>66</v>
      </c>
      <c r="D8" s="411" t="s">
        <v>67</v>
      </c>
      <c r="E8" s="414">
        <v>10</v>
      </c>
      <c r="F8" s="415">
        <v>10</v>
      </c>
      <c r="G8" s="416" t="s">
        <v>42</v>
      </c>
      <c r="H8" s="185" t="s">
        <v>93</v>
      </c>
      <c r="I8" s="159"/>
      <c r="J8" s="385" t="s">
        <v>69</v>
      </c>
      <c r="K8" s="61"/>
      <c r="L8" s="64" t="s">
        <v>94</v>
      </c>
    </row>
    <row r="9" spans="1:15" ht="132">
      <c r="A9" s="84" t="s">
        <v>95</v>
      </c>
      <c r="B9" s="370" t="s">
        <v>96</v>
      </c>
      <c r="C9" s="371" t="s">
        <v>66</v>
      </c>
      <c r="D9" s="372" t="s">
        <v>67</v>
      </c>
      <c r="E9" s="453">
        <v>10</v>
      </c>
      <c r="F9" s="374">
        <v>10</v>
      </c>
      <c r="G9" s="377" t="s">
        <v>42</v>
      </c>
      <c r="H9" s="185" t="s">
        <v>97</v>
      </c>
      <c r="I9" s="337"/>
      <c r="J9" s="385" t="s">
        <v>69</v>
      </c>
      <c r="K9" s="172"/>
      <c r="L9" s="170" t="s">
        <v>98</v>
      </c>
      <c r="M9" s="157"/>
      <c r="N9" s="157"/>
      <c r="O9" s="157"/>
    </row>
    <row r="10" spans="1:15" ht="158.44999999999999">
      <c r="A10" s="84" t="s">
        <v>99</v>
      </c>
      <c r="B10" s="447" t="s">
        <v>100</v>
      </c>
      <c r="C10" s="448" t="s">
        <v>66</v>
      </c>
      <c r="D10" s="411" t="s">
        <v>67</v>
      </c>
      <c r="E10" s="414">
        <v>10</v>
      </c>
      <c r="F10" s="449">
        <v>10</v>
      </c>
      <c r="G10" s="450" t="s">
        <v>42</v>
      </c>
      <c r="H10" s="185" t="s">
        <v>101</v>
      </c>
      <c r="I10" s="337"/>
      <c r="J10" s="385" t="s">
        <v>69</v>
      </c>
      <c r="K10" s="172"/>
      <c r="L10" s="173" t="s">
        <v>102</v>
      </c>
      <c r="M10" s="157"/>
      <c r="N10" s="157"/>
      <c r="O10" s="157"/>
    </row>
    <row r="11" spans="1:15" ht="13.15">
      <c r="A11" s="47"/>
      <c r="B11" s="47"/>
      <c r="C11" s="118"/>
      <c r="D11" s="168"/>
      <c r="E11" s="120"/>
      <c r="F11" s="66"/>
      <c r="G11" s="52"/>
      <c r="H11" s="241"/>
      <c r="I11" s="60"/>
      <c r="J11" s="61"/>
      <c r="K11" s="61"/>
    </row>
    <row r="12" spans="1:15" ht="13.15">
      <c r="A12" s="47"/>
      <c r="B12" s="47"/>
      <c r="C12" s="118"/>
      <c r="D12" s="168"/>
      <c r="E12" s="120"/>
      <c r="F12" s="66"/>
      <c r="G12" s="52"/>
      <c r="H12" s="101"/>
      <c r="I12" s="60"/>
      <c r="J12" s="61"/>
      <c r="K12" s="61"/>
    </row>
    <row r="13" spans="1:15" ht="14.45">
      <c r="A13" s="47"/>
      <c r="B13" s="47"/>
      <c r="C13" s="118"/>
      <c r="D13" s="168"/>
      <c r="E13" s="120"/>
      <c r="F13" s="66"/>
      <c r="G13" s="52"/>
      <c r="H13" s="174"/>
      <c r="I13" s="60"/>
      <c r="J13" s="61"/>
      <c r="K13" s="61"/>
    </row>
    <row r="14" spans="1:15" ht="13.15">
      <c r="A14" s="47"/>
      <c r="B14" s="47"/>
      <c r="C14" s="118"/>
      <c r="D14" s="168"/>
      <c r="E14" s="120"/>
      <c r="F14" s="66"/>
      <c r="G14" s="52"/>
      <c r="H14" s="101"/>
      <c r="I14" s="60"/>
      <c r="J14" s="61"/>
      <c r="K14" s="61"/>
    </row>
    <row r="15" spans="1:15" ht="13.15">
      <c r="A15" s="47"/>
      <c r="B15" s="47"/>
      <c r="C15" s="118"/>
      <c r="D15" s="168"/>
      <c r="E15" s="120"/>
      <c r="F15" s="66"/>
      <c r="G15" s="52"/>
      <c r="H15" s="101"/>
      <c r="I15" s="60"/>
      <c r="J15" s="61"/>
      <c r="K15" s="61"/>
    </row>
    <row r="16" spans="1:15" ht="13.15">
      <c r="A16" s="47"/>
      <c r="B16" s="47"/>
      <c r="C16" s="118"/>
      <c r="D16" s="168"/>
      <c r="E16" s="120"/>
      <c r="F16" s="66"/>
      <c r="G16" s="52"/>
      <c r="H16" s="101"/>
      <c r="I16" s="60"/>
      <c r="J16" s="61"/>
      <c r="K16" s="61"/>
    </row>
    <row r="17" spans="1:11" ht="13.15">
      <c r="A17" s="47"/>
      <c r="B17" s="47"/>
      <c r="C17" s="118"/>
      <c r="D17" s="168"/>
      <c r="E17" s="120"/>
      <c r="F17" s="66"/>
      <c r="G17" s="52"/>
      <c r="H17" s="101"/>
      <c r="I17" s="60"/>
      <c r="J17" s="61"/>
      <c r="K17" s="61"/>
    </row>
    <row r="18" spans="1:11" ht="13.15">
      <c r="A18" s="47"/>
      <c r="B18" s="47"/>
      <c r="C18" s="118"/>
      <c r="D18" s="168"/>
      <c r="E18" s="120"/>
      <c r="F18" s="66"/>
      <c r="G18" s="52"/>
      <c r="H18" s="101"/>
      <c r="I18" s="60"/>
      <c r="J18" s="61"/>
      <c r="K18" s="61"/>
    </row>
    <row r="19" spans="1:11" ht="13.15">
      <c r="A19" s="47"/>
      <c r="B19" s="47"/>
      <c r="C19" s="118"/>
      <c r="D19" s="168"/>
      <c r="E19" s="120"/>
      <c r="F19" s="66"/>
      <c r="G19" s="52"/>
      <c r="H19" s="64"/>
      <c r="I19" s="60"/>
      <c r="J19" s="61"/>
      <c r="K19" s="61"/>
    </row>
    <row r="20" spans="1:11" ht="13.15">
      <c r="A20" s="47"/>
      <c r="B20" s="47"/>
      <c r="C20" s="118"/>
      <c r="D20" s="168"/>
      <c r="E20" s="120"/>
      <c r="F20" s="66"/>
      <c r="G20" s="52"/>
      <c r="H20" s="65"/>
      <c r="I20" s="60"/>
      <c r="J20" s="61"/>
      <c r="K20" s="61"/>
    </row>
    <row r="21" spans="1:11" ht="13.15">
      <c r="A21" s="47"/>
      <c r="B21" s="47"/>
      <c r="C21" s="118"/>
      <c r="D21" s="168"/>
      <c r="E21" s="75"/>
      <c r="F21" s="66"/>
      <c r="G21" s="76"/>
      <c r="H21" s="101"/>
      <c r="I21" s="60"/>
      <c r="J21" s="61"/>
      <c r="K21" s="61"/>
    </row>
    <row r="22" spans="1:11" ht="13.15">
      <c r="A22" s="47"/>
      <c r="B22" s="47"/>
      <c r="C22" s="118"/>
      <c r="D22" s="168"/>
      <c r="E22" s="75"/>
      <c r="F22" s="66"/>
      <c r="G22" s="52"/>
      <c r="H22" s="65"/>
      <c r="I22" s="60"/>
      <c r="J22" s="61"/>
      <c r="K22" s="61"/>
    </row>
    <row r="23" spans="1:11" ht="13.15">
      <c r="A23" s="47"/>
      <c r="B23" s="47"/>
      <c r="C23" s="118"/>
      <c r="D23" s="168"/>
      <c r="E23" s="75"/>
      <c r="F23" s="66"/>
      <c r="G23" s="76"/>
      <c r="H23" s="65"/>
      <c r="I23" s="60"/>
      <c r="J23" s="61"/>
      <c r="K23" s="61"/>
    </row>
    <row r="24" spans="1:11" ht="13.15">
      <c r="A24" s="47"/>
      <c r="B24" s="47"/>
      <c r="C24" s="118"/>
      <c r="D24" s="168"/>
      <c r="E24" s="75"/>
      <c r="F24" s="66"/>
      <c r="G24" s="52"/>
      <c r="H24" s="65"/>
      <c r="I24" s="60"/>
      <c r="J24" s="61"/>
      <c r="K24" s="61"/>
    </row>
    <row r="25" spans="1:11" ht="13.15">
      <c r="A25" s="47"/>
      <c r="B25" s="47"/>
      <c r="C25" s="118"/>
      <c r="D25" s="168"/>
      <c r="E25" s="75"/>
      <c r="F25" s="66"/>
      <c r="G25" s="52"/>
      <c r="H25" s="65"/>
      <c r="I25" s="60"/>
      <c r="J25" s="61"/>
      <c r="K25" s="61"/>
    </row>
    <row r="26" spans="1:11" ht="13.15">
      <c r="A26" s="47"/>
      <c r="B26" s="47"/>
      <c r="C26" s="118"/>
      <c r="D26" s="168"/>
      <c r="E26" s="75"/>
      <c r="F26" s="66"/>
      <c r="G26" s="52"/>
      <c r="H26" s="65"/>
      <c r="I26" s="60"/>
      <c r="J26" s="61"/>
      <c r="K26" s="61"/>
    </row>
    <row r="27" spans="1:11" ht="13.15">
      <c r="A27" s="47"/>
      <c r="B27" s="47"/>
      <c r="C27" s="118"/>
      <c r="D27" s="168"/>
      <c r="E27" s="75"/>
      <c r="F27" s="66"/>
      <c r="G27" s="52"/>
      <c r="H27" s="65"/>
      <c r="I27" s="60"/>
      <c r="J27" s="61"/>
      <c r="K27" s="61"/>
    </row>
    <row r="28" spans="1:11" ht="13.15">
      <c r="A28" s="47"/>
      <c r="B28" s="47"/>
      <c r="C28" s="118"/>
      <c r="D28" s="168"/>
      <c r="E28" s="75"/>
      <c r="F28" s="66"/>
      <c r="G28" s="52"/>
      <c r="H28" s="101"/>
      <c r="I28" s="60"/>
      <c r="J28" s="61"/>
      <c r="K28" s="61"/>
    </row>
    <row r="29" spans="1:11" ht="13.15">
      <c r="A29" s="47"/>
      <c r="B29" s="47"/>
      <c r="C29" s="118"/>
      <c r="D29" s="168"/>
      <c r="E29" s="75"/>
      <c r="F29" s="66"/>
      <c r="G29" s="52"/>
      <c r="H29" s="101"/>
      <c r="I29" s="60"/>
      <c r="J29" s="61"/>
      <c r="K29" s="61"/>
    </row>
    <row r="30" spans="1:11" ht="14.45">
      <c r="A30" s="47"/>
      <c r="B30" s="47"/>
      <c r="C30" s="118"/>
      <c r="D30" s="168"/>
      <c r="E30" s="75"/>
      <c r="F30" s="66"/>
      <c r="G30" s="52"/>
      <c r="H30" s="175"/>
      <c r="I30" s="60"/>
      <c r="J30" s="61"/>
      <c r="K30" s="61"/>
    </row>
    <row r="31" spans="1:11" ht="13.15">
      <c r="A31" s="47"/>
      <c r="B31" s="47"/>
      <c r="C31" s="118"/>
      <c r="D31" s="168"/>
      <c r="E31" s="75"/>
      <c r="F31" s="66"/>
      <c r="G31" s="52"/>
      <c r="H31" s="101"/>
      <c r="I31" s="60"/>
      <c r="J31" s="61"/>
      <c r="K31" s="61"/>
    </row>
    <row r="32" spans="1:11" ht="13.15">
      <c r="A32" s="47"/>
      <c r="B32" s="47"/>
      <c r="C32" s="118"/>
      <c r="D32" s="168"/>
      <c r="E32" s="75"/>
      <c r="F32" s="66"/>
      <c r="G32" s="52"/>
      <c r="H32" s="101"/>
      <c r="I32" s="60"/>
      <c r="J32" s="61"/>
      <c r="K32" s="61"/>
    </row>
    <row r="33" spans="1:11" ht="13.15">
      <c r="A33" s="47"/>
      <c r="B33" s="47"/>
      <c r="C33" s="118"/>
      <c r="D33" s="168"/>
      <c r="E33" s="75"/>
      <c r="F33" s="66"/>
      <c r="G33" s="52"/>
      <c r="H33" s="101"/>
      <c r="I33" s="60"/>
      <c r="J33" s="61"/>
      <c r="K33" s="61"/>
    </row>
    <row r="34" spans="1:11" ht="13.15">
      <c r="A34" s="47"/>
      <c r="B34" s="47"/>
      <c r="C34" s="118"/>
      <c r="D34" s="168"/>
      <c r="E34" s="75"/>
      <c r="F34" s="66"/>
      <c r="G34" s="52"/>
      <c r="H34" s="176"/>
      <c r="I34" s="60"/>
      <c r="J34" s="61"/>
      <c r="K34" s="61"/>
    </row>
    <row r="35" spans="1:11" ht="13.15">
      <c r="A35" s="47"/>
      <c r="B35" s="47"/>
      <c r="C35" s="118"/>
      <c r="D35" s="168"/>
      <c r="E35" s="75"/>
      <c r="F35" s="66"/>
      <c r="G35" s="52"/>
      <c r="H35" s="101"/>
      <c r="I35" s="60"/>
      <c r="J35" s="61"/>
      <c r="K35" s="61"/>
    </row>
    <row r="36" spans="1:11" ht="13.15">
      <c r="A36" s="47"/>
      <c r="B36" s="47"/>
      <c r="C36" s="118"/>
      <c r="D36" s="168"/>
      <c r="E36" s="75"/>
      <c r="F36" s="66"/>
      <c r="G36" s="52"/>
      <c r="H36" s="101"/>
      <c r="I36" s="60"/>
      <c r="J36" s="61"/>
      <c r="K36" s="61"/>
    </row>
    <row r="37" spans="1:11" ht="13.15">
      <c r="A37" s="47"/>
      <c r="B37" s="47"/>
      <c r="C37" s="118"/>
      <c r="D37" s="168"/>
      <c r="E37" s="75"/>
      <c r="F37" s="66"/>
      <c r="G37" s="52"/>
      <c r="H37" s="101"/>
      <c r="I37" s="60"/>
      <c r="J37" s="61"/>
      <c r="K37" s="61"/>
    </row>
    <row r="38" spans="1:11" ht="13.15">
      <c r="A38" s="47"/>
      <c r="B38" s="47"/>
      <c r="C38" s="118"/>
      <c r="D38" s="168"/>
      <c r="E38" s="75"/>
      <c r="F38" s="66"/>
      <c r="G38" s="52"/>
      <c r="H38" s="101"/>
      <c r="I38" s="60"/>
      <c r="J38" s="61"/>
      <c r="K38" s="61"/>
    </row>
    <row r="39" spans="1:11" ht="13.15">
      <c r="A39" s="47"/>
      <c r="B39" s="47"/>
      <c r="C39" s="118"/>
      <c r="D39" s="168"/>
      <c r="E39" s="75"/>
      <c r="F39" s="66"/>
      <c r="G39" s="52"/>
      <c r="H39" s="101"/>
      <c r="I39" s="60"/>
      <c r="J39" s="61"/>
      <c r="K39" s="61"/>
    </row>
    <row r="40" spans="1:11" ht="13.15">
      <c r="A40" s="47"/>
      <c r="B40" s="47"/>
      <c r="C40" s="118"/>
      <c r="D40" s="168"/>
      <c r="E40" s="75"/>
      <c r="F40" s="66"/>
      <c r="G40" s="52"/>
      <c r="H40" s="101"/>
      <c r="I40" s="60"/>
      <c r="J40" s="61"/>
      <c r="K40" s="61"/>
    </row>
    <row r="41" spans="1:11" ht="13.15">
      <c r="A41" s="47"/>
      <c r="B41" s="47"/>
      <c r="C41" s="118"/>
      <c r="D41" s="168"/>
      <c r="E41" s="75"/>
      <c r="F41" s="66"/>
      <c r="G41" s="52"/>
      <c r="H41" s="101"/>
      <c r="I41" s="60"/>
      <c r="J41" s="61"/>
      <c r="K41" s="61"/>
    </row>
    <row r="42" spans="1:11" ht="13.15">
      <c r="A42" s="47"/>
      <c r="B42" s="47"/>
      <c r="C42" s="118"/>
      <c r="D42" s="168"/>
      <c r="E42" s="75"/>
      <c r="F42" s="66"/>
      <c r="G42" s="52"/>
      <c r="H42" s="101"/>
      <c r="I42" s="60"/>
      <c r="J42" s="61"/>
      <c r="K42" s="61"/>
    </row>
    <row r="43" spans="1:11" ht="13.15">
      <c r="A43" s="47"/>
      <c r="B43" s="47"/>
      <c r="C43" s="118"/>
      <c r="D43" s="168"/>
      <c r="E43" s="75"/>
      <c r="F43" s="66"/>
      <c r="G43" s="52"/>
      <c r="H43" s="101"/>
      <c r="I43" s="60"/>
      <c r="J43" s="61"/>
      <c r="K43" s="61"/>
    </row>
    <row r="44" spans="1:11" ht="13.15">
      <c r="A44" s="47"/>
      <c r="B44" s="47"/>
      <c r="C44" s="118"/>
      <c r="D44" s="168"/>
      <c r="E44" s="75"/>
      <c r="F44" s="66"/>
      <c r="G44" s="52"/>
      <c r="H44" s="101"/>
      <c r="I44" s="60"/>
      <c r="J44" s="61"/>
      <c r="K44" s="61"/>
    </row>
    <row r="45" spans="1:11" ht="13.15">
      <c r="A45" s="47"/>
      <c r="B45" s="47"/>
      <c r="C45" s="118"/>
      <c r="D45" s="168"/>
      <c r="E45" s="75"/>
      <c r="F45" s="66"/>
      <c r="G45" s="52"/>
      <c r="H45" s="101"/>
      <c r="I45" s="60"/>
      <c r="J45" s="61"/>
      <c r="K45" s="61"/>
    </row>
    <row r="46" spans="1:11" ht="13.15">
      <c r="A46" s="47"/>
      <c r="B46" s="47"/>
      <c r="C46" s="118"/>
      <c r="D46" s="168"/>
      <c r="E46" s="75"/>
      <c r="F46" s="66"/>
      <c r="G46" s="52"/>
      <c r="H46" s="101"/>
      <c r="I46" s="60"/>
      <c r="J46" s="61"/>
      <c r="K46" s="61"/>
    </row>
    <row r="47" spans="1:11" ht="13.15">
      <c r="A47" s="47"/>
      <c r="B47" s="47"/>
      <c r="C47" s="118"/>
      <c r="D47" s="168"/>
      <c r="E47" s="75"/>
      <c r="F47" s="66"/>
      <c r="G47" s="52"/>
      <c r="H47" s="101"/>
      <c r="I47" s="177"/>
      <c r="J47" s="178"/>
      <c r="K47" s="178"/>
    </row>
    <row r="48" spans="1:11" ht="13.15">
      <c r="A48" s="47"/>
      <c r="B48" s="47"/>
      <c r="C48" s="118"/>
      <c r="D48" s="168"/>
      <c r="E48" s="75"/>
      <c r="F48" s="66"/>
      <c r="G48" s="179"/>
      <c r="H48" s="101"/>
      <c r="I48" s="180"/>
      <c r="J48" s="181"/>
      <c r="K48" s="181"/>
    </row>
    <row r="49" spans="1:11" ht="13.15">
      <c r="A49" s="47"/>
      <c r="B49" s="47"/>
      <c r="C49" s="118"/>
      <c r="D49" s="168"/>
      <c r="E49" s="75"/>
      <c r="F49" s="66"/>
      <c r="G49" s="179"/>
      <c r="H49" s="101"/>
      <c r="I49" s="180"/>
      <c r="J49" s="181"/>
      <c r="K49" s="181"/>
    </row>
    <row r="50" spans="1:11" ht="13.15">
      <c r="A50" s="47"/>
      <c r="B50" s="47"/>
      <c r="C50" s="118"/>
      <c r="D50" s="168"/>
      <c r="E50" s="75"/>
      <c r="F50" s="66"/>
      <c r="G50" s="179"/>
      <c r="H50" s="101"/>
      <c r="I50" s="180"/>
      <c r="J50" s="181"/>
      <c r="K50" s="181"/>
    </row>
    <row r="51" spans="1:11" ht="13.15">
      <c r="A51" s="47"/>
      <c r="B51" s="47"/>
      <c r="C51" s="118"/>
      <c r="D51" s="168"/>
      <c r="E51" s="75"/>
      <c r="F51" s="66"/>
      <c r="G51" s="179"/>
      <c r="H51" s="101"/>
      <c r="I51" s="180"/>
      <c r="J51" s="181"/>
      <c r="K51" s="181"/>
    </row>
    <row r="52" spans="1:11" ht="13.15">
      <c r="A52" s="47"/>
      <c r="B52" s="47"/>
      <c r="C52" s="118"/>
      <c r="D52" s="168"/>
      <c r="E52" s="75"/>
      <c r="F52" s="66"/>
      <c r="G52" s="179"/>
      <c r="H52" s="65"/>
      <c r="I52" s="180"/>
      <c r="J52" s="181"/>
      <c r="K52" s="181"/>
    </row>
    <row r="53" spans="1:11" ht="13.15">
      <c r="A53" s="47"/>
      <c r="B53" s="47"/>
      <c r="C53" s="118"/>
      <c r="D53" s="182"/>
      <c r="E53" s="120"/>
      <c r="F53" s="66"/>
      <c r="G53" s="179"/>
      <c r="H53" s="101"/>
      <c r="I53" s="180"/>
      <c r="J53" s="181"/>
      <c r="K53" s="181"/>
    </row>
    <row r="54" spans="1:11" ht="13.15">
      <c r="A54" s="47"/>
      <c r="B54" s="47"/>
      <c r="C54" s="118"/>
      <c r="D54" s="182"/>
      <c r="E54" s="120"/>
      <c r="F54" s="66"/>
      <c r="G54" s="179"/>
      <c r="H54" s="101"/>
      <c r="I54" s="180"/>
      <c r="J54" s="181"/>
      <c r="K54" s="181"/>
    </row>
    <row r="55" spans="1:11" ht="13.15">
      <c r="A55" s="47"/>
      <c r="B55" s="47"/>
      <c r="C55" s="118"/>
      <c r="D55" s="182"/>
      <c r="E55" s="120"/>
      <c r="F55" s="66"/>
      <c r="G55" s="179"/>
      <c r="H55" s="101"/>
      <c r="I55" s="180"/>
      <c r="J55" s="181"/>
      <c r="K55" s="181"/>
    </row>
    <row r="56" spans="1:11" ht="14.45">
      <c r="A56" s="47"/>
      <c r="B56" s="47"/>
      <c r="C56" s="118"/>
      <c r="D56" s="182"/>
      <c r="E56" s="120"/>
      <c r="F56" s="66"/>
      <c r="G56" s="179"/>
      <c r="H56" s="183"/>
      <c r="I56" s="184"/>
      <c r="J56" s="184"/>
      <c r="K56" s="184"/>
    </row>
    <row r="57" spans="1:11" ht="13.15">
      <c r="A57" s="47"/>
      <c r="B57" s="47"/>
      <c r="C57" s="118"/>
      <c r="D57" s="182"/>
      <c r="E57" s="120"/>
      <c r="F57" s="66"/>
      <c r="G57" s="179"/>
      <c r="H57" s="101"/>
      <c r="I57" s="184"/>
      <c r="J57" s="184"/>
      <c r="K57" s="184"/>
    </row>
    <row r="58" spans="1:11" ht="13.15">
      <c r="A58" s="47"/>
      <c r="B58" s="47"/>
      <c r="C58" s="118"/>
      <c r="D58" s="182"/>
      <c r="E58" s="120"/>
      <c r="F58" s="66"/>
      <c r="G58" s="179"/>
      <c r="H58" s="185"/>
      <c r="I58" s="184"/>
      <c r="J58" s="184"/>
      <c r="K58" s="184"/>
    </row>
    <row r="59" spans="1:11" ht="13.15">
      <c r="A59" s="47"/>
      <c r="B59" s="47"/>
      <c r="C59" s="118"/>
      <c r="D59" s="182"/>
      <c r="E59" s="75"/>
      <c r="F59" s="66"/>
      <c r="G59" s="179"/>
      <c r="H59" s="101"/>
      <c r="I59" s="184"/>
      <c r="J59" s="184"/>
      <c r="K59" s="184"/>
    </row>
    <row r="60" spans="1:11" ht="13.15">
      <c r="A60" s="47"/>
      <c r="B60" s="47"/>
      <c r="C60" s="118"/>
      <c r="D60" s="182"/>
      <c r="E60" s="75"/>
      <c r="F60" s="66"/>
      <c r="G60" s="179"/>
      <c r="H60" s="101"/>
      <c r="I60" s="184"/>
      <c r="J60" s="184"/>
      <c r="K60" s="184"/>
    </row>
    <row r="61" spans="1:11" ht="13.15">
      <c r="A61" s="47"/>
      <c r="B61" s="47"/>
      <c r="C61" s="118"/>
      <c r="D61" s="182"/>
      <c r="E61" s="75"/>
      <c r="F61" s="66"/>
      <c r="G61" s="179"/>
      <c r="H61" s="185"/>
      <c r="I61" s="184"/>
      <c r="J61" s="184"/>
      <c r="K61" s="184"/>
    </row>
    <row r="62" spans="1:11" ht="13.15">
      <c r="A62" s="47"/>
      <c r="B62" s="47"/>
      <c r="C62" s="118"/>
      <c r="D62" s="182"/>
      <c r="E62" s="75"/>
      <c r="F62" s="66"/>
      <c r="G62" s="179"/>
      <c r="H62" s="185"/>
      <c r="I62" s="184"/>
      <c r="J62" s="184"/>
      <c r="K62" s="184"/>
    </row>
    <row r="63" spans="1:11" ht="13.15">
      <c r="A63" s="47"/>
      <c r="B63" s="47"/>
      <c r="C63" s="118"/>
      <c r="D63" s="182"/>
      <c r="E63" s="120"/>
      <c r="F63" s="66"/>
      <c r="G63" s="179"/>
      <c r="H63" s="185"/>
      <c r="I63" s="184"/>
      <c r="J63" s="184"/>
      <c r="K63" s="184"/>
    </row>
    <row r="64" spans="1:11" ht="13.15">
      <c r="A64" s="47"/>
      <c r="B64" s="47"/>
      <c r="C64" s="118"/>
      <c r="D64" s="182"/>
      <c r="E64" s="120"/>
      <c r="F64" s="66"/>
      <c r="G64" s="179"/>
      <c r="H64" s="185"/>
      <c r="I64" s="184"/>
      <c r="J64" s="184"/>
      <c r="K64" s="184"/>
    </row>
    <row r="65" spans="1:520" ht="13.15">
      <c r="A65" s="47"/>
      <c r="B65" s="47"/>
      <c r="C65" s="118"/>
      <c r="D65" s="182"/>
      <c r="E65" s="75"/>
      <c r="F65" s="66"/>
      <c r="G65" s="179"/>
      <c r="H65" s="185"/>
      <c r="I65" s="184"/>
      <c r="J65" s="184"/>
      <c r="K65" s="184"/>
    </row>
    <row r="66" spans="1:520" ht="13.15">
      <c r="A66" s="47"/>
      <c r="B66" s="47"/>
      <c r="C66" s="118"/>
      <c r="D66" s="182"/>
      <c r="E66" s="75"/>
      <c r="F66" s="66"/>
      <c r="G66" s="179"/>
      <c r="H66" s="185"/>
      <c r="I66" s="184"/>
      <c r="J66" s="184"/>
      <c r="K66" s="184"/>
    </row>
    <row r="67" spans="1:520" ht="13.15">
      <c r="A67" s="47"/>
      <c r="B67" s="47"/>
      <c r="C67" s="118"/>
      <c r="D67" s="182"/>
      <c r="E67" s="75"/>
      <c r="F67" s="66"/>
      <c r="G67" s="179"/>
      <c r="H67" s="185"/>
      <c r="I67" s="184"/>
      <c r="J67" s="184"/>
      <c r="K67" s="184"/>
    </row>
    <row r="68" spans="1:520" ht="13.15">
      <c r="A68" s="47"/>
      <c r="B68" s="47"/>
      <c r="C68" s="118"/>
      <c r="D68" s="182"/>
      <c r="E68" s="75"/>
      <c r="F68" s="66"/>
      <c r="G68" s="179"/>
      <c r="H68" s="185"/>
      <c r="I68" s="184"/>
      <c r="J68" s="184"/>
      <c r="K68" s="184"/>
    </row>
    <row r="69" spans="1:520" ht="13.15">
      <c r="A69" s="47"/>
      <c r="B69" s="187"/>
      <c r="C69" s="118"/>
      <c r="D69" s="182"/>
      <c r="E69" s="188"/>
      <c r="F69" s="189"/>
      <c r="G69" s="190"/>
      <c r="H69" s="191"/>
      <c r="I69" s="192"/>
      <c r="J69" s="192"/>
      <c r="K69" s="192"/>
    </row>
    <row r="70" spans="1:520" ht="13.15">
      <c r="A70" s="193"/>
      <c r="B70" s="47"/>
      <c r="C70" s="118"/>
      <c r="D70" s="168"/>
      <c r="E70" s="119"/>
      <c r="F70" s="66"/>
      <c r="G70" s="52"/>
      <c r="H70" s="64"/>
      <c r="I70" s="184"/>
      <c r="J70" s="184"/>
      <c r="K70" s="184"/>
    </row>
    <row r="71" spans="1:520" ht="13.15">
      <c r="A71" s="193"/>
      <c r="B71" s="47"/>
      <c r="C71" s="118"/>
      <c r="D71" s="168"/>
      <c r="E71" s="119"/>
      <c r="F71" s="66"/>
      <c r="G71" s="52"/>
      <c r="H71" s="185"/>
      <c r="I71" s="184"/>
      <c r="J71" s="184"/>
      <c r="K71" s="184"/>
    </row>
    <row r="72" spans="1:520" ht="13.15">
      <c r="A72" s="193"/>
      <c r="B72" s="47"/>
      <c r="C72" s="118"/>
      <c r="D72" s="168"/>
      <c r="E72" s="119"/>
      <c r="F72" s="66"/>
      <c r="G72" s="52"/>
      <c r="H72" s="185"/>
      <c r="I72" s="184"/>
      <c r="J72" s="184"/>
      <c r="K72" s="184"/>
    </row>
    <row r="73" spans="1:520" ht="13.15">
      <c r="A73" s="193"/>
      <c r="B73" s="47"/>
      <c r="C73" s="118"/>
      <c r="D73" s="168"/>
      <c r="E73" s="119"/>
      <c r="F73" s="66"/>
      <c r="G73" s="52"/>
      <c r="H73" s="185"/>
      <c r="I73" s="184"/>
      <c r="J73" s="184"/>
      <c r="K73" s="184"/>
    </row>
    <row r="74" spans="1:520" ht="13.15">
      <c r="A74" s="193"/>
      <c r="B74" s="47"/>
      <c r="C74" s="118"/>
      <c r="D74" s="168"/>
      <c r="E74" s="119"/>
      <c r="F74" s="66"/>
      <c r="G74" s="52"/>
      <c r="H74" s="185"/>
      <c r="I74" s="184"/>
      <c r="J74" s="184"/>
      <c r="K74" s="184"/>
    </row>
    <row r="75" spans="1:520" ht="13.15">
      <c r="A75" s="193"/>
      <c r="B75" s="47"/>
      <c r="C75" s="118"/>
      <c r="D75" s="168"/>
      <c r="E75" s="119"/>
      <c r="F75" s="66"/>
      <c r="G75" s="52"/>
      <c r="H75" s="185"/>
      <c r="I75" s="184"/>
      <c r="J75" s="184"/>
      <c r="K75" s="184"/>
    </row>
    <row r="76" spans="1:520" ht="13.15">
      <c r="A76" s="193"/>
      <c r="B76" s="47"/>
      <c r="C76" s="118"/>
      <c r="D76" s="168"/>
      <c r="E76" s="119"/>
      <c r="F76" s="66"/>
      <c r="G76" s="52"/>
      <c r="H76" s="185"/>
      <c r="I76" s="184"/>
      <c r="J76" s="184"/>
      <c r="K76" s="184"/>
    </row>
    <row r="77" spans="1:520" ht="13.15">
      <c r="A77" s="194"/>
      <c r="B77" s="195"/>
      <c r="C77" s="196"/>
      <c r="D77" s="168"/>
      <c r="E77" s="197"/>
      <c r="F77" s="198"/>
      <c r="G77" s="76"/>
      <c r="H77" s="191"/>
      <c r="I77" s="192"/>
      <c r="J77" s="192"/>
      <c r="K77" s="199"/>
    </row>
    <row r="78" spans="1:520" ht="13.15">
      <c r="A78" s="200"/>
      <c r="B78" s="201"/>
      <c r="C78" s="196"/>
      <c r="D78" s="168"/>
      <c r="E78" s="202"/>
      <c r="F78" s="203"/>
      <c r="G78" s="76"/>
      <c r="H78" s="185"/>
      <c r="I78" s="184"/>
      <c r="J78" s="184"/>
      <c r="K78" s="61"/>
      <c r="SZ78" s="57" t="s">
        <v>103</v>
      </c>
    </row>
    <row r="79" spans="1:520" ht="13.15">
      <c r="A79" s="204"/>
      <c r="B79" s="201"/>
      <c r="C79" s="196"/>
      <c r="D79" s="168"/>
      <c r="E79" s="202"/>
      <c r="F79" s="203"/>
      <c r="G79" s="76"/>
      <c r="H79" s="185"/>
      <c r="I79" s="184"/>
      <c r="J79" s="184"/>
      <c r="K79" s="184"/>
    </row>
    <row r="80" spans="1:520" ht="13.15">
      <c r="A80" s="204"/>
      <c r="B80" s="186"/>
      <c r="C80" s="196"/>
      <c r="D80" s="168"/>
      <c r="E80" s="202"/>
      <c r="F80" s="203"/>
      <c r="G80" s="76"/>
      <c r="H80" s="185"/>
      <c r="I80" s="184"/>
      <c r="J80" s="184"/>
      <c r="K80" s="184"/>
    </row>
    <row r="81" spans="1:11" ht="13.15">
      <c r="A81" s="204"/>
      <c r="B81" s="201"/>
      <c r="C81" s="196"/>
      <c r="D81" s="168"/>
      <c r="E81" s="202"/>
      <c r="F81" s="203"/>
      <c r="G81" s="76"/>
      <c r="H81" s="185"/>
      <c r="I81" s="184"/>
      <c r="J81" s="184"/>
      <c r="K81" s="184"/>
    </row>
    <row r="82" spans="1:11" ht="13.15">
      <c r="A82" s="204"/>
      <c r="B82" s="201"/>
      <c r="C82" s="196"/>
      <c r="D82" s="168"/>
      <c r="E82" s="202"/>
      <c r="F82" s="203"/>
      <c r="G82" s="76"/>
      <c r="H82" s="185"/>
      <c r="I82" s="184"/>
      <c r="J82" s="184"/>
      <c r="K82" s="184"/>
    </row>
    <row r="83" spans="1:11" ht="13.15">
      <c r="A83" s="204"/>
      <c r="B83" s="201"/>
      <c r="C83" s="196"/>
      <c r="D83" s="168"/>
      <c r="E83" s="202"/>
      <c r="F83" s="203"/>
      <c r="G83" s="76"/>
      <c r="H83" s="185"/>
      <c r="I83" s="184"/>
      <c r="J83" s="184"/>
      <c r="K83" s="61"/>
    </row>
    <row r="84" spans="1:11" ht="13.15">
      <c r="A84" s="204"/>
      <c r="B84" s="201"/>
      <c r="C84" s="196"/>
      <c r="D84" s="168"/>
      <c r="E84" s="202"/>
      <c r="F84" s="203"/>
      <c r="G84" s="76"/>
      <c r="H84" s="191"/>
      <c r="I84" s="192"/>
      <c r="J84" s="192"/>
      <c r="K84" s="61"/>
    </row>
    <row r="85" spans="1:11" ht="13.15">
      <c r="A85" s="204"/>
      <c r="B85" s="201"/>
      <c r="C85" s="196"/>
      <c r="D85" s="168"/>
      <c r="E85" s="205"/>
      <c r="F85" s="206"/>
      <c r="G85" s="76"/>
      <c r="H85" s="98"/>
      <c r="I85" s="192"/>
      <c r="J85" s="192"/>
      <c r="K85" s="61"/>
    </row>
    <row r="86" spans="1:11" ht="13.9">
      <c r="A86" s="204"/>
      <c r="B86" s="207"/>
      <c r="C86" s="208"/>
      <c r="D86" s="209"/>
      <c r="E86" s="210"/>
      <c r="F86" s="211"/>
      <c r="G86" s="128"/>
      <c r="H86" s="212"/>
      <c r="I86" s="184"/>
      <c r="J86" s="184"/>
      <c r="K86" s="184"/>
    </row>
    <row r="87" spans="1:11" ht="13.9">
      <c r="A87" s="204"/>
      <c r="B87" s="207"/>
      <c r="C87" s="208"/>
      <c r="D87" s="209"/>
      <c r="E87" s="210"/>
      <c r="F87" s="211"/>
      <c r="G87" s="128"/>
      <c r="H87" s="212"/>
      <c r="I87" s="158"/>
      <c r="J87" s="158"/>
      <c r="K87" s="158"/>
    </row>
    <row r="88" spans="1:11" ht="13.9">
      <c r="A88" s="204"/>
      <c r="B88" s="207"/>
      <c r="C88" s="208"/>
      <c r="D88" s="209"/>
      <c r="E88" s="210"/>
      <c r="F88" s="211"/>
      <c r="G88" s="128"/>
      <c r="H88" s="212"/>
      <c r="I88" s="158"/>
      <c r="J88" s="158"/>
      <c r="K88" s="158"/>
    </row>
    <row r="89" spans="1:11" ht="13.9">
      <c r="A89" s="204"/>
      <c r="B89" s="207"/>
      <c r="C89" s="208"/>
      <c r="D89" s="209"/>
      <c r="E89" s="210"/>
      <c r="F89" s="211"/>
      <c r="G89" s="128"/>
      <c r="H89" s="212"/>
      <c r="I89" s="158"/>
      <c r="J89" s="158"/>
      <c r="K89" s="158"/>
    </row>
    <row r="90" spans="1:11" ht="13.9">
      <c r="A90" s="204"/>
      <c r="B90" s="213"/>
      <c r="C90" s="208"/>
      <c r="D90" s="209"/>
      <c r="E90" s="210"/>
      <c r="F90" s="211"/>
      <c r="G90" s="128"/>
      <c r="H90" s="212"/>
      <c r="I90" s="158"/>
      <c r="J90" s="158"/>
      <c r="K90" s="158"/>
    </row>
    <row r="91" spans="1:11" ht="13.9">
      <c r="A91" s="204"/>
      <c r="B91" s="213"/>
      <c r="C91" s="208"/>
      <c r="D91" s="209"/>
      <c r="E91" s="210"/>
      <c r="F91" s="211"/>
      <c r="G91" s="128"/>
      <c r="H91" s="98"/>
      <c r="I91" s="158"/>
      <c r="J91" s="158"/>
      <c r="K91" s="158"/>
    </row>
    <row r="92" spans="1:11" ht="13.9">
      <c r="A92" s="204"/>
      <c r="B92" s="214"/>
      <c r="C92" s="208"/>
      <c r="D92" s="209"/>
      <c r="E92" s="210"/>
      <c r="F92" s="211"/>
      <c r="G92" s="128"/>
      <c r="H92" s="98"/>
      <c r="I92" s="158"/>
      <c r="J92" s="158"/>
      <c r="K92" s="158"/>
    </row>
    <row r="93" spans="1:11" ht="13.9">
      <c r="A93" s="204"/>
      <c r="B93" s="207"/>
      <c r="C93" s="208"/>
      <c r="D93" s="209"/>
      <c r="E93" s="210"/>
      <c r="F93" s="211"/>
      <c r="G93" s="128"/>
      <c r="H93" s="98"/>
      <c r="I93" s="158"/>
      <c r="J93" s="158"/>
      <c r="K93" s="158"/>
    </row>
    <row r="94" spans="1:11" ht="13.9">
      <c r="A94" s="204"/>
      <c r="B94" s="207"/>
      <c r="C94" s="208"/>
      <c r="D94" s="209"/>
      <c r="E94" s="210"/>
      <c r="F94" s="211"/>
      <c r="G94" s="128"/>
      <c r="H94" s="98"/>
      <c r="I94" s="158"/>
      <c r="J94" s="158"/>
      <c r="K94" s="158"/>
    </row>
    <row r="95" spans="1:11" ht="13.9">
      <c r="A95" s="204"/>
      <c r="B95" s="207"/>
      <c r="C95" s="208"/>
      <c r="D95" s="209"/>
      <c r="E95" s="210"/>
      <c r="F95" s="211"/>
      <c r="G95" s="128"/>
      <c r="H95" s="98"/>
      <c r="I95" s="158"/>
      <c r="J95" s="158"/>
      <c r="K95" s="158"/>
    </row>
    <row r="96" spans="1:11" ht="13.9">
      <c r="A96" s="204"/>
      <c r="B96" s="207"/>
      <c r="C96" s="208"/>
      <c r="D96" s="209"/>
      <c r="E96" s="210"/>
      <c r="F96" s="211"/>
      <c r="G96" s="128"/>
      <c r="H96" s="98"/>
      <c r="I96" s="158"/>
      <c r="J96" s="158"/>
      <c r="K96" s="158"/>
    </row>
    <row r="97" spans="1:11" ht="15.6">
      <c r="A97" s="204"/>
      <c r="B97" s="213"/>
      <c r="C97" s="208"/>
      <c r="D97" s="209"/>
      <c r="E97" s="210"/>
      <c r="F97" s="211"/>
      <c r="G97" s="128"/>
      <c r="H97" s="215"/>
      <c r="I97" s="158"/>
      <c r="J97" s="158"/>
      <c r="K97" s="158"/>
    </row>
    <row r="98" spans="1:11" ht="13.9">
      <c r="A98" s="204"/>
      <c r="B98" s="213"/>
      <c r="C98" s="208"/>
      <c r="D98" s="209"/>
      <c r="E98" s="210"/>
      <c r="F98" s="211"/>
      <c r="G98" s="128"/>
      <c r="H98" s="98"/>
      <c r="I98" s="158"/>
      <c r="J98" s="158"/>
      <c r="K98" s="158"/>
    </row>
    <row r="99" spans="1:11" ht="15.6">
      <c r="A99" s="204"/>
      <c r="B99" s="214"/>
      <c r="C99" s="208"/>
      <c r="D99" s="209"/>
      <c r="E99" s="210"/>
      <c r="F99" s="211"/>
      <c r="G99" s="128"/>
      <c r="H99" s="215"/>
      <c r="I99" s="158"/>
      <c r="J99" s="158"/>
      <c r="K99" s="158"/>
    </row>
    <row r="100" spans="1:11" ht="13.9">
      <c r="A100" s="204"/>
      <c r="B100" s="213"/>
      <c r="C100" s="208"/>
      <c r="D100" s="209"/>
      <c r="E100" s="210"/>
      <c r="F100" s="211"/>
      <c r="G100" s="128"/>
      <c r="H100" s="216"/>
      <c r="I100" s="217"/>
      <c r="J100" s="217"/>
      <c r="K100" s="217"/>
    </row>
    <row r="101" spans="1:11" ht="13.15">
      <c r="A101" s="204"/>
      <c r="B101" s="105"/>
      <c r="C101" s="196"/>
      <c r="D101" s="168"/>
      <c r="E101" s="218"/>
      <c r="F101" s="219"/>
      <c r="G101" s="128"/>
      <c r="H101" s="185"/>
      <c r="I101" s="184"/>
      <c r="J101" s="192"/>
      <c r="K101" s="192"/>
    </row>
    <row r="102" spans="1:11" ht="13.9">
      <c r="A102" s="204"/>
      <c r="B102" s="214"/>
      <c r="C102" s="208"/>
      <c r="D102" s="209"/>
      <c r="E102" s="210"/>
      <c r="F102" s="210"/>
      <c r="G102" s="220"/>
      <c r="H102" s="185"/>
      <c r="I102" s="184"/>
      <c r="J102" s="184"/>
      <c r="K102" s="184"/>
    </row>
    <row r="103" spans="1:11" ht="13.9">
      <c r="A103" s="204"/>
      <c r="B103" s="214"/>
      <c r="C103" s="208"/>
      <c r="D103" s="209"/>
      <c r="E103" s="210"/>
      <c r="F103" s="210"/>
      <c r="G103" s="220"/>
      <c r="H103" s="185"/>
      <c r="I103" s="184"/>
      <c r="J103" s="184"/>
      <c r="K103" s="184"/>
    </row>
    <row r="104" spans="1:11" ht="13.9">
      <c r="A104" s="204"/>
      <c r="B104" s="214"/>
      <c r="C104" s="208"/>
      <c r="D104" s="209"/>
      <c r="E104" s="210"/>
      <c r="F104" s="210"/>
      <c r="G104" s="220"/>
      <c r="H104" s="185"/>
      <c r="I104" s="184"/>
      <c r="J104" s="184"/>
      <c r="K104" s="184"/>
    </row>
    <row r="105" spans="1:11" ht="13.9">
      <c r="A105" s="204"/>
      <c r="B105" s="214"/>
      <c r="C105" s="208"/>
      <c r="D105" s="209"/>
      <c r="E105" s="210"/>
      <c r="F105" s="210"/>
      <c r="H105" s="185"/>
      <c r="I105" s="184"/>
      <c r="J105" s="184"/>
      <c r="K105" s="184"/>
    </row>
    <row r="106" spans="1:11" ht="14.45">
      <c r="A106" s="204"/>
      <c r="B106" s="131"/>
      <c r="C106" s="208"/>
      <c r="D106" s="209"/>
      <c r="E106" s="76"/>
      <c r="F106" s="76"/>
      <c r="G106" s="221"/>
      <c r="H106" s="222"/>
      <c r="I106" s="184"/>
      <c r="J106" s="184"/>
      <c r="K106" s="184"/>
    </row>
    <row r="107" spans="1:11" ht="13.15" customHeight="1">
      <c r="A107" s="204"/>
      <c r="B107" s="131"/>
      <c r="C107" s="223"/>
      <c r="D107" s="209"/>
      <c r="E107" s="76"/>
      <c r="F107" s="224"/>
      <c r="G107" s="221"/>
      <c r="H107" s="222"/>
      <c r="I107" s="184"/>
      <c r="J107" s="184"/>
      <c r="K107" s="184"/>
    </row>
    <row r="108" spans="1:11" ht="13.15" customHeight="1">
      <c r="A108" s="204"/>
      <c r="B108" s="225"/>
      <c r="C108" s="223"/>
      <c r="D108" s="209"/>
      <c r="E108" s="76"/>
      <c r="F108" s="76"/>
      <c r="G108" s="221"/>
      <c r="H108" s="222"/>
      <c r="I108" s="184"/>
      <c r="J108" s="184"/>
      <c r="K108" s="184"/>
    </row>
    <row r="109" spans="1:11" ht="13.15" customHeight="1">
      <c r="A109" s="204"/>
      <c r="B109" s="225"/>
      <c r="C109" s="223"/>
      <c r="D109" s="209"/>
      <c r="E109" s="76"/>
      <c r="F109" s="76"/>
      <c r="G109" s="221"/>
      <c r="H109" s="222"/>
      <c r="I109" s="184"/>
      <c r="J109" s="184"/>
      <c r="K109" s="184"/>
    </row>
    <row r="110" spans="1:11" ht="13.15" customHeight="1">
      <c r="A110" s="204"/>
      <c r="B110" s="131"/>
      <c r="C110" s="223"/>
      <c r="D110" s="209"/>
      <c r="E110" s="76"/>
      <c r="F110" s="224"/>
      <c r="G110" s="221"/>
      <c r="H110" s="222"/>
      <c r="I110" s="184"/>
      <c r="J110" s="184"/>
      <c r="K110" s="184"/>
    </row>
    <row r="111" spans="1:11" ht="13.15" customHeight="1"/>
    <row r="113" ht="13.15" customHeight="1"/>
    <row r="114" ht="13.15" customHeight="1"/>
    <row r="115" ht="13.15" customHeight="1"/>
    <row r="116" ht="13.15" customHeight="1"/>
    <row r="117" ht="13.15" customHeight="1"/>
    <row r="118" ht="13.15" customHeight="1"/>
    <row r="119" ht="13.15" customHeight="1"/>
    <row r="120" ht="13.15" customHeight="1"/>
    <row r="122" ht="13.15" customHeight="1"/>
    <row r="123" ht="13.15" customHeight="1"/>
    <row r="124" ht="13.15" customHeight="1"/>
    <row r="125" ht="13.15" customHeight="1"/>
    <row r="126" ht="13.15" customHeight="1"/>
    <row r="127" ht="13.15" customHeight="1"/>
    <row r="128" ht="13.15" customHeight="1"/>
    <row r="129" ht="13.15" customHeight="1"/>
    <row r="131" ht="13.15" customHeight="1"/>
    <row r="132" ht="13.15" customHeight="1"/>
    <row r="133" ht="13.15" customHeight="1"/>
    <row r="134" ht="13.15" customHeight="1"/>
    <row r="135" ht="13.15" customHeight="1"/>
    <row r="136" ht="13.15" customHeight="1"/>
    <row r="137" ht="13.15" customHeight="1"/>
    <row r="138" ht="13.15" customHeight="1"/>
    <row r="140" ht="13.15" customHeight="1"/>
    <row r="141" ht="13.15" customHeight="1"/>
    <row r="142" ht="13.15" customHeight="1"/>
    <row r="143" ht="13.15" customHeight="1"/>
    <row r="144" ht="13.15" customHeight="1"/>
    <row r="145" ht="13.15" customHeight="1"/>
    <row r="146" ht="13.15" customHeight="1"/>
    <row r="147" ht="13.15" customHeight="1"/>
    <row r="149" ht="13.15" customHeight="1"/>
    <row r="150" ht="13.15" customHeight="1"/>
    <row r="151" ht="13.15" customHeight="1"/>
    <row r="152" ht="13.15" customHeight="1"/>
    <row r="153" ht="13.15" customHeight="1"/>
    <row r="154" ht="13.15" customHeight="1"/>
    <row r="155" ht="13.15" customHeight="1"/>
    <row r="156" ht="13.15" customHeight="1"/>
    <row r="158" ht="13.15" customHeight="1"/>
    <row r="159" ht="13.15" customHeight="1"/>
    <row r="160" ht="13.15" customHeight="1"/>
    <row r="161" ht="13.15" customHeight="1"/>
    <row r="162" ht="13.15" customHeight="1"/>
    <row r="163" ht="13.15" customHeight="1"/>
    <row r="164" ht="13.15" customHeight="1"/>
    <row r="165" ht="13.15" customHeight="1"/>
    <row r="167" ht="13.15" customHeight="1"/>
    <row r="168" ht="13.15" customHeight="1"/>
    <row r="169" ht="13.15" customHeight="1"/>
    <row r="170" ht="13.15" customHeight="1"/>
    <row r="171" ht="13.15" customHeight="1"/>
    <row r="172" ht="13.15" customHeight="1"/>
    <row r="173" ht="13.15" customHeight="1"/>
    <row r="174" ht="13.15" customHeight="1"/>
    <row r="176" ht="13.15" customHeight="1"/>
    <row r="177" ht="13.15" customHeight="1"/>
    <row r="178" ht="13.15" customHeight="1"/>
    <row r="179" ht="13.15" customHeight="1"/>
    <row r="180" ht="13.15" customHeight="1"/>
    <row r="181" ht="13.15" customHeight="1"/>
    <row r="182" ht="13.15" customHeight="1"/>
    <row r="183" ht="13.15" customHeight="1"/>
    <row r="185" ht="13.15" customHeight="1"/>
    <row r="186" ht="13.15" customHeight="1"/>
    <row r="187" ht="13.15" customHeight="1"/>
    <row r="188" ht="13.15" customHeight="1"/>
    <row r="189" ht="13.15" customHeight="1"/>
    <row r="190" ht="13.15" customHeight="1"/>
    <row r="191" ht="13.15" customHeight="1"/>
    <row r="192" ht="13.15" customHeight="1"/>
    <row r="194" ht="13.15" customHeight="1"/>
    <row r="195" ht="13.15" customHeight="1"/>
    <row r="196" ht="13.15" customHeight="1"/>
    <row r="197" ht="13.15" customHeight="1"/>
    <row r="198" ht="13.15" customHeight="1"/>
    <row r="199" ht="13.15" customHeight="1"/>
    <row r="200" ht="13.15" customHeight="1"/>
    <row r="201" ht="13.15" customHeight="1"/>
    <row r="203" ht="13.15" customHeight="1"/>
    <row r="204" ht="13.15" customHeight="1"/>
    <row r="205" ht="13.15" customHeight="1"/>
    <row r="206" ht="13.15" customHeight="1"/>
    <row r="207" ht="13.15" customHeight="1"/>
    <row r="208" ht="13.15" customHeight="1"/>
    <row r="209" ht="13.15" customHeight="1"/>
    <row r="210" ht="13.15" customHeight="1"/>
    <row r="212" ht="13.15" customHeight="1"/>
    <row r="213" ht="13.15" customHeight="1"/>
    <row r="214" ht="13.15" customHeight="1"/>
    <row r="215" ht="13.15" customHeight="1"/>
    <row r="216" ht="13.15" customHeight="1"/>
    <row r="217" ht="13.15" customHeight="1"/>
    <row r="218" ht="13.15" customHeight="1"/>
    <row r="219" ht="13.15" customHeight="1"/>
    <row r="221" ht="13.15" customHeight="1"/>
    <row r="222" ht="13.15" customHeight="1"/>
    <row r="223" ht="13.15" customHeight="1"/>
    <row r="224" ht="13.15" customHeight="1"/>
    <row r="225" ht="13.15" customHeight="1"/>
    <row r="226" ht="13.15" customHeight="1"/>
    <row r="227" ht="13.15" customHeight="1"/>
    <row r="228" ht="13.15" customHeight="1"/>
    <row r="230" ht="13.15" customHeight="1"/>
    <row r="231" ht="13.15" customHeight="1"/>
    <row r="232" ht="13.15" customHeight="1"/>
    <row r="233" ht="13.15" customHeight="1"/>
    <row r="234" ht="13.15" customHeight="1"/>
    <row r="235" ht="13.15" customHeight="1"/>
    <row r="236" ht="13.15" customHeight="1"/>
    <row r="237" ht="13.15" customHeight="1"/>
    <row r="239" ht="13.15" customHeight="1"/>
    <row r="240" ht="13.15" customHeight="1"/>
    <row r="241" ht="13.15" customHeight="1"/>
    <row r="242" ht="13.15" customHeight="1"/>
    <row r="243" ht="13.15" customHeight="1"/>
    <row r="244" ht="13.15" customHeight="1"/>
    <row r="245" ht="13.15" customHeight="1"/>
    <row r="246" ht="13.15" customHeight="1"/>
    <row r="248" ht="13.15" customHeight="1"/>
    <row r="249" ht="13.15" customHeight="1"/>
    <row r="250" ht="13.15" customHeight="1"/>
    <row r="251" ht="13.15" customHeight="1"/>
    <row r="252" ht="13.15" customHeight="1"/>
    <row r="253" ht="13.15" customHeight="1"/>
    <row r="254" ht="13.15" customHeight="1"/>
    <row r="255" ht="13.15" customHeight="1"/>
    <row r="257" ht="13.15" customHeight="1"/>
    <row r="258" ht="13.15" customHeight="1"/>
    <row r="259" ht="13.15" customHeight="1"/>
    <row r="260" ht="13.15" customHeight="1"/>
    <row r="261" ht="13.15" customHeight="1"/>
    <row r="262" ht="13.15" customHeight="1"/>
    <row r="263" ht="13.15" customHeight="1"/>
    <row r="264" ht="13.15" customHeight="1"/>
    <row r="266" ht="13.15" customHeight="1"/>
    <row r="267" ht="13.15" customHeight="1"/>
    <row r="268" ht="13.15" customHeight="1"/>
    <row r="269" ht="13.15" customHeight="1"/>
    <row r="270" ht="13.15" customHeight="1"/>
    <row r="271" ht="13.15" customHeight="1"/>
    <row r="272" ht="13.15" customHeight="1"/>
    <row r="273" ht="13.15" customHeight="1"/>
    <row r="275" ht="13.15" customHeight="1"/>
    <row r="276" ht="13.15" customHeight="1"/>
    <row r="277" ht="13.15" customHeight="1"/>
    <row r="278" ht="13.15" customHeight="1"/>
    <row r="279" ht="13.15" customHeight="1"/>
    <row r="280" ht="13.15" customHeight="1"/>
    <row r="281" ht="13.15" customHeight="1"/>
    <row r="282" ht="13.15" customHeight="1"/>
    <row r="284" ht="13.15" customHeight="1"/>
    <row r="285" ht="13.15" customHeight="1"/>
    <row r="286" ht="13.15" customHeight="1"/>
    <row r="287" ht="13.15" customHeight="1"/>
    <row r="288" ht="13.15" customHeight="1"/>
    <row r="289" ht="13.15" customHeight="1"/>
    <row r="290" ht="13.15" customHeight="1"/>
    <row r="291" ht="13.15" customHeight="1"/>
    <row r="293" ht="13.15" customHeight="1"/>
    <row r="294" ht="13.15" customHeight="1"/>
    <row r="295" ht="13.15" customHeight="1"/>
    <row r="296" ht="13.15" customHeight="1"/>
    <row r="297" ht="13.15" customHeight="1"/>
    <row r="298" ht="13.15" customHeight="1"/>
    <row r="299" ht="13.15" customHeight="1"/>
    <row r="300" ht="13.15" customHeight="1"/>
    <row r="302" ht="13.15" customHeight="1"/>
    <row r="303" ht="13.15" customHeight="1"/>
    <row r="304" ht="13.15" customHeight="1"/>
    <row r="305" ht="13.15" customHeight="1"/>
    <row r="306" ht="13.15" customHeight="1"/>
    <row r="307" ht="13.15" customHeight="1"/>
    <row r="308" ht="13.15" customHeight="1"/>
    <row r="309" ht="13.15" customHeight="1"/>
    <row r="311" ht="13.15" customHeight="1"/>
    <row r="312" ht="13.15" customHeight="1"/>
    <row r="313" ht="13.15" customHeight="1"/>
    <row r="314" ht="13.15" customHeight="1"/>
    <row r="315" ht="13.15" customHeight="1"/>
    <row r="316" ht="13.15" customHeight="1"/>
    <row r="317" ht="13.15" customHeight="1"/>
    <row r="318" ht="13.15" customHeight="1"/>
    <row r="320" ht="13.15" customHeight="1"/>
    <row r="321" ht="13.15" customHeight="1"/>
    <row r="322" ht="13.15" customHeight="1"/>
    <row r="323" ht="13.15" customHeight="1"/>
    <row r="324" ht="13.15" customHeight="1"/>
    <row r="325" ht="13.15" customHeight="1"/>
    <row r="326" ht="13.15" customHeight="1"/>
    <row r="327" ht="13.15" customHeight="1"/>
    <row r="329" ht="13.15" customHeight="1"/>
    <row r="330" ht="13.15" customHeight="1"/>
    <row r="331" ht="13.15" customHeight="1"/>
    <row r="332" ht="13.15" customHeight="1"/>
    <row r="333" ht="13.15" customHeight="1"/>
    <row r="334" ht="13.15" customHeight="1"/>
    <row r="335" ht="13.15" customHeight="1"/>
    <row r="336" ht="13.15" customHeight="1"/>
    <row r="338" ht="13.15" customHeight="1"/>
    <row r="339" ht="13.15" customHeight="1"/>
    <row r="340" ht="13.15" customHeight="1"/>
    <row r="341" ht="13.15" customHeight="1"/>
    <row r="342" ht="13.15" customHeight="1"/>
    <row r="343" ht="13.15" customHeight="1"/>
    <row r="344" ht="13.15" customHeight="1"/>
    <row r="345" ht="13.15" customHeight="1"/>
    <row r="347" ht="13.15" customHeight="1"/>
    <row r="348" ht="13.15" customHeight="1"/>
    <row r="349" ht="13.15" customHeight="1"/>
    <row r="350" ht="13.15" customHeight="1"/>
    <row r="351" ht="13.15" customHeight="1"/>
    <row r="352" ht="13.15" customHeight="1"/>
    <row r="353" ht="13.15" customHeight="1"/>
    <row r="354" ht="13.15" customHeight="1"/>
    <row r="356" ht="13.15" customHeight="1"/>
    <row r="357" ht="13.15" customHeight="1"/>
    <row r="358" ht="13.15" customHeight="1"/>
    <row r="359" ht="13.15" customHeight="1"/>
    <row r="360" ht="13.15" customHeight="1"/>
    <row r="361" ht="13.15" customHeight="1"/>
    <row r="362" ht="13.15" customHeight="1"/>
    <row r="363" ht="13.15" customHeight="1"/>
    <row r="365" ht="13.15" customHeight="1"/>
    <row r="366" ht="13.15" customHeight="1"/>
    <row r="367" ht="13.15" customHeight="1"/>
    <row r="368" ht="13.15" customHeight="1"/>
    <row r="369" ht="13.15" customHeight="1"/>
    <row r="370" ht="13.15" customHeight="1"/>
    <row r="371" ht="13.15" customHeight="1"/>
    <row r="372" ht="13.15" customHeight="1"/>
    <row r="374" ht="13.15" customHeight="1"/>
    <row r="375" ht="13.15" customHeight="1"/>
    <row r="376" ht="13.15" customHeight="1"/>
    <row r="377" ht="13.15" customHeight="1"/>
    <row r="378" ht="13.15" customHeight="1"/>
    <row r="379" ht="13.15" customHeight="1"/>
    <row r="380" ht="13.15" customHeight="1"/>
    <row r="381" ht="13.15" customHeight="1"/>
    <row r="382" ht="13.15"/>
    <row r="383" ht="13.15" customHeight="1"/>
    <row r="384" ht="13.15" customHeight="1"/>
    <row r="385" ht="13.15" customHeight="1"/>
    <row r="386" ht="13.15" customHeight="1"/>
    <row r="387" ht="13.15" customHeight="1"/>
    <row r="388" ht="13.15" customHeight="1"/>
    <row r="389" ht="13.15" customHeight="1"/>
    <row r="390" ht="13.15" customHeight="1"/>
    <row r="391" ht="13.15"/>
    <row r="392" ht="13.15" customHeight="1"/>
    <row r="393" ht="13.15" customHeight="1"/>
    <row r="394" ht="13.15" customHeight="1"/>
    <row r="395" ht="13.15" customHeight="1"/>
    <row r="396" ht="13.15" customHeight="1"/>
    <row r="397" ht="13.15" customHeight="1"/>
    <row r="398" ht="13.15" customHeight="1"/>
    <row r="399" ht="13.15" customHeight="1"/>
    <row r="401" ht="13.15" customHeight="1"/>
    <row r="402" ht="13.15" customHeight="1"/>
    <row r="403" ht="13.15" customHeight="1"/>
    <row r="404" ht="13.15" customHeight="1"/>
    <row r="405" ht="13.15" customHeight="1"/>
    <row r="406" ht="13.15" customHeight="1"/>
    <row r="407" ht="13.15" customHeight="1"/>
    <row r="408" ht="13.15" customHeight="1"/>
    <row r="409" ht="13.15"/>
    <row r="410" ht="13.15" customHeight="1"/>
    <row r="411" ht="13.15" customHeight="1"/>
    <row r="412" ht="13.15" customHeight="1"/>
    <row r="413" ht="13.15" customHeight="1"/>
    <row r="414" ht="13.15" customHeight="1"/>
    <row r="415" ht="13.15" customHeight="1"/>
    <row r="416" ht="13.15" customHeight="1"/>
    <row r="417" ht="13.15" customHeight="1"/>
    <row r="418" ht="13.15"/>
    <row r="419" ht="13.15" customHeight="1"/>
    <row r="420" ht="13.15" customHeight="1"/>
    <row r="421" ht="13.15" customHeight="1"/>
    <row r="422" ht="13.15" customHeight="1"/>
    <row r="423" ht="13.15" customHeight="1"/>
    <row r="424" ht="13.15" customHeight="1"/>
    <row r="425" ht="13.15" customHeight="1"/>
    <row r="426" ht="13.15" customHeight="1"/>
    <row r="428" ht="13.15" customHeight="1"/>
    <row r="429" ht="13.15" customHeight="1"/>
    <row r="430" ht="13.15" customHeight="1"/>
    <row r="431" ht="13.15" customHeight="1"/>
    <row r="432" ht="13.15" customHeight="1"/>
    <row r="433" ht="13.15" customHeight="1"/>
    <row r="434" ht="13.15" customHeight="1"/>
    <row r="435" ht="13.15" customHeight="1"/>
    <row r="437" ht="13.15" customHeight="1"/>
    <row r="438" ht="13.15" customHeight="1"/>
    <row r="439" ht="13.15" customHeight="1"/>
    <row r="440" ht="13.15" customHeight="1"/>
    <row r="441" ht="13.15" customHeight="1"/>
    <row r="442" ht="13.15" customHeight="1"/>
    <row r="443" ht="13.15" customHeight="1"/>
    <row r="444" ht="13.15" customHeight="1"/>
    <row r="446" ht="13.15" customHeight="1"/>
    <row r="447" ht="13.15" customHeight="1"/>
    <row r="448" ht="13.15" customHeight="1"/>
    <row r="449" ht="13.15" customHeight="1"/>
    <row r="450" ht="13.15" customHeight="1"/>
    <row r="451" ht="13.15" customHeight="1"/>
    <row r="452" ht="13.15" customHeight="1"/>
    <row r="453" ht="13.15" customHeight="1"/>
    <row r="455" ht="13.15" customHeight="1"/>
    <row r="456" ht="13.15" customHeight="1"/>
    <row r="457" ht="13.15" customHeight="1"/>
    <row r="458" ht="13.15" customHeight="1"/>
    <row r="459" ht="13.15" customHeight="1"/>
    <row r="460" ht="13.15" customHeight="1"/>
    <row r="461" ht="13.15" customHeight="1"/>
    <row r="462" ht="13.15" customHeight="1"/>
    <row r="464" ht="13.15" customHeight="1"/>
    <row r="465" ht="13.15" customHeight="1"/>
    <row r="466" ht="13.15" customHeight="1"/>
    <row r="467" ht="13.15" customHeight="1"/>
    <row r="468" ht="13.15" customHeight="1"/>
    <row r="469" ht="13.15" customHeight="1"/>
    <row r="470" ht="13.15" customHeight="1"/>
    <row r="471" ht="13.15" customHeight="1"/>
    <row r="473" ht="13.15" customHeight="1"/>
    <row r="474" ht="13.15" customHeight="1"/>
    <row r="475" ht="13.15" customHeight="1"/>
    <row r="476" ht="13.15" customHeight="1"/>
    <row r="477" ht="13.15" customHeight="1"/>
    <row r="478" ht="13.15" customHeight="1"/>
    <row r="479" ht="13.15" customHeight="1"/>
    <row r="480" ht="13.15" customHeight="1"/>
    <row r="482" ht="13.15" customHeight="1"/>
    <row r="483" ht="13.15" customHeight="1"/>
    <row r="484" ht="13.15" customHeight="1"/>
    <row r="485" ht="13.15" customHeight="1"/>
    <row r="486" ht="13.15" customHeight="1"/>
    <row r="487" ht="13.15" customHeight="1"/>
    <row r="488" ht="13.15" customHeight="1"/>
    <row r="489" ht="13.15" customHeight="1"/>
    <row r="491" ht="13.15" customHeight="1"/>
    <row r="492" ht="13.15" customHeight="1"/>
    <row r="493" ht="13.15" customHeight="1"/>
    <row r="494" ht="13.15" customHeight="1"/>
    <row r="495" ht="13.15" customHeight="1"/>
    <row r="496" ht="13.15" customHeight="1"/>
    <row r="497" ht="13.15" customHeight="1"/>
    <row r="498" ht="13.15" customHeight="1"/>
    <row r="500" ht="13.15" customHeight="1"/>
    <row r="501" ht="13.15" customHeight="1"/>
    <row r="502" ht="13.15" customHeight="1"/>
    <row r="503" ht="13.15" customHeight="1"/>
    <row r="504" ht="13.15" customHeight="1"/>
    <row r="505" ht="13.15" customHeight="1"/>
    <row r="506" ht="13.15" customHeight="1"/>
    <row r="507" ht="13.15" customHeight="1"/>
    <row r="509" ht="13.15" customHeight="1"/>
    <row r="510" ht="13.15" customHeight="1"/>
    <row r="511" ht="13.15" customHeight="1"/>
    <row r="512" ht="13.15" customHeight="1"/>
    <row r="513" ht="13.15" customHeight="1"/>
    <row r="514" ht="13.15" customHeight="1"/>
    <row r="515" ht="13.15" customHeight="1"/>
    <row r="516" ht="13.15" customHeight="1"/>
    <row r="518" ht="13.15" customHeight="1"/>
    <row r="519" ht="13.15" customHeight="1"/>
    <row r="520" ht="13.15" customHeight="1"/>
    <row r="521" ht="13.15" customHeight="1"/>
    <row r="522" ht="13.15" customHeight="1"/>
    <row r="523" ht="13.15" customHeight="1"/>
    <row r="524" ht="13.15" customHeight="1"/>
    <row r="525" ht="13.15" customHeight="1"/>
    <row r="527" ht="13.15" customHeight="1"/>
    <row r="528" ht="13.15" customHeight="1"/>
    <row r="529" ht="13.15" customHeight="1"/>
    <row r="530" ht="13.15" customHeight="1"/>
    <row r="531" ht="13.15" customHeight="1"/>
    <row r="532" ht="13.15" customHeight="1"/>
    <row r="533" ht="13.15" customHeight="1"/>
    <row r="534" ht="13.15" customHeight="1"/>
    <row r="536" ht="13.15" customHeight="1"/>
    <row r="537" ht="13.15" customHeight="1"/>
    <row r="538" ht="13.15" customHeight="1"/>
    <row r="539" ht="13.15" customHeight="1"/>
    <row r="540" ht="13.15" customHeight="1"/>
    <row r="541" ht="13.15" customHeight="1"/>
    <row r="542" ht="13.15" customHeight="1"/>
    <row r="543" ht="13.15" customHeight="1"/>
    <row r="545" ht="13.15" customHeight="1"/>
    <row r="546" ht="13.15" customHeight="1"/>
    <row r="547" ht="13.15" customHeight="1"/>
    <row r="548" ht="13.15" customHeight="1"/>
    <row r="549" ht="13.15" customHeight="1"/>
    <row r="550" ht="13.15" customHeight="1"/>
    <row r="551" ht="13.15" customHeight="1"/>
    <row r="552" ht="13.15" customHeight="1"/>
    <row r="554" ht="13.15" customHeight="1"/>
    <row r="555" ht="13.15" customHeight="1"/>
    <row r="556" ht="13.15" customHeight="1"/>
    <row r="557" ht="13.15" customHeight="1"/>
    <row r="558" ht="13.15" customHeight="1"/>
    <row r="559" ht="13.15" customHeight="1"/>
    <row r="560" ht="13.15" customHeight="1"/>
    <row r="561" ht="13.15" customHeight="1"/>
    <row r="563" ht="13.15" customHeight="1"/>
    <row r="564" ht="13.15" customHeight="1"/>
    <row r="565" ht="13.15" customHeight="1"/>
    <row r="566" ht="13.15" customHeight="1"/>
    <row r="567" ht="13.15" customHeight="1"/>
    <row r="568" ht="13.15" customHeight="1"/>
    <row r="569" ht="13.15" customHeight="1"/>
    <row r="570" ht="13.15" customHeight="1"/>
    <row r="571" ht="13.15"/>
    <row r="572" ht="13.15" customHeight="1"/>
    <row r="573" ht="13.15" customHeight="1"/>
    <row r="574" ht="13.15" customHeight="1"/>
    <row r="575" ht="13.15" customHeight="1"/>
    <row r="576" ht="13.15" customHeight="1"/>
    <row r="577" ht="13.15" customHeight="1"/>
    <row r="578" ht="13.15" customHeight="1"/>
    <row r="579" ht="13.15" customHeight="1"/>
    <row r="581" ht="13.15" customHeight="1"/>
    <row r="582" ht="13.15" customHeight="1"/>
    <row r="583" ht="13.15" customHeight="1"/>
    <row r="584" ht="13.15" customHeight="1"/>
    <row r="585" ht="13.15" customHeight="1"/>
    <row r="586" ht="13.15" customHeight="1"/>
    <row r="587" ht="13.15" customHeight="1"/>
    <row r="588" ht="13.15" customHeight="1"/>
    <row r="590" ht="13.15" customHeight="1"/>
    <row r="591" ht="13.15" customHeight="1"/>
    <row r="592" ht="13.15" customHeight="1"/>
    <row r="593" ht="13.15" customHeight="1"/>
    <row r="594" ht="13.15" customHeight="1"/>
    <row r="595" ht="13.15" customHeight="1"/>
    <row r="596" ht="13.15" customHeight="1"/>
    <row r="597" ht="13.15" customHeight="1"/>
    <row r="599" ht="13.15" customHeight="1"/>
    <row r="600" ht="13.15" customHeight="1"/>
    <row r="601" ht="13.15" customHeight="1"/>
    <row r="602" ht="13.15" customHeight="1"/>
    <row r="603" ht="13.15" customHeight="1"/>
    <row r="604" ht="13.15" customHeight="1"/>
    <row r="605" ht="13.15" customHeight="1"/>
    <row r="606" ht="13.15" customHeight="1"/>
    <row r="607" ht="13.15"/>
    <row r="608" ht="13.15" customHeight="1"/>
    <row r="609" ht="13.15" customHeight="1"/>
    <row r="610" ht="13.15" customHeight="1"/>
    <row r="611" ht="13.15" customHeight="1"/>
    <row r="612" ht="13.15" customHeight="1"/>
    <row r="613" ht="13.15" customHeight="1"/>
    <row r="614" ht="13.15" customHeight="1"/>
    <row r="615" ht="13.15" customHeight="1"/>
    <row r="617" ht="13.15" customHeight="1"/>
    <row r="618" ht="13.15" customHeight="1"/>
    <row r="619" ht="13.15" customHeight="1"/>
    <row r="620" ht="13.15" customHeight="1"/>
    <row r="621" ht="13.15" customHeight="1"/>
    <row r="622" ht="13.15" customHeight="1"/>
    <row r="623" ht="13.15" customHeight="1"/>
    <row r="624" ht="13.15" customHeight="1"/>
    <row r="626" ht="13.15" customHeight="1"/>
    <row r="627" ht="13.15" customHeight="1"/>
    <row r="628" ht="13.15" customHeight="1"/>
    <row r="629" ht="13.15" customHeight="1"/>
    <row r="630" ht="13.15" customHeight="1"/>
    <row r="631" ht="13.15" customHeight="1"/>
    <row r="632" ht="13.15" customHeight="1"/>
    <row r="633" ht="13.15" customHeight="1"/>
    <row r="635" ht="13.15" customHeight="1"/>
    <row r="636" ht="13.15" customHeight="1"/>
    <row r="637" ht="13.15" customHeight="1"/>
    <row r="638" ht="13.15" customHeight="1"/>
    <row r="639" ht="13.15" customHeight="1"/>
    <row r="640" ht="13.15" customHeight="1"/>
    <row r="641" ht="13.15" customHeight="1"/>
    <row r="642" ht="13.15" customHeight="1"/>
    <row r="644" ht="13.15" customHeight="1"/>
    <row r="645" ht="13.15" customHeight="1"/>
    <row r="646" ht="13.15" customHeight="1"/>
    <row r="647" ht="13.15" customHeight="1"/>
    <row r="648" ht="13.15" customHeight="1"/>
    <row r="649" ht="13.15" customHeight="1"/>
    <row r="650" ht="13.15" customHeight="1"/>
    <row r="651" ht="13.15" customHeight="1"/>
    <row r="653" ht="13.15" customHeight="1"/>
    <row r="654" ht="13.15" customHeight="1"/>
    <row r="655" ht="13.15" customHeight="1"/>
    <row r="656" ht="13.15" customHeight="1"/>
    <row r="657" ht="13.15" customHeight="1"/>
    <row r="658" ht="13.15" customHeight="1"/>
    <row r="659" ht="13.15" customHeight="1"/>
    <row r="660" ht="13.15" customHeight="1"/>
    <row r="662" ht="13.15" customHeight="1"/>
    <row r="663" ht="13.15" customHeight="1"/>
    <row r="664" ht="13.15" customHeight="1"/>
    <row r="665" ht="13.15" customHeight="1"/>
    <row r="666" ht="13.15" customHeight="1"/>
    <row r="667" ht="13.15" customHeight="1"/>
    <row r="668" ht="13.15" customHeight="1"/>
    <row r="669" ht="13.15" customHeight="1"/>
  </sheetData>
  <autoFilter ref="A1:K106" xr:uid="{D1C5A8DA-539C-4D78-84E6-93DBE5BAAFB9}">
    <filterColumn colId="6">
      <filters blank="1">
        <filter val="In Progress"/>
      </filters>
    </filterColumn>
  </autoFilter>
  <phoneticPr fontId="2" type="noConversion"/>
  <conditionalFormatting sqref="A2:A10 F2:G10 A11:G20 G21:G26 D23:D52 B23:B76 E23:G76 C23:C85 A23:A110 B101:G101 G102:G104">
    <cfRule type="expression" dxfId="217" priority="185" stopIfTrue="1">
      <formula>($G2="Fail")</formula>
    </cfRule>
    <cfRule type="expression" dxfId="216" priority="186" stopIfTrue="1">
      <formula>($G2="Pass")</formula>
    </cfRule>
  </conditionalFormatting>
  <conditionalFormatting sqref="A21:F21">
    <cfRule type="expression" dxfId="215" priority="230" stopIfTrue="1">
      <formula>($G22="Fail")</formula>
    </cfRule>
    <cfRule type="expression" dxfId="214" priority="231" stopIfTrue="1">
      <formula>($G22="Pass")</formula>
    </cfRule>
  </conditionalFormatting>
  <conditionalFormatting sqref="A22:F22">
    <cfRule type="expression" dxfId="213" priority="232" stopIfTrue="1">
      <formula>(#REF!="Fail")</formula>
    </cfRule>
    <cfRule type="expression" dxfId="212" priority="233" stopIfTrue="1">
      <formula>(#REF!="Pass")</formula>
    </cfRule>
  </conditionalFormatting>
  <conditionalFormatting sqref="B2:D4">
    <cfRule type="expression" dxfId="211" priority="21" stopIfTrue="1">
      <formula>($G2="Fail")</formula>
    </cfRule>
    <cfRule type="expression" dxfId="210" priority="22" stopIfTrue="1">
      <formula>($G2="Pass")</formula>
    </cfRule>
  </conditionalFormatting>
  <conditionalFormatting sqref="B5:D7">
    <cfRule type="expression" dxfId="209" priority="15" stopIfTrue="1">
      <formula>($G4="Fail")</formula>
    </cfRule>
    <cfRule type="expression" dxfId="208" priority="16" stopIfTrue="1">
      <formula>($G4="Pass")</formula>
    </cfRule>
  </conditionalFormatting>
  <conditionalFormatting sqref="B8:D10">
    <cfRule type="expression" dxfId="207" priority="3" stopIfTrue="1">
      <formula>($G6="Fail")</formula>
    </cfRule>
    <cfRule type="expression" dxfId="206" priority="4" stopIfTrue="1">
      <formula>($G6="Pass")</formula>
    </cfRule>
  </conditionalFormatting>
  <conditionalFormatting sqref="B9:E9">
    <cfRule type="expression" dxfId="205" priority="19" stopIfTrue="1">
      <formula>($G8="Fail")</formula>
    </cfRule>
    <cfRule type="expression" dxfId="204" priority="20" stopIfTrue="1">
      <formula>($G8="Pass")</formula>
    </cfRule>
  </conditionalFormatting>
  <conditionalFormatting sqref="B10:E10">
    <cfRule type="expression" dxfId="203" priority="1" stopIfTrue="1">
      <formula>($G9="Fail")</formula>
    </cfRule>
    <cfRule type="expression" dxfId="202" priority="2" stopIfTrue="1">
      <formula>($G9="Pass")</formula>
    </cfRule>
  </conditionalFormatting>
  <conditionalFormatting sqref="D70:D85">
    <cfRule type="expression" dxfId="201" priority="69" stopIfTrue="1">
      <formula>($G70="Fail")</formula>
    </cfRule>
    <cfRule type="expression" dxfId="200" priority="70" stopIfTrue="1">
      <formula>($G70="Pass")</formula>
    </cfRule>
  </conditionalFormatting>
  <conditionalFormatting sqref="E106 E110">
    <cfRule type="expression" dxfId="199" priority="43" stopIfTrue="1">
      <formula>($G106="Pass")</formula>
    </cfRule>
  </conditionalFormatting>
  <conditionalFormatting sqref="E106:E110">
    <cfRule type="expression" dxfId="198" priority="42" stopIfTrue="1">
      <formula>($G106="Fail")</formula>
    </cfRule>
  </conditionalFormatting>
  <conditionalFormatting sqref="E107:E110">
    <cfRule type="expression" dxfId="197" priority="41" stopIfTrue="1">
      <formula>($G107="Pass")</formula>
    </cfRule>
  </conditionalFormatting>
  <conditionalFormatting sqref="F108:F109">
    <cfRule type="expression" dxfId="196" priority="37" stopIfTrue="1">
      <formula>($G108="Fail")</formula>
    </cfRule>
    <cfRule type="expression" dxfId="195" priority="38" stopIfTrue="1">
      <formula>($G108="Pass")</formula>
    </cfRule>
  </conditionalFormatting>
  <conditionalFormatting sqref="F106:G106">
    <cfRule type="expression" dxfId="194" priority="35" stopIfTrue="1">
      <formula>($G106="Fail")</formula>
    </cfRule>
    <cfRule type="expression" dxfId="193" priority="36" stopIfTrue="1">
      <formula>($G106="Pass")</formula>
    </cfRule>
  </conditionalFormatting>
  <conditionalFormatting sqref="G77:G100">
    <cfRule type="expression" dxfId="192" priority="105" stopIfTrue="1">
      <formula>($G77="Fail")</formula>
    </cfRule>
    <cfRule type="expression" dxfId="191" priority="106" stopIfTrue="1">
      <formula>($G77="Pass")</formula>
    </cfRule>
  </conditionalFormatting>
  <conditionalFormatting sqref="G107:G110">
    <cfRule type="expression" dxfId="190" priority="27" stopIfTrue="1">
      <formula>($G107="Fail")</formula>
    </cfRule>
    <cfRule type="expression" dxfId="189" priority="28" stopIfTrue="1">
      <formula>($G107="Pass")</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K125"/>
  <sheetViews>
    <sheetView zoomScale="86" zoomScaleNormal="86" workbookViewId="0">
      <pane ySplit="1" topLeftCell="A2" activePane="bottomLeft" state="frozen"/>
      <selection pane="bottomLeft" activeCell="F22" sqref="F22"/>
    </sheetView>
  </sheetViews>
  <sheetFormatPr defaultColWidth="8.7109375" defaultRowHeight="13.15"/>
  <cols>
    <col min="1" max="1" width="11.140625" style="157" customWidth="1"/>
    <col min="2" max="2" width="34.28515625" style="364" customWidth="1"/>
    <col min="3" max="3" width="42.7109375" style="49" customWidth="1"/>
    <col min="4" max="4" width="41" style="365" customWidth="1"/>
    <col min="5" max="5" width="10.42578125" style="366" bestFit="1" customWidth="1"/>
    <col min="6" max="6" width="11.85546875" style="367" customWidth="1"/>
    <col min="7" max="7" width="15.28515625" style="366" customWidth="1"/>
    <col min="8" max="8" width="46.85546875" style="368" customWidth="1"/>
    <col min="9" max="9" width="27.7109375" style="157" customWidth="1"/>
    <col min="10" max="10" width="14.28515625" style="157" customWidth="1"/>
    <col min="11" max="11" width="17.140625" style="157" customWidth="1"/>
    <col min="12" max="16384" width="8.7109375" style="157"/>
  </cols>
  <sheetData>
    <row r="1" spans="1:11" ht="26.45">
      <c r="A1" s="325" t="s">
        <v>52</v>
      </c>
      <c r="B1" s="326" t="s">
        <v>53</v>
      </c>
      <c r="C1" s="326" t="s">
        <v>54</v>
      </c>
      <c r="D1" s="326" t="s">
        <v>55</v>
      </c>
      <c r="E1" s="325" t="s">
        <v>56</v>
      </c>
      <c r="F1" s="327" t="s">
        <v>57</v>
      </c>
      <c r="G1" s="326" t="s">
        <v>58</v>
      </c>
      <c r="H1" s="328" t="s">
        <v>59</v>
      </c>
      <c r="I1" s="326" t="s">
        <v>104</v>
      </c>
      <c r="J1" s="326" t="s">
        <v>105</v>
      </c>
      <c r="K1" s="369" t="s">
        <v>106</v>
      </c>
    </row>
    <row r="2" spans="1:11" ht="197.25" customHeight="1">
      <c r="A2" s="386" t="s">
        <v>107</v>
      </c>
      <c r="B2" s="456" t="s">
        <v>108</v>
      </c>
      <c r="C2" s="458" t="s">
        <v>109</v>
      </c>
      <c r="D2" s="442" t="s">
        <v>110</v>
      </c>
      <c r="E2" s="443">
        <v>8</v>
      </c>
      <c r="F2" s="408">
        <v>8</v>
      </c>
      <c r="G2" s="457" t="s">
        <v>42</v>
      </c>
      <c r="H2" s="330"/>
      <c r="I2" s="331"/>
      <c r="J2" s="380"/>
      <c r="K2" s="379" t="s">
        <v>71</v>
      </c>
    </row>
    <row r="3" spans="1:11" ht="206.25" customHeight="1">
      <c r="A3" s="387" t="s">
        <v>111</v>
      </c>
      <c r="B3" s="410" t="s">
        <v>112</v>
      </c>
      <c r="C3" s="446" t="s">
        <v>113</v>
      </c>
      <c r="D3" s="442" t="s">
        <v>114</v>
      </c>
      <c r="E3" s="443">
        <v>8</v>
      </c>
      <c r="F3" s="408">
        <v>8</v>
      </c>
      <c r="G3" s="388" t="s">
        <v>42</v>
      </c>
      <c r="H3" s="330"/>
      <c r="I3" s="331"/>
      <c r="J3" s="380"/>
      <c r="K3" s="379" t="s">
        <v>71</v>
      </c>
    </row>
    <row r="4" spans="1:11" ht="174.75" customHeight="1">
      <c r="A4" s="387" t="s">
        <v>115</v>
      </c>
      <c r="B4" s="410" t="s">
        <v>116</v>
      </c>
      <c r="C4" s="446" t="s">
        <v>117</v>
      </c>
      <c r="D4" s="442" t="s">
        <v>118</v>
      </c>
      <c r="E4" s="443">
        <v>8</v>
      </c>
      <c r="F4" s="408">
        <v>8</v>
      </c>
      <c r="G4" s="388" t="s">
        <v>42</v>
      </c>
      <c r="H4" s="330"/>
      <c r="I4" s="332"/>
      <c r="J4" s="380"/>
      <c r="K4" s="379" t="s">
        <v>71</v>
      </c>
    </row>
    <row r="5" spans="1:11" ht="171.6">
      <c r="A5" s="420" t="s">
        <v>119</v>
      </c>
      <c r="B5" s="413" t="s">
        <v>120</v>
      </c>
      <c r="C5" s="446" t="s">
        <v>121</v>
      </c>
      <c r="D5" s="442" t="s">
        <v>122</v>
      </c>
      <c r="E5" s="443">
        <v>8</v>
      </c>
      <c r="F5" s="408">
        <v>8</v>
      </c>
      <c r="G5" s="406" t="s">
        <v>42</v>
      </c>
      <c r="H5" s="330"/>
      <c r="I5" s="331"/>
      <c r="J5" s="380"/>
      <c r="K5" s="379" t="s">
        <v>64</v>
      </c>
    </row>
    <row r="6" spans="1:11" ht="171.6">
      <c r="A6" s="420" t="s">
        <v>123</v>
      </c>
      <c r="B6" s="413" t="s">
        <v>124</v>
      </c>
      <c r="C6" s="446" t="s">
        <v>125</v>
      </c>
      <c r="D6" s="442" t="s">
        <v>126</v>
      </c>
      <c r="E6" s="443">
        <v>8</v>
      </c>
      <c r="F6" s="408">
        <v>8</v>
      </c>
      <c r="G6" s="406" t="s">
        <v>42</v>
      </c>
      <c r="H6" s="330"/>
      <c r="I6" s="331"/>
      <c r="J6" s="380"/>
      <c r="K6" s="379" t="s">
        <v>64</v>
      </c>
    </row>
    <row r="7" spans="1:11" ht="166.5" customHeight="1">
      <c r="A7" s="420" t="s">
        <v>127</v>
      </c>
      <c r="B7" s="413" t="s">
        <v>128</v>
      </c>
      <c r="C7" s="446" t="s">
        <v>129</v>
      </c>
      <c r="D7" s="442" t="s">
        <v>130</v>
      </c>
      <c r="E7" s="443">
        <v>7</v>
      </c>
      <c r="F7" s="408">
        <v>7</v>
      </c>
      <c r="G7" s="406" t="s">
        <v>42</v>
      </c>
      <c r="H7" s="330"/>
      <c r="I7" s="331"/>
      <c r="J7" s="379"/>
      <c r="K7" s="379" t="s">
        <v>64</v>
      </c>
    </row>
    <row r="8" spans="1:11" ht="120" customHeight="1">
      <c r="A8" s="420" t="s">
        <v>131</v>
      </c>
      <c r="B8" s="413" t="s">
        <v>132</v>
      </c>
      <c r="C8" s="446" t="s">
        <v>133</v>
      </c>
      <c r="D8" s="442" t="s">
        <v>134</v>
      </c>
      <c r="E8" s="443">
        <v>8</v>
      </c>
      <c r="F8" s="408">
        <v>8</v>
      </c>
      <c r="G8" s="409" t="s">
        <v>42</v>
      </c>
      <c r="H8" s="335"/>
      <c r="I8" s="336"/>
      <c r="J8" s="380"/>
      <c r="K8" s="379" t="s">
        <v>71</v>
      </c>
    </row>
    <row r="9" spans="1:11" ht="108.75" customHeight="1">
      <c r="A9" s="420" t="s">
        <v>135</v>
      </c>
      <c r="B9" s="413" t="s">
        <v>136</v>
      </c>
      <c r="C9" s="446" t="s">
        <v>137</v>
      </c>
      <c r="D9" s="442" t="s">
        <v>138</v>
      </c>
      <c r="E9" s="443">
        <v>8</v>
      </c>
      <c r="F9" s="408">
        <v>8</v>
      </c>
      <c r="G9" s="406" t="s">
        <v>42</v>
      </c>
      <c r="H9" s="330"/>
      <c r="I9" s="331"/>
      <c r="J9" s="380"/>
      <c r="K9" s="379" t="s">
        <v>71</v>
      </c>
    </row>
    <row r="10" spans="1:11" ht="72" customHeight="1">
      <c r="A10" s="420" t="s">
        <v>139</v>
      </c>
      <c r="B10" s="413" t="s">
        <v>140</v>
      </c>
      <c r="C10" s="446" t="s">
        <v>141</v>
      </c>
      <c r="D10" s="442" t="s">
        <v>118</v>
      </c>
      <c r="E10" s="443">
        <v>8</v>
      </c>
      <c r="F10" s="408">
        <v>8</v>
      </c>
      <c r="G10" s="406" t="s">
        <v>42</v>
      </c>
      <c r="H10" s="330"/>
      <c r="I10" s="337"/>
      <c r="J10" s="380"/>
      <c r="K10" s="379" t="s">
        <v>71</v>
      </c>
    </row>
    <row r="11" spans="1:11" ht="143.25" customHeight="1">
      <c r="A11" s="387" t="s">
        <v>142</v>
      </c>
      <c r="B11" s="338" t="s">
        <v>143</v>
      </c>
      <c r="C11" s="465" t="s">
        <v>144</v>
      </c>
      <c r="D11" s="442" t="s">
        <v>145</v>
      </c>
      <c r="E11" s="443">
        <v>8</v>
      </c>
      <c r="F11" s="407">
        <v>8</v>
      </c>
      <c r="G11" s="388" t="s">
        <v>42</v>
      </c>
      <c r="H11" s="330"/>
      <c r="I11" s="337"/>
      <c r="J11" s="380"/>
      <c r="K11" s="379" t="s">
        <v>64</v>
      </c>
    </row>
    <row r="12" spans="1:11" ht="143.25" customHeight="1">
      <c r="A12" s="387" t="s">
        <v>146</v>
      </c>
      <c r="B12" s="413" t="s">
        <v>147</v>
      </c>
      <c r="C12" s="482" t="s">
        <v>148</v>
      </c>
      <c r="D12" s="462" t="s">
        <v>149</v>
      </c>
      <c r="E12" s="443">
        <v>14</v>
      </c>
      <c r="F12" s="443">
        <v>14</v>
      </c>
      <c r="G12" s="388" t="s">
        <v>42</v>
      </c>
      <c r="H12" s="338"/>
      <c r="I12" s="339"/>
      <c r="J12" s="380"/>
      <c r="K12" s="379" t="s">
        <v>64</v>
      </c>
    </row>
    <row r="13" spans="1:11" ht="231" customHeight="1">
      <c r="A13" s="420" t="s">
        <v>150</v>
      </c>
      <c r="B13" s="413" t="s">
        <v>151</v>
      </c>
      <c r="C13" s="446" t="s">
        <v>152</v>
      </c>
      <c r="D13" s="442" t="s">
        <v>118</v>
      </c>
      <c r="E13" s="443">
        <v>8</v>
      </c>
      <c r="F13" s="408">
        <v>8</v>
      </c>
      <c r="G13" s="406" t="s">
        <v>42</v>
      </c>
      <c r="H13" s="330"/>
      <c r="I13" s="331"/>
      <c r="J13" s="380"/>
      <c r="K13" s="379" t="s">
        <v>64</v>
      </c>
    </row>
    <row r="14" spans="1:11" ht="153" customHeight="1">
      <c r="A14" s="420" t="s">
        <v>153</v>
      </c>
      <c r="B14" s="413" t="s">
        <v>154</v>
      </c>
      <c r="C14" s="446" t="s">
        <v>155</v>
      </c>
      <c r="D14" s="442" t="s">
        <v>156</v>
      </c>
      <c r="E14" s="443">
        <v>8</v>
      </c>
      <c r="F14" s="408">
        <v>8</v>
      </c>
      <c r="G14" s="406" t="s">
        <v>42</v>
      </c>
      <c r="H14" s="330"/>
      <c r="I14" s="331"/>
      <c r="J14" s="380"/>
      <c r="K14" s="379" t="s">
        <v>64</v>
      </c>
    </row>
    <row r="15" spans="1:11" ht="161.25" customHeight="1">
      <c r="A15" s="387" t="s">
        <v>157</v>
      </c>
      <c r="B15" s="338" t="s">
        <v>158</v>
      </c>
      <c r="C15" s="460" t="s">
        <v>159</v>
      </c>
      <c r="D15" s="462" t="s">
        <v>149</v>
      </c>
      <c r="E15" s="463">
        <v>12</v>
      </c>
      <c r="F15" s="407">
        <v>12</v>
      </c>
      <c r="G15" s="388" t="s">
        <v>42</v>
      </c>
      <c r="H15" s="340"/>
      <c r="I15" s="331"/>
      <c r="J15" s="380"/>
      <c r="K15" s="379" t="s">
        <v>64</v>
      </c>
    </row>
    <row r="16" spans="1:11" ht="147" customHeight="1">
      <c r="A16" s="420" t="s">
        <v>160</v>
      </c>
      <c r="B16" s="405" t="s">
        <v>161</v>
      </c>
      <c r="C16" s="446" t="s">
        <v>162</v>
      </c>
      <c r="D16" s="442" t="s">
        <v>163</v>
      </c>
      <c r="E16" s="443">
        <v>8</v>
      </c>
      <c r="F16" s="408">
        <v>8</v>
      </c>
      <c r="G16" s="406" t="s">
        <v>42</v>
      </c>
      <c r="H16" s="340"/>
      <c r="I16" s="337"/>
      <c r="J16" s="380"/>
      <c r="K16" s="379" t="s">
        <v>64</v>
      </c>
    </row>
    <row r="17" spans="1:11" ht="98.25" customHeight="1">
      <c r="A17" s="420" t="s">
        <v>164</v>
      </c>
      <c r="B17" s="405" t="s">
        <v>165</v>
      </c>
      <c r="C17" s="446" t="s">
        <v>166</v>
      </c>
      <c r="D17" s="442" t="s">
        <v>167</v>
      </c>
      <c r="E17" s="443">
        <v>8</v>
      </c>
      <c r="F17" s="408">
        <v>8</v>
      </c>
      <c r="G17" s="406" t="s">
        <v>42</v>
      </c>
      <c r="H17" s="338"/>
      <c r="I17" s="331"/>
      <c r="J17" s="380"/>
      <c r="K17" s="379" t="s">
        <v>64</v>
      </c>
    </row>
    <row r="18" spans="1:11" ht="100.5" customHeight="1">
      <c r="A18" s="387" t="s">
        <v>168</v>
      </c>
      <c r="B18" s="405" t="s">
        <v>169</v>
      </c>
      <c r="C18" s="446" t="s">
        <v>170</v>
      </c>
      <c r="D18" s="442" t="s">
        <v>171</v>
      </c>
      <c r="E18" s="443">
        <v>8</v>
      </c>
      <c r="F18" s="408">
        <v>8</v>
      </c>
      <c r="G18" s="406" t="s">
        <v>42</v>
      </c>
      <c r="H18" s="338"/>
      <c r="I18" s="337"/>
      <c r="J18" s="380"/>
      <c r="K18" s="379" t="s">
        <v>64</v>
      </c>
    </row>
    <row r="19" spans="1:11" ht="69" customHeight="1">
      <c r="A19" s="387" t="s">
        <v>172</v>
      </c>
      <c r="B19" s="405" t="s">
        <v>173</v>
      </c>
      <c r="C19" s="446" t="s">
        <v>174</v>
      </c>
      <c r="D19" s="442" t="s">
        <v>175</v>
      </c>
      <c r="E19" s="443">
        <v>8</v>
      </c>
      <c r="F19" s="408">
        <v>8</v>
      </c>
      <c r="G19" s="406" t="s">
        <v>42</v>
      </c>
      <c r="H19" s="338"/>
      <c r="I19" s="337"/>
      <c r="J19" s="380"/>
      <c r="K19" s="379" t="s">
        <v>64</v>
      </c>
    </row>
    <row r="20" spans="1:11" ht="95.25" customHeight="1">
      <c r="A20" s="389" t="s">
        <v>176</v>
      </c>
      <c r="B20" s="390" t="s">
        <v>177</v>
      </c>
      <c r="C20" s="391" t="s">
        <v>178</v>
      </c>
      <c r="D20" s="384" t="s">
        <v>179</v>
      </c>
      <c r="E20" s="392">
        <v>6</v>
      </c>
      <c r="F20" s="392">
        <v>6</v>
      </c>
      <c r="G20" s="393" t="s">
        <v>47</v>
      </c>
      <c r="H20" s="338" t="s">
        <v>180</v>
      </c>
      <c r="I20" s="341"/>
      <c r="J20" s="380"/>
      <c r="K20" s="204"/>
    </row>
    <row r="21" spans="1:11" ht="93.75" customHeight="1">
      <c r="A21" s="389" t="s">
        <v>181</v>
      </c>
      <c r="B21" s="390" t="s">
        <v>182</v>
      </c>
      <c r="C21" s="391" t="s">
        <v>183</v>
      </c>
      <c r="D21" s="383" t="s">
        <v>184</v>
      </c>
      <c r="E21" s="392">
        <v>6</v>
      </c>
      <c r="F21" s="392">
        <v>6</v>
      </c>
      <c r="G21" s="393" t="s">
        <v>47</v>
      </c>
      <c r="H21" s="338" t="s">
        <v>180</v>
      </c>
      <c r="I21" s="337"/>
      <c r="J21" s="380"/>
      <c r="K21" s="204"/>
    </row>
    <row r="22" spans="1:11" ht="71.25" customHeight="1">
      <c r="A22" s="389" t="s">
        <v>185</v>
      </c>
      <c r="B22" s="390" t="s">
        <v>186</v>
      </c>
      <c r="C22" s="391" t="s">
        <v>187</v>
      </c>
      <c r="D22" s="383" t="s">
        <v>188</v>
      </c>
      <c r="E22" s="392">
        <v>5</v>
      </c>
      <c r="F22" s="394">
        <v>5</v>
      </c>
      <c r="G22" s="393" t="s">
        <v>47</v>
      </c>
      <c r="H22" s="338" t="s">
        <v>180</v>
      </c>
      <c r="I22" s="337"/>
      <c r="J22" s="380"/>
      <c r="K22" s="204"/>
    </row>
    <row r="23" spans="1:11" ht="114.75" customHeight="1">
      <c r="A23" s="420" t="s">
        <v>189</v>
      </c>
      <c r="B23" s="445" t="s">
        <v>190</v>
      </c>
      <c r="C23" s="446" t="s">
        <v>191</v>
      </c>
      <c r="D23" s="442" t="s">
        <v>192</v>
      </c>
      <c r="E23" s="443">
        <v>8</v>
      </c>
      <c r="F23" s="408">
        <v>8</v>
      </c>
      <c r="G23" s="406" t="s">
        <v>42</v>
      </c>
      <c r="H23" s="338"/>
      <c r="I23" s="171"/>
      <c r="J23" s="380"/>
      <c r="K23" s="379" t="s">
        <v>75</v>
      </c>
    </row>
    <row r="24" spans="1:11" ht="111.75" customHeight="1">
      <c r="A24" s="420" t="s">
        <v>193</v>
      </c>
      <c r="B24" s="445" t="s">
        <v>194</v>
      </c>
      <c r="C24" s="446" t="s">
        <v>195</v>
      </c>
      <c r="D24" s="442" t="s">
        <v>196</v>
      </c>
      <c r="E24" s="443">
        <v>8</v>
      </c>
      <c r="F24" s="408">
        <v>8</v>
      </c>
      <c r="G24" s="406" t="s">
        <v>42</v>
      </c>
      <c r="H24" s="342"/>
      <c r="I24" s="343"/>
      <c r="J24" s="380"/>
      <c r="K24" s="379" t="s">
        <v>75</v>
      </c>
    </row>
    <row r="25" spans="1:11" ht="72" customHeight="1">
      <c r="A25" s="420" t="s">
        <v>197</v>
      </c>
      <c r="B25" s="445" t="s">
        <v>198</v>
      </c>
      <c r="C25" s="446" t="s">
        <v>199</v>
      </c>
      <c r="D25" s="444" t="s">
        <v>200</v>
      </c>
      <c r="E25" s="443">
        <v>8</v>
      </c>
      <c r="F25" s="408">
        <v>8</v>
      </c>
      <c r="G25" s="406" t="s">
        <v>42</v>
      </c>
      <c r="H25" s="344"/>
      <c r="I25" s="459"/>
      <c r="J25" s="380"/>
      <c r="K25" s="379" t="s">
        <v>75</v>
      </c>
    </row>
    <row r="26" spans="1:11" ht="114" customHeight="1">
      <c r="A26" s="389" t="s">
        <v>201</v>
      </c>
      <c r="B26" s="390" t="s">
        <v>202</v>
      </c>
      <c r="C26" s="391" t="s">
        <v>203</v>
      </c>
      <c r="D26" s="384" t="s">
        <v>179</v>
      </c>
      <c r="E26" s="392">
        <v>6</v>
      </c>
      <c r="F26" s="394">
        <v>6</v>
      </c>
      <c r="G26" s="393" t="s">
        <v>47</v>
      </c>
      <c r="H26" s="483" t="s">
        <v>204</v>
      </c>
      <c r="I26" s="343"/>
      <c r="J26" s="380"/>
      <c r="K26" s="204"/>
    </row>
    <row r="27" spans="1:11" ht="108.75" customHeight="1">
      <c r="A27" s="389" t="s">
        <v>205</v>
      </c>
      <c r="B27" s="390" t="s">
        <v>206</v>
      </c>
      <c r="C27" s="391" t="s">
        <v>207</v>
      </c>
      <c r="D27" s="383" t="s">
        <v>184</v>
      </c>
      <c r="E27" s="392">
        <v>6</v>
      </c>
      <c r="F27" s="392">
        <v>6</v>
      </c>
      <c r="G27" s="393" t="s">
        <v>47</v>
      </c>
      <c r="H27" s="483" t="s">
        <v>204</v>
      </c>
      <c r="I27" s="345"/>
      <c r="J27" s="380"/>
      <c r="K27" s="204"/>
    </row>
    <row r="28" spans="1:11" ht="79.150000000000006">
      <c r="A28" s="389" t="s">
        <v>208</v>
      </c>
      <c r="B28" s="390" t="s">
        <v>209</v>
      </c>
      <c r="C28" s="391" t="s">
        <v>210</v>
      </c>
      <c r="D28" s="383" t="s">
        <v>188</v>
      </c>
      <c r="E28" s="392">
        <v>5</v>
      </c>
      <c r="F28" s="392">
        <v>5</v>
      </c>
      <c r="G28" s="393" t="s">
        <v>47</v>
      </c>
      <c r="H28" s="483" t="s">
        <v>204</v>
      </c>
      <c r="I28" s="171"/>
      <c r="J28" s="380"/>
      <c r="K28" s="204"/>
    </row>
    <row r="29" spans="1:11" ht="107.25" customHeight="1">
      <c r="A29" s="387" t="s">
        <v>211</v>
      </c>
      <c r="B29" s="233" t="s">
        <v>212</v>
      </c>
      <c r="C29" s="484" t="s">
        <v>213</v>
      </c>
      <c r="D29" s="442" t="s">
        <v>214</v>
      </c>
      <c r="E29" s="443">
        <v>11</v>
      </c>
      <c r="F29" s="443">
        <v>11</v>
      </c>
      <c r="G29" s="388" t="s">
        <v>42</v>
      </c>
      <c r="H29" s="485"/>
      <c r="I29" s="171"/>
      <c r="J29" s="380"/>
      <c r="K29" s="379" t="s">
        <v>75</v>
      </c>
    </row>
    <row r="30" spans="1:11" ht="111" customHeight="1">
      <c r="A30" s="387" t="s">
        <v>215</v>
      </c>
      <c r="B30" s="233" t="s">
        <v>216</v>
      </c>
      <c r="C30" s="484" t="s">
        <v>217</v>
      </c>
      <c r="D30" s="442" t="s">
        <v>218</v>
      </c>
      <c r="E30" s="443">
        <v>12</v>
      </c>
      <c r="F30" s="408">
        <v>12</v>
      </c>
      <c r="G30" s="388" t="s">
        <v>42</v>
      </c>
      <c r="H30" s="170"/>
      <c r="I30" s="343"/>
      <c r="J30" s="380"/>
      <c r="K30" s="379" t="s">
        <v>75</v>
      </c>
    </row>
    <row r="31" spans="1:11" ht="72.75" customHeight="1">
      <c r="A31" s="387" t="s">
        <v>219</v>
      </c>
      <c r="B31" s="233" t="s">
        <v>220</v>
      </c>
      <c r="C31" s="484" t="s">
        <v>221</v>
      </c>
      <c r="D31" s="442" t="s">
        <v>222</v>
      </c>
      <c r="E31" s="443">
        <v>9</v>
      </c>
      <c r="F31" s="408">
        <v>9</v>
      </c>
      <c r="G31" s="409" t="s">
        <v>42</v>
      </c>
      <c r="H31" s="126"/>
      <c r="I31" s="345"/>
      <c r="J31" s="380"/>
      <c r="K31" s="379" t="s">
        <v>75</v>
      </c>
    </row>
    <row r="32" spans="1:11" ht="45.75" customHeight="1">
      <c r="A32" s="387" t="s">
        <v>223</v>
      </c>
      <c r="B32" s="395" t="s">
        <v>224</v>
      </c>
      <c r="C32" s="446" t="s">
        <v>225</v>
      </c>
      <c r="D32" s="442" t="s">
        <v>226</v>
      </c>
      <c r="E32" s="443">
        <v>3</v>
      </c>
      <c r="F32" s="408">
        <v>3</v>
      </c>
      <c r="G32" s="388" t="s">
        <v>42</v>
      </c>
      <c r="H32" s="346"/>
      <c r="I32" s="345"/>
      <c r="J32" s="380"/>
      <c r="K32" s="379"/>
    </row>
    <row r="33" spans="1:11" ht="108.75" customHeight="1">
      <c r="A33" s="387" t="s">
        <v>227</v>
      </c>
      <c r="B33" s="410" t="s">
        <v>228</v>
      </c>
      <c r="C33" s="482" t="s">
        <v>229</v>
      </c>
      <c r="D33" s="442" t="s">
        <v>230</v>
      </c>
      <c r="E33" s="443">
        <v>12</v>
      </c>
      <c r="F33" s="408">
        <v>12</v>
      </c>
      <c r="G33" s="409" t="s">
        <v>42</v>
      </c>
      <c r="H33" s="346"/>
      <c r="I33" s="343"/>
      <c r="J33" s="380"/>
      <c r="K33" s="379" t="s">
        <v>79</v>
      </c>
    </row>
    <row r="34" spans="1:11" ht="111.75" customHeight="1">
      <c r="A34" s="387" t="s">
        <v>231</v>
      </c>
      <c r="B34" s="410" t="s">
        <v>232</v>
      </c>
      <c r="C34" s="482" t="s">
        <v>233</v>
      </c>
      <c r="D34" s="461" t="s">
        <v>234</v>
      </c>
      <c r="E34" s="443">
        <v>12</v>
      </c>
      <c r="F34" s="408">
        <v>12</v>
      </c>
      <c r="G34" s="409" t="s">
        <v>42</v>
      </c>
      <c r="H34" s="346"/>
      <c r="I34" s="171"/>
      <c r="J34" s="380"/>
      <c r="K34" s="379" t="s">
        <v>79</v>
      </c>
    </row>
    <row r="35" spans="1:11" ht="75" customHeight="1">
      <c r="A35" s="387" t="s">
        <v>235</v>
      </c>
      <c r="B35" s="410" t="s">
        <v>236</v>
      </c>
      <c r="C35" s="486" t="s">
        <v>237</v>
      </c>
      <c r="D35" s="461" t="s">
        <v>238</v>
      </c>
      <c r="E35" s="443">
        <v>10</v>
      </c>
      <c r="F35" s="407">
        <v>10</v>
      </c>
      <c r="G35" s="388" t="s">
        <v>42</v>
      </c>
      <c r="H35" s="346"/>
      <c r="I35" s="171"/>
      <c r="J35" s="380"/>
      <c r="K35" s="379" t="s">
        <v>79</v>
      </c>
    </row>
    <row r="36" spans="1:11" ht="112.5" customHeight="1">
      <c r="A36" s="420" t="s">
        <v>239</v>
      </c>
      <c r="B36" s="445" t="s">
        <v>240</v>
      </c>
      <c r="C36" s="446" t="s">
        <v>121</v>
      </c>
      <c r="D36" s="442" t="s">
        <v>122</v>
      </c>
      <c r="E36" s="443">
        <v>8</v>
      </c>
      <c r="F36" s="408">
        <v>8</v>
      </c>
      <c r="G36" s="406" t="s">
        <v>42</v>
      </c>
      <c r="H36" s="171"/>
      <c r="I36" s="171"/>
      <c r="J36" s="380"/>
      <c r="K36" s="379" t="s">
        <v>83</v>
      </c>
    </row>
    <row r="37" spans="1:11" ht="113.25" customHeight="1">
      <c r="A37" s="420" t="s">
        <v>241</v>
      </c>
      <c r="B37" s="445" t="s">
        <v>242</v>
      </c>
      <c r="C37" s="446" t="s">
        <v>125</v>
      </c>
      <c r="D37" s="442" t="s">
        <v>126</v>
      </c>
      <c r="E37" s="443">
        <v>8</v>
      </c>
      <c r="F37" s="408">
        <v>8</v>
      </c>
      <c r="G37" s="406" t="s">
        <v>42</v>
      </c>
      <c r="H37" s="346"/>
      <c r="I37" s="343"/>
      <c r="J37" s="380"/>
      <c r="K37" s="379" t="s">
        <v>83</v>
      </c>
    </row>
    <row r="38" spans="1:11" ht="79.5" customHeight="1">
      <c r="A38" s="387" t="s">
        <v>243</v>
      </c>
      <c r="B38" s="445" t="s">
        <v>244</v>
      </c>
      <c r="C38" s="446" t="s">
        <v>129</v>
      </c>
      <c r="D38" s="442" t="s">
        <v>245</v>
      </c>
      <c r="E38" s="443">
        <v>8</v>
      </c>
      <c r="F38" s="408">
        <v>8</v>
      </c>
      <c r="G38" s="406" t="s">
        <v>42</v>
      </c>
      <c r="H38" s="346"/>
      <c r="I38" s="343"/>
      <c r="J38" s="380"/>
      <c r="K38" s="379" t="s">
        <v>83</v>
      </c>
    </row>
    <row r="39" spans="1:11" ht="109.5" customHeight="1">
      <c r="A39" s="387" t="s">
        <v>246</v>
      </c>
      <c r="B39" s="445" t="s">
        <v>247</v>
      </c>
      <c r="C39" s="446" t="s">
        <v>133</v>
      </c>
      <c r="D39" s="442" t="s">
        <v>134</v>
      </c>
      <c r="E39" s="443">
        <v>8</v>
      </c>
      <c r="F39" s="408">
        <v>8</v>
      </c>
      <c r="G39" s="406" t="s">
        <v>42</v>
      </c>
      <c r="H39" s="346"/>
      <c r="I39" s="345"/>
      <c r="J39" s="380"/>
      <c r="K39" s="379" t="s">
        <v>83</v>
      </c>
    </row>
    <row r="40" spans="1:11" ht="118.5" customHeight="1">
      <c r="A40" s="420" t="s">
        <v>248</v>
      </c>
      <c r="B40" s="445" t="s">
        <v>249</v>
      </c>
      <c r="C40" s="446" t="s">
        <v>137</v>
      </c>
      <c r="D40" s="442" t="s">
        <v>138</v>
      </c>
      <c r="E40" s="443">
        <v>8</v>
      </c>
      <c r="F40" s="408">
        <v>8</v>
      </c>
      <c r="G40" s="406" t="s">
        <v>42</v>
      </c>
      <c r="H40" s="346"/>
      <c r="I40" s="343"/>
      <c r="J40" s="380"/>
      <c r="K40" s="379" t="s">
        <v>83</v>
      </c>
    </row>
    <row r="41" spans="1:11" ht="79.5" customHeight="1">
      <c r="A41" s="420" t="s">
        <v>250</v>
      </c>
      <c r="B41" s="445" t="s">
        <v>251</v>
      </c>
      <c r="C41" s="446" t="s">
        <v>141</v>
      </c>
      <c r="D41" s="442" t="s">
        <v>252</v>
      </c>
      <c r="E41" s="443">
        <v>8</v>
      </c>
      <c r="F41" s="408">
        <v>8</v>
      </c>
      <c r="G41" s="406" t="s">
        <v>42</v>
      </c>
      <c r="H41" s="346"/>
      <c r="I41" s="345"/>
      <c r="J41" s="380"/>
      <c r="K41" s="379" t="s">
        <v>83</v>
      </c>
    </row>
    <row r="42" spans="1:11" ht="142.5" customHeight="1">
      <c r="A42" s="420" t="s">
        <v>253</v>
      </c>
      <c r="B42" s="405" t="s">
        <v>254</v>
      </c>
      <c r="C42" s="446" t="s">
        <v>144</v>
      </c>
      <c r="D42" s="442" t="s">
        <v>255</v>
      </c>
      <c r="E42" s="443">
        <v>8</v>
      </c>
      <c r="F42" s="408">
        <v>8</v>
      </c>
      <c r="G42" s="406" t="s">
        <v>42</v>
      </c>
      <c r="H42" s="170"/>
      <c r="I42" s="345"/>
      <c r="J42" s="380"/>
      <c r="K42" s="379" t="s">
        <v>83</v>
      </c>
    </row>
    <row r="43" spans="1:11" ht="147" customHeight="1">
      <c r="A43" s="387" t="s">
        <v>256</v>
      </c>
      <c r="B43" s="413" t="s">
        <v>257</v>
      </c>
      <c r="C43" s="482" t="s">
        <v>148</v>
      </c>
      <c r="D43" s="462" t="s">
        <v>149</v>
      </c>
      <c r="E43" s="443">
        <v>14</v>
      </c>
      <c r="F43" s="443">
        <v>14</v>
      </c>
      <c r="G43" s="406" t="s">
        <v>42</v>
      </c>
      <c r="H43" s="170"/>
      <c r="I43" s="345"/>
      <c r="J43" s="380"/>
      <c r="K43" s="379" t="s">
        <v>83</v>
      </c>
    </row>
    <row r="44" spans="1:11" ht="111.75" customHeight="1">
      <c r="A44" s="387" t="s">
        <v>258</v>
      </c>
      <c r="B44" s="413" t="s">
        <v>259</v>
      </c>
      <c r="C44" s="460" t="s">
        <v>260</v>
      </c>
      <c r="D44" s="461" t="s">
        <v>261</v>
      </c>
      <c r="E44" s="443">
        <v>13</v>
      </c>
      <c r="F44" s="408">
        <v>13</v>
      </c>
      <c r="G44" s="409" t="s">
        <v>42</v>
      </c>
      <c r="H44" s="348"/>
      <c r="I44" s="345"/>
      <c r="J44" s="380"/>
      <c r="K44" s="379" t="s">
        <v>83</v>
      </c>
    </row>
    <row r="45" spans="1:11" ht="111.75" customHeight="1">
      <c r="A45" s="387" t="s">
        <v>262</v>
      </c>
      <c r="B45" s="405" t="s">
        <v>263</v>
      </c>
      <c r="C45" s="446" t="s">
        <v>155</v>
      </c>
      <c r="D45" s="442" t="s">
        <v>156</v>
      </c>
      <c r="E45" s="443">
        <v>8</v>
      </c>
      <c r="F45" s="408">
        <v>8</v>
      </c>
      <c r="G45" s="406" t="s">
        <v>42</v>
      </c>
      <c r="H45" s="348"/>
      <c r="I45" s="345"/>
      <c r="J45" s="380"/>
      <c r="K45" s="379" t="s">
        <v>79</v>
      </c>
    </row>
    <row r="46" spans="1:11" ht="108.75" customHeight="1">
      <c r="A46" s="387" t="s">
        <v>264</v>
      </c>
      <c r="B46" s="405" t="s">
        <v>265</v>
      </c>
      <c r="C46" s="460" t="s">
        <v>159</v>
      </c>
      <c r="D46" s="462" t="s">
        <v>149</v>
      </c>
      <c r="E46" s="463">
        <v>12</v>
      </c>
      <c r="F46" s="407">
        <v>12</v>
      </c>
      <c r="G46" s="406" t="s">
        <v>42</v>
      </c>
      <c r="H46" s="170"/>
      <c r="I46" s="345"/>
      <c r="J46" s="380"/>
      <c r="K46" s="379" t="s">
        <v>79</v>
      </c>
    </row>
    <row r="47" spans="1:11" ht="102" customHeight="1">
      <c r="A47" s="387" t="s">
        <v>266</v>
      </c>
      <c r="B47" s="405" t="s">
        <v>267</v>
      </c>
      <c r="C47" s="460" t="s">
        <v>268</v>
      </c>
      <c r="D47" s="464" t="s">
        <v>238</v>
      </c>
      <c r="E47" s="463">
        <v>10</v>
      </c>
      <c r="F47" s="407">
        <v>10</v>
      </c>
      <c r="G47" s="406" t="s">
        <v>42</v>
      </c>
      <c r="H47" s="173"/>
      <c r="I47" s="345"/>
      <c r="J47" s="381"/>
      <c r="K47" s="379" t="s">
        <v>79</v>
      </c>
    </row>
    <row r="48" spans="1:11" ht="105.75" customHeight="1">
      <c r="A48" s="420" t="s">
        <v>269</v>
      </c>
      <c r="B48" s="405" t="s">
        <v>270</v>
      </c>
      <c r="C48" s="446" t="s">
        <v>166</v>
      </c>
      <c r="D48" s="442" t="s">
        <v>167</v>
      </c>
      <c r="E48" s="443">
        <v>8</v>
      </c>
      <c r="F48" s="408">
        <v>8</v>
      </c>
      <c r="G48" s="406" t="s">
        <v>42</v>
      </c>
      <c r="H48" s="173"/>
      <c r="I48" s="345"/>
      <c r="J48" s="381"/>
      <c r="K48" s="379" t="s">
        <v>79</v>
      </c>
    </row>
    <row r="49" spans="1:11" ht="100.5" customHeight="1">
      <c r="A49" s="420" t="s">
        <v>271</v>
      </c>
      <c r="B49" s="405" t="s">
        <v>272</v>
      </c>
      <c r="C49" s="460" t="s">
        <v>273</v>
      </c>
      <c r="D49" s="462" t="s">
        <v>149</v>
      </c>
      <c r="E49" s="463">
        <v>12</v>
      </c>
      <c r="F49" s="443">
        <v>12</v>
      </c>
      <c r="G49" s="406" t="s">
        <v>42</v>
      </c>
      <c r="H49" s="351"/>
      <c r="I49" s="345"/>
      <c r="J49" s="381"/>
      <c r="K49" s="379" t="s">
        <v>79</v>
      </c>
    </row>
    <row r="50" spans="1:11" ht="76.5" customHeight="1">
      <c r="A50" s="387" t="s">
        <v>274</v>
      </c>
      <c r="B50" s="405" t="s">
        <v>275</v>
      </c>
      <c r="C50" s="460" t="s">
        <v>276</v>
      </c>
      <c r="D50" s="464" t="s">
        <v>238</v>
      </c>
      <c r="E50" s="463">
        <v>10</v>
      </c>
      <c r="F50" s="443">
        <v>10</v>
      </c>
      <c r="G50" s="406" t="s">
        <v>42</v>
      </c>
      <c r="H50" s="84"/>
      <c r="I50" s="345"/>
      <c r="J50" s="381"/>
      <c r="K50" s="379" t="s">
        <v>79</v>
      </c>
    </row>
    <row r="51" spans="1:11" ht="100.5" customHeight="1">
      <c r="A51" s="387" t="s">
        <v>277</v>
      </c>
      <c r="B51" s="390" t="s">
        <v>278</v>
      </c>
      <c r="C51" s="391" t="s">
        <v>178</v>
      </c>
      <c r="D51" s="384" t="s">
        <v>179</v>
      </c>
      <c r="E51" s="392">
        <v>6</v>
      </c>
      <c r="F51" s="392">
        <v>6</v>
      </c>
      <c r="G51" s="393" t="s">
        <v>47</v>
      </c>
      <c r="H51" s="338" t="s">
        <v>279</v>
      </c>
      <c r="I51" s="345"/>
      <c r="J51" s="381"/>
      <c r="K51" s="204"/>
    </row>
    <row r="52" spans="1:11" ht="97.5" customHeight="1">
      <c r="A52" s="387" t="s">
        <v>280</v>
      </c>
      <c r="B52" s="390" t="s">
        <v>281</v>
      </c>
      <c r="C52" s="391" t="s">
        <v>183</v>
      </c>
      <c r="D52" s="383" t="s">
        <v>184</v>
      </c>
      <c r="E52" s="392">
        <v>6</v>
      </c>
      <c r="F52" s="392">
        <v>6</v>
      </c>
      <c r="G52" s="393" t="s">
        <v>47</v>
      </c>
      <c r="H52" s="338" t="s">
        <v>279</v>
      </c>
      <c r="I52" s="345"/>
      <c r="J52" s="381"/>
      <c r="K52" s="204"/>
    </row>
    <row r="53" spans="1:11" ht="75" customHeight="1">
      <c r="A53" s="387" t="s">
        <v>282</v>
      </c>
      <c r="B53" s="390" t="s">
        <v>283</v>
      </c>
      <c r="C53" s="391" t="s">
        <v>187</v>
      </c>
      <c r="D53" s="383" t="s">
        <v>188</v>
      </c>
      <c r="E53" s="392">
        <v>5</v>
      </c>
      <c r="F53" s="394">
        <v>5</v>
      </c>
      <c r="G53" s="393" t="s">
        <v>47</v>
      </c>
      <c r="H53" s="338" t="s">
        <v>279</v>
      </c>
      <c r="I53" s="345"/>
      <c r="J53" s="381"/>
      <c r="K53" s="204"/>
    </row>
    <row r="54" spans="1:11" ht="112.5" customHeight="1">
      <c r="A54" s="387" t="s">
        <v>284</v>
      </c>
      <c r="B54" s="445" t="s">
        <v>285</v>
      </c>
      <c r="C54" s="446" t="s">
        <v>191</v>
      </c>
      <c r="D54" s="442" t="s">
        <v>192</v>
      </c>
      <c r="E54" s="443">
        <v>8</v>
      </c>
      <c r="F54" s="408">
        <v>8</v>
      </c>
      <c r="G54" s="406" t="s">
        <v>42</v>
      </c>
      <c r="H54" s="303"/>
      <c r="I54" s="345"/>
      <c r="J54" s="381"/>
      <c r="K54" s="379" t="s">
        <v>87</v>
      </c>
    </row>
    <row r="55" spans="1:11" ht="110.25" customHeight="1">
      <c r="A55" s="387" t="s">
        <v>286</v>
      </c>
      <c r="B55" s="445" t="s">
        <v>287</v>
      </c>
      <c r="C55" s="487" t="s">
        <v>288</v>
      </c>
      <c r="D55" s="442" t="s">
        <v>289</v>
      </c>
      <c r="E55" s="463">
        <v>13</v>
      </c>
      <c r="F55" s="408">
        <v>13</v>
      </c>
      <c r="G55" s="406" t="s">
        <v>42</v>
      </c>
      <c r="H55" s="352"/>
      <c r="I55" s="345"/>
      <c r="J55" s="381"/>
      <c r="K55" s="379" t="s">
        <v>87</v>
      </c>
    </row>
    <row r="56" spans="1:11" ht="87" customHeight="1">
      <c r="A56" s="387" t="s">
        <v>290</v>
      </c>
      <c r="B56" s="445" t="s">
        <v>291</v>
      </c>
      <c r="C56" s="487" t="s">
        <v>292</v>
      </c>
      <c r="D56" s="442" t="s">
        <v>293</v>
      </c>
      <c r="E56" s="463">
        <v>10</v>
      </c>
      <c r="F56" s="408">
        <v>10</v>
      </c>
      <c r="G56" s="406" t="s">
        <v>42</v>
      </c>
      <c r="H56" s="84"/>
      <c r="I56" s="345"/>
      <c r="J56" s="381"/>
      <c r="K56" s="379" t="s">
        <v>87</v>
      </c>
    </row>
    <row r="57" spans="1:11" ht="120.75" customHeight="1">
      <c r="A57" s="387" t="s">
        <v>294</v>
      </c>
      <c r="B57" s="390" t="s">
        <v>295</v>
      </c>
      <c r="C57" s="391" t="s">
        <v>203</v>
      </c>
      <c r="D57" s="384" t="s">
        <v>179</v>
      </c>
      <c r="E57" s="392">
        <v>6</v>
      </c>
      <c r="F57" s="394">
        <v>6</v>
      </c>
      <c r="G57" s="393" t="s">
        <v>47</v>
      </c>
      <c r="H57" s="483" t="s">
        <v>204</v>
      </c>
      <c r="I57" s="345"/>
      <c r="J57" s="381"/>
      <c r="K57" s="204"/>
    </row>
    <row r="58" spans="1:11" ht="121.5" customHeight="1">
      <c r="A58" s="387" t="s">
        <v>296</v>
      </c>
      <c r="B58" s="390" t="s">
        <v>297</v>
      </c>
      <c r="C58" s="391" t="s">
        <v>207</v>
      </c>
      <c r="D58" s="383" t="s">
        <v>184</v>
      </c>
      <c r="E58" s="392">
        <v>6</v>
      </c>
      <c r="F58" s="392">
        <v>6</v>
      </c>
      <c r="G58" s="393" t="s">
        <v>47</v>
      </c>
      <c r="H58" s="483" t="s">
        <v>204</v>
      </c>
      <c r="I58" s="345"/>
      <c r="J58" s="381"/>
      <c r="K58" s="204"/>
    </row>
    <row r="59" spans="1:11" ht="79.150000000000006">
      <c r="A59" s="387" t="s">
        <v>298</v>
      </c>
      <c r="B59" s="390" t="s">
        <v>299</v>
      </c>
      <c r="C59" s="391" t="s">
        <v>210</v>
      </c>
      <c r="D59" s="383" t="s">
        <v>188</v>
      </c>
      <c r="E59" s="392">
        <v>5</v>
      </c>
      <c r="F59" s="392">
        <v>5</v>
      </c>
      <c r="G59" s="393" t="s">
        <v>47</v>
      </c>
      <c r="H59" s="483" t="s">
        <v>204</v>
      </c>
      <c r="I59" s="345"/>
      <c r="J59" s="381"/>
      <c r="K59" s="204"/>
    </row>
    <row r="60" spans="1:11" ht="183" customHeight="1">
      <c r="A60" s="387" t="s">
        <v>300</v>
      </c>
      <c r="B60" s="410" t="s">
        <v>301</v>
      </c>
      <c r="C60" s="484" t="s">
        <v>302</v>
      </c>
      <c r="D60" s="442" t="s">
        <v>214</v>
      </c>
      <c r="E60" s="443">
        <v>4</v>
      </c>
      <c r="F60" s="443">
        <v>4</v>
      </c>
      <c r="G60" s="388" t="s">
        <v>42</v>
      </c>
      <c r="H60" s="84"/>
      <c r="I60" s="345"/>
      <c r="J60" s="381"/>
      <c r="K60" s="379" t="s">
        <v>87</v>
      </c>
    </row>
    <row r="61" spans="1:11" ht="116.25" customHeight="1">
      <c r="A61" s="387" t="s">
        <v>303</v>
      </c>
      <c r="B61" s="233" t="s">
        <v>304</v>
      </c>
      <c r="C61" s="487" t="s">
        <v>217</v>
      </c>
      <c r="D61" s="442" t="s">
        <v>218</v>
      </c>
      <c r="E61" s="443">
        <v>12</v>
      </c>
      <c r="F61" s="408">
        <v>12</v>
      </c>
      <c r="G61" s="409" t="s">
        <v>42</v>
      </c>
      <c r="H61" s="84"/>
      <c r="I61" s="343"/>
      <c r="J61" s="381"/>
      <c r="K61" s="379" t="s">
        <v>87</v>
      </c>
    </row>
    <row r="62" spans="1:11" ht="145.15">
      <c r="A62" s="387" t="s">
        <v>305</v>
      </c>
      <c r="B62" s="233" t="s">
        <v>306</v>
      </c>
      <c r="C62" s="487" t="s">
        <v>221</v>
      </c>
      <c r="D62" s="442" t="s">
        <v>222</v>
      </c>
      <c r="E62" s="443">
        <v>9</v>
      </c>
      <c r="F62" s="408">
        <v>9</v>
      </c>
      <c r="G62" s="388" t="s">
        <v>42</v>
      </c>
      <c r="H62" s="74"/>
      <c r="I62" s="349"/>
      <c r="J62" s="381"/>
      <c r="K62" s="379" t="s">
        <v>87</v>
      </c>
    </row>
    <row r="63" spans="1:11" ht="105.6">
      <c r="A63" s="389" t="s">
        <v>307</v>
      </c>
      <c r="B63" s="390" t="s">
        <v>308</v>
      </c>
      <c r="C63" s="391" t="s">
        <v>309</v>
      </c>
      <c r="D63" s="488" t="s">
        <v>310</v>
      </c>
      <c r="E63" s="392">
        <v>6</v>
      </c>
      <c r="F63" s="394">
        <v>6</v>
      </c>
      <c r="G63" s="393" t="s">
        <v>47</v>
      </c>
      <c r="H63" s="84" t="s">
        <v>311</v>
      </c>
      <c r="I63" s="349"/>
      <c r="J63" s="381"/>
      <c r="K63" s="338"/>
    </row>
    <row r="64" spans="1:11" ht="105.6">
      <c r="A64" s="389" t="s">
        <v>312</v>
      </c>
      <c r="B64" s="390" t="s">
        <v>313</v>
      </c>
      <c r="C64" s="391" t="s">
        <v>314</v>
      </c>
      <c r="D64" s="382"/>
      <c r="E64" s="392">
        <v>6</v>
      </c>
      <c r="F64" s="394">
        <v>6</v>
      </c>
      <c r="G64" s="393" t="s">
        <v>47</v>
      </c>
      <c r="H64" s="84" t="s">
        <v>311</v>
      </c>
      <c r="I64" s="349"/>
      <c r="J64" s="381"/>
      <c r="K64" s="338"/>
    </row>
    <row r="65" spans="1:11" ht="66">
      <c r="A65" s="389" t="s">
        <v>315</v>
      </c>
      <c r="B65" s="390" t="s">
        <v>316</v>
      </c>
      <c r="C65" s="396" t="s">
        <v>317</v>
      </c>
      <c r="D65" s="383" t="s">
        <v>188</v>
      </c>
      <c r="E65" s="392">
        <v>5</v>
      </c>
      <c r="F65" s="394">
        <v>5</v>
      </c>
      <c r="G65" s="393" t="s">
        <v>47</v>
      </c>
      <c r="H65" s="84" t="s">
        <v>311</v>
      </c>
      <c r="I65" s="350"/>
      <c r="J65" s="381"/>
      <c r="K65" s="338"/>
    </row>
    <row r="66" spans="1:11" ht="105.6">
      <c r="A66" s="389" t="s">
        <v>318</v>
      </c>
      <c r="B66" s="397" t="s">
        <v>319</v>
      </c>
      <c r="C66" s="391" t="s">
        <v>320</v>
      </c>
      <c r="D66" s="384" t="s">
        <v>179</v>
      </c>
      <c r="E66" s="392">
        <v>6</v>
      </c>
      <c r="F66" s="394">
        <v>6</v>
      </c>
      <c r="G66" s="393" t="s">
        <v>47</v>
      </c>
      <c r="H66" s="84" t="s">
        <v>321</v>
      </c>
      <c r="I66" s="350"/>
      <c r="J66" s="381"/>
      <c r="K66" s="204"/>
    </row>
    <row r="67" spans="1:11" ht="105.6">
      <c r="A67" s="389" t="s">
        <v>322</v>
      </c>
      <c r="B67" s="397" t="s">
        <v>323</v>
      </c>
      <c r="C67" s="391" t="s">
        <v>324</v>
      </c>
      <c r="D67" s="383" t="s">
        <v>184</v>
      </c>
      <c r="E67" s="392">
        <v>6</v>
      </c>
      <c r="F67" s="394">
        <v>6</v>
      </c>
      <c r="G67" s="393" t="s">
        <v>47</v>
      </c>
      <c r="H67" s="84" t="s">
        <v>321</v>
      </c>
      <c r="I67" s="350"/>
      <c r="J67" s="381"/>
      <c r="K67" s="204"/>
    </row>
    <row r="68" spans="1:11" ht="66">
      <c r="A68" s="389" t="s">
        <v>325</v>
      </c>
      <c r="B68" s="397" t="s">
        <v>326</v>
      </c>
      <c r="C68" s="391" t="s">
        <v>327</v>
      </c>
      <c r="D68" s="383" t="s">
        <v>188</v>
      </c>
      <c r="E68" s="392">
        <v>5</v>
      </c>
      <c r="F68" s="394">
        <v>5</v>
      </c>
      <c r="G68" s="393" t="s">
        <v>47</v>
      </c>
      <c r="H68" s="84" t="s">
        <v>321</v>
      </c>
      <c r="I68" s="345"/>
      <c r="J68" s="381"/>
      <c r="K68" s="204"/>
    </row>
    <row r="69" spans="1:11" ht="105.6">
      <c r="A69" s="389" t="s">
        <v>328</v>
      </c>
      <c r="B69" s="397" t="s">
        <v>329</v>
      </c>
      <c r="C69" s="391" t="s">
        <v>330</v>
      </c>
      <c r="D69" s="384" t="s">
        <v>179</v>
      </c>
      <c r="E69" s="392">
        <v>6</v>
      </c>
      <c r="F69" s="394">
        <v>6</v>
      </c>
      <c r="G69" s="393" t="s">
        <v>47</v>
      </c>
      <c r="H69" s="84" t="s">
        <v>331</v>
      </c>
      <c r="I69" s="354"/>
      <c r="J69" s="381"/>
      <c r="K69" s="338"/>
    </row>
    <row r="70" spans="1:11" ht="105.6">
      <c r="A70" s="389" t="s">
        <v>332</v>
      </c>
      <c r="B70" s="397" t="s">
        <v>333</v>
      </c>
      <c r="C70" s="391" t="s">
        <v>334</v>
      </c>
      <c r="D70" s="383" t="s">
        <v>184</v>
      </c>
      <c r="E70" s="392">
        <v>5</v>
      </c>
      <c r="F70" s="394">
        <v>5</v>
      </c>
      <c r="G70" s="393" t="s">
        <v>47</v>
      </c>
      <c r="H70" s="84" t="s">
        <v>331</v>
      </c>
      <c r="I70" s="350"/>
      <c r="J70" s="381"/>
      <c r="K70" s="338"/>
    </row>
    <row r="71" spans="1:11" ht="66">
      <c r="A71" s="389" t="s">
        <v>335</v>
      </c>
      <c r="B71" s="397" t="s">
        <v>336</v>
      </c>
      <c r="C71" s="391" t="s">
        <v>337</v>
      </c>
      <c r="D71" s="383" t="s">
        <v>188</v>
      </c>
      <c r="E71" s="392">
        <v>5</v>
      </c>
      <c r="F71" s="394">
        <v>5</v>
      </c>
      <c r="G71" s="393" t="s">
        <v>47</v>
      </c>
      <c r="H71" s="84" t="s">
        <v>338</v>
      </c>
      <c r="I71" s="350"/>
      <c r="J71" s="381"/>
      <c r="K71" s="338"/>
    </row>
    <row r="72" spans="1:11" ht="105.6">
      <c r="A72" s="389" t="s">
        <v>339</v>
      </c>
      <c r="B72" s="396" t="s">
        <v>340</v>
      </c>
      <c r="C72" s="391" t="s">
        <v>341</v>
      </c>
      <c r="D72" s="384" t="s">
        <v>179</v>
      </c>
      <c r="E72" s="392">
        <v>6</v>
      </c>
      <c r="F72" s="394">
        <v>6</v>
      </c>
      <c r="G72" s="393" t="s">
        <v>47</v>
      </c>
      <c r="H72" s="84" t="s">
        <v>342</v>
      </c>
      <c r="I72" s="350"/>
      <c r="J72" s="381"/>
      <c r="K72" s="338"/>
    </row>
    <row r="73" spans="1:11" ht="105.6">
      <c r="A73" s="389" t="s">
        <v>343</v>
      </c>
      <c r="B73" s="397" t="s">
        <v>344</v>
      </c>
      <c r="C73" s="391" t="s">
        <v>345</v>
      </c>
      <c r="D73" s="383" t="s">
        <v>184</v>
      </c>
      <c r="E73" s="392">
        <v>6</v>
      </c>
      <c r="F73" s="394">
        <v>6</v>
      </c>
      <c r="G73" s="393" t="s">
        <v>47</v>
      </c>
      <c r="H73" s="84" t="s">
        <v>342</v>
      </c>
      <c r="I73" s="350"/>
      <c r="J73" s="381"/>
      <c r="K73" s="338"/>
    </row>
    <row r="74" spans="1:11" ht="66">
      <c r="A74" s="389" t="s">
        <v>346</v>
      </c>
      <c r="B74" s="397" t="s">
        <v>347</v>
      </c>
      <c r="C74" s="391" t="s">
        <v>348</v>
      </c>
      <c r="D74" s="383" t="s">
        <v>188</v>
      </c>
      <c r="E74" s="392">
        <v>5</v>
      </c>
      <c r="F74" s="394">
        <v>5</v>
      </c>
      <c r="G74" s="393" t="s">
        <v>47</v>
      </c>
      <c r="H74" s="84" t="s">
        <v>342</v>
      </c>
      <c r="I74" s="350"/>
      <c r="J74" s="381"/>
      <c r="K74" s="338"/>
    </row>
    <row r="75" spans="1:11" ht="105.6">
      <c r="A75" s="389" t="s">
        <v>349</v>
      </c>
      <c r="B75" s="397" t="s">
        <v>350</v>
      </c>
      <c r="C75" s="391" t="s">
        <v>351</v>
      </c>
      <c r="D75" s="384" t="s">
        <v>179</v>
      </c>
      <c r="E75" s="392">
        <v>6</v>
      </c>
      <c r="F75" s="394">
        <v>6</v>
      </c>
      <c r="G75" s="393" t="s">
        <v>47</v>
      </c>
      <c r="H75" s="84" t="s">
        <v>352</v>
      </c>
      <c r="I75" s="350"/>
      <c r="J75" s="381"/>
      <c r="K75" s="204"/>
    </row>
    <row r="76" spans="1:11" ht="105.6">
      <c r="A76" s="389" t="s">
        <v>353</v>
      </c>
      <c r="B76" s="396" t="s">
        <v>354</v>
      </c>
      <c r="C76" s="391" t="s">
        <v>355</v>
      </c>
      <c r="D76" s="383" t="s">
        <v>184</v>
      </c>
      <c r="E76" s="392">
        <v>3</v>
      </c>
      <c r="F76" s="394">
        <v>3</v>
      </c>
      <c r="G76" s="393" t="s">
        <v>47</v>
      </c>
      <c r="H76" s="84" t="s">
        <v>352</v>
      </c>
      <c r="I76" s="355"/>
      <c r="J76" s="381"/>
      <c r="K76" s="204"/>
    </row>
    <row r="77" spans="1:11" ht="66">
      <c r="A77" s="389" t="s">
        <v>356</v>
      </c>
      <c r="B77" s="396" t="s">
        <v>357</v>
      </c>
      <c r="C77" s="391" t="s">
        <v>358</v>
      </c>
      <c r="D77" s="383" t="s">
        <v>188</v>
      </c>
      <c r="E77" s="392">
        <v>5</v>
      </c>
      <c r="F77" s="394">
        <v>5</v>
      </c>
      <c r="G77" s="393" t="s">
        <v>47</v>
      </c>
      <c r="H77" s="84" t="s">
        <v>352</v>
      </c>
      <c r="I77" s="350"/>
      <c r="J77" s="381"/>
      <c r="K77" s="204"/>
    </row>
    <row r="78" spans="1:11" ht="92.45">
      <c r="A78" s="389" t="s">
        <v>359</v>
      </c>
      <c r="B78" s="396" t="s">
        <v>360</v>
      </c>
      <c r="C78" s="391" t="s">
        <v>361</v>
      </c>
      <c r="D78" s="384" t="s">
        <v>179</v>
      </c>
      <c r="E78" s="392">
        <v>6</v>
      </c>
      <c r="F78" s="394">
        <v>6</v>
      </c>
      <c r="G78" s="393" t="s">
        <v>47</v>
      </c>
      <c r="H78" s="84" t="s">
        <v>352</v>
      </c>
      <c r="I78" s="347"/>
      <c r="J78" s="381"/>
      <c r="K78" s="204"/>
    </row>
    <row r="79" spans="1:11" ht="92.45">
      <c r="A79" s="389" t="s">
        <v>362</v>
      </c>
      <c r="B79" s="396" t="s">
        <v>363</v>
      </c>
      <c r="C79" s="391" t="s">
        <v>364</v>
      </c>
      <c r="D79" s="383" t="s">
        <v>184</v>
      </c>
      <c r="E79" s="392">
        <v>6</v>
      </c>
      <c r="F79" s="394">
        <v>6</v>
      </c>
      <c r="G79" s="393" t="s">
        <v>47</v>
      </c>
      <c r="H79" s="84" t="s">
        <v>352</v>
      </c>
      <c r="I79" s="349"/>
      <c r="J79" s="381"/>
      <c r="K79" s="204"/>
    </row>
    <row r="80" spans="1:11" ht="66">
      <c r="A80" s="389" t="s">
        <v>365</v>
      </c>
      <c r="B80" s="396" t="s">
        <v>366</v>
      </c>
      <c r="C80" s="391" t="s">
        <v>367</v>
      </c>
      <c r="D80" s="383" t="s">
        <v>188</v>
      </c>
      <c r="E80" s="392">
        <v>5</v>
      </c>
      <c r="F80" s="394">
        <v>5</v>
      </c>
      <c r="G80" s="393" t="s">
        <v>47</v>
      </c>
      <c r="H80" s="84" t="s">
        <v>352</v>
      </c>
      <c r="I80" s="349"/>
      <c r="J80" s="381"/>
      <c r="K80" s="204"/>
    </row>
    <row r="81" spans="1:11" ht="92.45">
      <c r="A81" s="389" t="s">
        <v>368</v>
      </c>
      <c r="B81" s="390" t="s">
        <v>369</v>
      </c>
      <c r="C81" s="391" t="s">
        <v>178</v>
      </c>
      <c r="D81" s="384" t="s">
        <v>179</v>
      </c>
      <c r="E81" s="392">
        <v>6</v>
      </c>
      <c r="F81" s="394">
        <v>6</v>
      </c>
      <c r="G81" s="393" t="s">
        <v>47</v>
      </c>
      <c r="H81" s="84" t="s">
        <v>370</v>
      </c>
      <c r="I81" s="345"/>
      <c r="J81" s="381"/>
      <c r="K81" s="338"/>
    </row>
    <row r="82" spans="1:11" ht="92.45">
      <c r="A82" s="389" t="s">
        <v>371</v>
      </c>
      <c r="B82" s="390" t="s">
        <v>372</v>
      </c>
      <c r="C82" s="391" t="s">
        <v>183</v>
      </c>
      <c r="D82" s="383" t="s">
        <v>184</v>
      </c>
      <c r="E82" s="392">
        <v>6</v>
      </c>
      <c r="F82" s="394">
        <v>6</v>
      </c>
      <c r="G82" s="393" t="s">
        <v>47</v>
      </c>
      <c r="H82" s="84" t="s">
        <v>370</v>
      </c>
      <c r="I82" s="360"/>
      <c r="J82" s="381"/>
      <c r="K82" s="338"/>
    </row>
    <row r="83" spans="1:11" ht="66">
      <c r="A83" s="389" t="s">
        <v>373</v>
      </c>
      <c r="B83" s="390" t="s">
        <v>374</v>
      </c>
      <c r="C83" s="391" t="s">
        <v>187</v>
      </c>
      <c r="D83" s="383" t="s">
        <v>188</v>
      </c>
      <c r="E83" s="392">
        <v>5</v>
      </c>
      <c r="F83" s="394">
        <v>5</v>
      </c>
      <c r="G83" s="393" t="s">
        <v>47</v>
      </c>
      <c r="H83" s="84" t="s">
        <v>370</v>
      </c>
      <c r="I83" s="355"/>
      <c r="J83" s="381"/>
      <c r="K83" s="338"/>
    </row>
    <row r="84" spans="1:11" ht="105.6">
      <c r="A84" s="389" t="s">
        <v>375</v>
      </c>
      <c r="B84" s="390" t="s">
        <v>376</v>
      </c>
      <c r="C84" s="391" t="s">
        <v>377</v>
      </c>
      <c r="D84" s="384" t="s">
        <v>179</v>
      </c>
      <c r="E84" s="392">
        <v>6</v>
      </c>
      <c r="F84" s="394">
        <v>6</v>
      </c>
      <c r="G84" s="393" t="s">
        <v>47</v>
      </c>
      <c r="H84" s="84" t="s">
        <v>378</v>
      </c>
      <c r="I84" s="336"/>
      <c r="J84" s="381"/>
      <c r="K84" s="338"/>
    </row>
    <row r="85" spans="1:11" ht="105.6">
      <c r="A85" s="389" t="s">
        <v>379</v>
      </c>
      <c r="B85" s="390" t="s">
        <v>380</v>
      </c>
      <c r="C85" s="391" t="s">
        <v>381</v>
      </c>
      <c r="D85" s="383" t="s">
        <v>184</v>
      </c>
      <c r="E85" s="392">
        <v>6</v>
      </c>
      <c r="F85" s="394">
        <v>6</v>
      </c>
      <c r="G85" s="393" t="s">
        <v>47</v>
      </c>
      <c r="H85" s="84" t="s">
        <v>378</v>
      </c>
      <c r="I85" s="355"/>
      <c r="J85" s="381"/>
      <c r="K85" s="338"/>
    </row>
    <row r="86" spans="1:11" ht="66">
      <c r="A86" s="389" t="s">
        <v>382</v>
      </c>
      <c r="B86" s="390" t="s">
        <v>383</v>
      </c>
      <c r="C86" s="391" t="s">
        <v>384</v>
      </c>
      <c r="D86" s="384" t="s">
        <v>188</v>
      </c>
      <c r="E86" s="392">
        <v>5</v>
      </c>
      <c r="F86" s="394">
        <v>5</v>
      </c>
      <c r="G86" s="393" t="s">
        <v>47</v>
      </c>
      <c r="H86" s="84" t="s">
        <v>378</v>
      </c>
      <c r="I86" s="349"/>
      <c r="J86" s="381"/>
      <c r="K86" s="338"/>
    </row>
    <row r="87" spans="1:11" ht="105.6">
      <c r="A87" s="389" t="s">
        <v>385</v>
      </c>
      <c r="B87" s="390" t="s">
        <v>386</v>
      </c>
      <c r="C87" s="391" t="s">
        <v>203</v>
      </c>
      <c r="D87" s="384" t="s">
        <v>179</v>
      </c>
      <c r="E87" s="392">
        <v>6</v>
      </c>
      <c r="F87" s="394">
        <v>6</v>
      </c>
      <c r="G87" s="393" t="s">
        <v>47</v>
      </c>
      <c r="H87" s="84" t="s">
        <v>387</v>
      </c>
      <c r="I87" s="349"/>
      <c r="J87" s="381"/>
      <c r="K87" s="338"/>
    </row>
    <row r="88" spans="1:11" ht="105.6">
      <c r="A88" s="389" t="s">
        <v>388</v>
      </c>
      <c r="B88" s="390" t="s">
        <v>389</v>
      </c>
      <c r="C88" s="391" t="s">
        <v>207</v>
      </c>
      <c r="D88" s="384" t="s">
        <v>184</v>
      </c>
      <c r="E88" s="392">
        <v>6</v>
      </c>
      <c r="F88" s="394">
        <v>6</v>
      </c>
      <c r="G88" s="393" t="s">
        <v>47</v>
      </c>
      <c r="H88" s="84" t="s">
        <v>387</v>
      </c>
      <c r="I88" s="336"/>
      <c r="J88" s="381"/>
      <c r="K88" s="338"/>
    </row>
    <row r="89" spans="1:11" ht="79.150000000000006">
      <c r="A89" s="389" t="s">
        <v>390</v>
      </c>
      <c r="B89" s="390" t="s">
        <v>391</v>
      </c>
      <c r="C89" s="391" t="s">
        <v>210</v>
      </c>
      <c r="D89" s="384" t="s">
        <v>188</v>
      </c>
      <c r="E89" s="392">
        <v>5</v>
      </c>
      <c r="F89" s="394">
        <v>5</v>
      </c>
      <c r="G89" s="393" t="s">
        <v>47</v>
      </c>
      <c r="H89" s="84" t="s">
        <v>387</v>
      </c>
      <c r="I89" s="355"/>
      <c r="J89" s="381"/>
      <c r="K89" s="338"/>
    </row>
    <row r="90" spans="1:11" ht="105.6">
      <c r="A90" s="389" t="s">
        <v>392</v>
      </c>
      <c r="B90" s="390" t="s">
        <v>393</v>
      </c>
      <c r="C90" s="391" t="s">
        <v>394</v>
      </c>
      <c r="D90" s="384" t="s">
        <v>179</v>
      </c>
      <c r="E90" s="392">
        <v>6</v>
      </c>
      <c r="F90" s="394">
        <v>6</v>
      </c>
      <c r="G90" s="393" t="s">
        <v>47</v>
      </c>
      <c r="H90" s="84" t="s">
        <v>395</v>
      </c>
      <c r="I90" s="349"/>
      <c r="J90" s="381"/>
      <c r="K90" s="338"/>
    </row>
    <row r="91" spans="1:11" ht="105.6">
      <c r="A91" s="389" t="s">
        <v>396</v>
      </c>
      <c r="B91" s="390" t="s">
        <v>397</v>
      </c>
      <c r="C91" s="391" t="s">
        <v>398</v>
      </c>
      <c r="D91" s="384" t="s">
        <v>184</v>
      </c>
      <c r="E91" s="392">
        <v>6</v>
      </c>
      <c r="F91" s="394">
        <v>6</v>
      </c>
      <c r="G91" s="393" t="s">
        <v>47</v>
      </c>
      <c r="H91" s="84" t="s">
        <v>395</v>
      </c>
      <c r="I91" s="349"/>
      <c r="J91" s="381"/>
      <c r="K91" s="338"/>
    </row>
    <row r="92" spans="1:11" ht="66">
      <c r="A92" s="389" t="s">
        <v>399</v>
      </c>
      <c r="B92" s="390" t="s">
        <v>400</v>
      </c>
      <c r="C92" s="489" t="s">
        <v>401</v>
      </c>
      <c r="D92" s="384" t="s">
        <v>188</v>
      </c>
      <c r="E92" s="392">
        <v>5</v>
      </c>
      <c r="F92" s="394">
        <v>5</v>
      </c>
      <c r="G92" s="393" t="s">
        <v>47</v>
      </c>
      <c r="H92" s="84" t="s">
        <v>395</v>
      </c>
      <c r="I92" s="349"/>
      <c r="J92" s="381"/>
      <c r="K92" s="338"/>
    </row>
    <row r="93" spans="1:11" ht="184.9">
      <c r="A93" s="387" t="s">
        <v>402</v>
      </c>
      <c r="B93" s="410" t="s">
        <v>403</v>
      </c>
      <c r="C93" s="484" t="s">
        <v>404</v>
      </c>
      <c r="D93" s="442" t="s">
        <v>405</v>
      </c>
      <c r="E93" s="407">
        <v>9</v>
      </c>
      <c r="F93" s="408">
        <v>9</v>
      </c>
      <c r="G93" s="409" t="s">
        <v>42</v>
      </c>
      <c r="H93" s="84"/>
      <c r="I93" s="345"/>
      <c r="J93" s="381"/>
      <c r="K93" s="379"/>
    </row>
    <row r="94" spans="1:11" ht="230.45">
      <c r="A94" s="387" t="s">
        <v>406</v>
      </c>
      <c r="B94" s="447" t="s">
        <v>407</v>
      </c>
      <c r="C94" s="462" t="s">
        <v>408</v>
      </c>
      <c r="D94" s="462" t="s">
        <v>409</v>
      </c>
      <c r="E94" s="407">
        <v>13</v>
      </c>
      <c r="F94" s="408">
        <v>13</v>
      </c>
      <c r="G94" s="409" t="s">
        <v>42</v>
      </c>
      <c r="H94" s="147"/>
      <c r="I94" s="147"/>
      <c r="J94" s="381"/>
      <c r="K94" s="379"/>
    </row>
    <row r="95" spans="1:11" ht="216">
      <c r="A95" s="387" t="s">
        <v>410</v>
      </c>
      <c r="B95" s="413" t="s">
        <v>411</v>
      </c>
      <c r="C95" s="462" t="s">
        <v>412</v>
      </c>
      <c r="D95" s="462" t="s">
        <v>409</v>
      </c>
      <c r="E95" s="407">
        <v>13</v>
      </c>
      <c r="F95" s="408">
        <v>13</v>
      </c>
      <c r="G95" s="409" t="s">
        <v>42</v>
      </c>
      <c r="H95" s="346"/>
      <c r="I95" s="336"/>
      <c r="J95" s="381"/>
      <c r="K95" s="379"/>
    </row>
    <row r="96" spans="1:11">
      <c r="A96" s="466" t="s">
        <v>413</v>
      </c>
      <c r="B96" s="413" t="s">
        <v>414</v>
      </c>
      <c r="C96" s="490" t="s">
        <v>415</v>
      </c>
      <c r="D96" s="491" t="s">
        <v>416</v>
      </c>
      <c r="E96" s="407">
        <v>1</v>
      </c>
      <c r="F96" s="408">
        <v>1</v>
      </c>
      <c r="G96" s="409" t="s">
        <v>42</v>
      </c>
      <c r="H96" s="346" t="s">
        <v>417</v>
      </c>
      <c r="I96" s="336"/>
      <c r="J96" s="381"/>
      <c r="K96" s="379"/>
    </row>
    <row r="97" spans="1:11">
      <c r="A97" s="387" t="s">
        <v>418</v>
      </c>
      <c r="B97" s="413" t="s">
        <v>419</v>
      </c>
      <c r="C97" s="490" t="s">
        <v>420</v>
      </c>
      <c r="D97" s="491" t="s">
        <v>416</v>
      </c>
      <c r="E97" s="407">
        <v>1</v>
      </c>
      <c r="F97" s="408">
        <v>1</v>
      </c>
      <c r="G97" s="409" t="s">
        <v>42</v>
      </c>
      <c r="H97" s="455" t="s">
        <v>417</v>
      </c>
      <c r="I97" s="355"/>
      <c r="J97" s="381"/>
      <c r="K97" s="379"/>
    </row>
    <row r="98" spans="1:11">
      <c r="A98" s="466" t="s">
        <v>421</v>
      </c>
      <c r="B98" s="413" t="s">
        <v>422</v>
      </c>
      <c r="C98" s="490" t="s">
        <v>423</v>
      </c>
      <c r="D98" s="491" t="s">
        <v>416</v>
      </c>
      <c r="E98" s="407">
        <v>1</v>
      </c>
      <c r="F98" s="408">
        <v>1</v>
      </c>
      <c r="G98" s="409" t="s">
        <v>42</v>
      </c>
      <c r="H98" s="455" t="s">
        <v>417</v>
      </c>
      <c r="I98" s="345"/>
      <c r="J98" s="381"/>
      <c r="K98" s="379"/>
    </row>
    <row r="99" spans="1:11" ht="26.45">
      <c r="A99" s="387" t="s">
        <v>424</v>
      </c>
      <c r="B99" s="413" t="s">
        <v>425</v>
      </c>
      <c r="C99" s="491" t="s">
        <v>426</v>
      </c>
      <c r="D99" s="491" t="s">
        <v>426</v>
      </c>
      <c r="E99" s="407">
        <v>1</v>
      </c>
      <c r="F99" s="408">
        <v>1</v>
      </c>
      <c r="G99" s="409" t="s">
        <v>42</v>
      </c>
      <c r="H99" s="346"/>
      <c r="I99" s="355"/>
      <c r="J99" s="381"/>
      <c r="K99" s="379"/>
    </row>
    <row r="100" spans="1:11" ht="26.45">
      <c r="A100" s="387" t="s">
        <v>427</v>
      </c>
      <c r="B100" s="413" t="s">
        <v>428</v>
      </c>
      <c r="C100" s="491" t="s">
        <v>429</v>
      </c>
      <c r="D100" s="491" t="s">
        <v>429</v>
      </c>
      <c r="E100" s="407">
        <v>1</v>
      </c>
      <c r="F100" s="408">
        <v>1</v>
      </c>
      <c r="G100" s="409" t="s">
        <v>42</v>
      </c>
      <c r="H100" s="346"/>
      <c r="I100" s="349"/>
      <c r="J100" s="381"/>
      <c r="K100" s="379"/>
    </row>
    <row r="101" spans="1:11" ht="79.150000000000006">
      <c r="A101" s="387" t="s">
        <v>430</v>
      </c>
      <c r="B101" s="413" t="s">
        <v>431</v>
      </c>
      <c r="C101" s="491" t="s">
        <v>432</v>
      </c>
      <c r="D101" s="491" t="s">
        <v>432</v>
      </c>
      <c r="E101" s="407">
        <v>6</v>
      </c>
      <c r="F101" s="408">
        <v>6</v>
      </c>
      <c r="G101" s="409" t="s">
        <v>42</v>
      </c>
      <c r="H101" s="346"/>
      <c r="I101" s="349"/>
      <c r="J101" s="381"/>
      <c r="K101" s="379"/>
    </row>
    <row r="102" spans="1:11" ht="92.45">
      <c r="A102" s="387" t="s">
        <v>433</v>
      </c>
      <c r="B102" s="413" t="s">
        <v>434</v>
      </c>
      <c r="C102" s="492" t="s">
        <v>435</v>
      </c>
      <c r="D102" s="492" t="s">
        <v>435</v>
      </c>
      <c r="E102" s="407">
        <v>6</v>
      </c>
      <c r="F102" s="408">
        <v>6</v>
      </c>
      <c r="G102" s="409" t="s">
        <v>42</v>
      </c>
      <c r="H102" s="346"/>
      <c r="I102" s="349"/>
      <c r="J102" s="381"/>
      <c r="K102" s="379"/>
    </row>
    <row r="103" spans="1:11" ht="26.45">
      <c r="A103" s="387" t="s">
        <v>436</v>
      </c>
      <c r="B103" s="454" t="s">
        <v>437</v>
      </c>
      <c r="C103" s="411" t="s">
        <v>438</v>
      </c>
      <c r="D103" s="412" t="s">
        <v>439</v>
      </c>
      <c r="E103" s="407">
        <v>2</v>
      </c>
      <c r="F103" s="408">
        <v>2</v>
      </c>
      <c r="G103" s="409" t="s">
        <v>42</v>
      </c>
      <c r="H103" s="346"/>
      <c r="I103" s="349"/>
      <c r="J103" s="381"/>
      <c r="K103" s="379"/>
    </row>
    <row r="104" spans="1:11" ht="26.45">
      <c r="A104" s="387" t="s">
        <v>440</v>
      </c>
      <c r="B104" s="413" t="s">
        <v>441</v>
      </c>
      <c r="C104" s="411" t="s">
        <v>438</v>
      </c>
      <c r="D104" s="412" t="s">
        <v>439</v>
      </c>
      <c r="E104" s="407">
        <v>2</v>
      </c>
      <c r="F104" s="408">
        <v>2</v>
      </c>
      <c r="G104" s="409" t="s">
        <v>42</v>
      </c>
      <c r="H104" s="346"/>
      <c r="I104" s="349"/>
      <c r="J104" s="381"/>
      <c r="K104" s="379"/>
    </row>
    <row r="105" spans="1:11">
      <c r="A105" s="398"/>
      <c r="B105" s="399"/>
      <c r="C105" s="400"/>
      <c r="D105" s="401"/>
      <c r="E105" s="402"/>
      <c r="F105" s="403"/>
      <c r="G105" s="404"/>
      <c r="H105" s="84"/>
      <c r="I105" s="349"/>
      <c r="J105" s="381"/>
      <c r="K105" s="379"/>
    </row>
    <row r="106" spans="1:11">
      <c r="A106" s="84"/>
      <c r="B106" s="333"/>
      <c r="C106" s="74"/>
      <c r="D106" s="353"/>
      <c r="E106" s="169"/>
      <c r="F106" s="329"/>
      <c r="G106" s="169"/>
      <c r="H106" s="84"/>
      <c r="I106" s="345"/>
      <c r="J106" s="381"/>
      <c r="K106" s="379"/>
    </row>
    <row r="107" spans="1:11">
      <c r="A107" s="84"/>
      <c r="B107" s="333"/>
      <c r="C107" s="78"/>
      <c r="D107" s="353"/>
      <c r="E107" s="169"/>
      <c r="F107" s="329"/>
      <c r="G107" s="169"/>
      <c r="H107" s="84"/>
      <c r="I107" s="355"/>
      <c r="J107" s="381"/>
      <c r="K107" s="379"/>
    </row>
    <row r="108" spans="1:11">
      <c r="A108" s="84"/>
      <c r="B108" s="333"/>
      <c r="C108" s="334"/>
      <c r="D108" s="353"/>
      <c r="E108" s="169"/>
      <c r="F108" s="329"/>
      <c r="G108" s="169"/>
      <c r="H108" s="84"/>
      <c r="I108" s="350"/>
      <c r="J108" s="381"/>
      <c r="K108" s="379"/>
    </row>
    <row r="109" spans="1:11">
      <c r="A109" s="84"/>
      <c r="B109" s="333"/>
      <c r="C109" s="78"/>
      <c r="D109" s="353"/>
      <c r="E109" s="169"/>
      <c r="F109" s="329"/>
      <c r="G109" s="169"/>
      <c r="H109" s="84"/>
      <c r="I109" s="350"/>
      <c r="J109" s="381"/>
      <c r="K109" s="379"/>
    </row>
    <row r="110" spans="1:11">
      <c r="A110" s="84"/>
      <c r="B110" s="333"/>
      <c r="C110" s="334"/>
      <c r="D110" s="353"/>
      <c r="E110" s="169"/>
      <c r="F110" s="329"/>
      <c r="G110" s="169"/>
      <c r="H110" s="84"/>
      <c r="I110" s="350"/>
      <c r="J110" s="381"/>
      <c r="K110" s="379"/>
    </row>
    <row r="111" spans="1:11">
      <c r="A111" s="84"/>
      <c r="B111" s="333"/>
      <c r="C111" s="78"/>
      <c r="D111" s="353"/>
      <c r="E111" s="169"/>
      <c r="F111" s="329"/>
      <c r="G111" s="169"/>
      <c r="H111" s="84"/>
      <c r="I111" s="355"/>
      <c r="J111" s="381"/>
      <c r="K111" s="379"/>
    </row>
    <row r="112" spans="1:11">
      <c r="A112" s="84"/>
      <c r="B112" s="333"/>
      <c r="C112" s="78"/>
      <c r="D112" s="353"/>
      <c r="E112" s="169"/>
      <c r="F112" s="329"/>
      <c r="G112" s="169"/>
      <c r="H112" s="84"/>
      <c r="I112" s="350"/>
      <c r="J112" s="381"/>
      <c r="K112" s="379"/>
    </row>
    <row r="113" spans="1:11">
      <c r="A113" s="84"/>
      <c r="B113" s="347"/>
      <c r="C113" s="78"/>
      <c r="D113" s="353"/>
      <c r="E113" s="169"/>
      <c r="F113" s="329"/>
      <c r="G113" s="169"/>
      <c r="H113" s="84"/>
      <c r="I113" s="350"/>
      <c r="J113" s="381"/>
      <c r="K113" s="379"/>
    </row>
    <row r="114" spans="1:11">
      <c r="A114" s="84"/>
      <c r="B114" s="347"/>
      <c r="C114" s="78"/>
      <c r="D114" s="353"/>
      <c r="E114" s="169"/>
      <c r="F114" s="329"/>
      <c r="G114" s="169"/>
      <c r="H114" s="84"/>
      <c r="I114" s="355"/>
      <c r="J114" s="381"/>
      <c r="K114" s="379"/>
    </row>
    <row r="115" spans="1:11">
      <c r="A115" s="84"/>
      <c r="B115" s="347"/>
      <c r="C115" s="78"/>
      <c r="D115" s="361"/>
      <c r="E115" s="169"/>
      <c r="F115" s="169"/>
      <c r="G115" s="362"/>
      <c r="H115" s="363"/>
      <c r="I115" s="349"/>
      <c r="J115" s="381"/>
      <c r="K115" s="379"/>
    </row>
    <row r="116" spans="1:11">
      <c r="A116" s="84"/>
      <c r="B116" s="347"/>
      <c r="C116" s="78"/>
      <c r="D116" s="357"/>
      <c r="E116" s="358"/>
      <c r="F116" s="359"/>
      <c r="G116" s="358"/>
      <c r="H116" s="84"/>
      <c r="I116" s="349"/>
      <c r="J116" s="381"/>
      <c r="K116" s="379"/>
    </row>
    <row r="117" spans="1:11">
      <c r="A117" s="84"/>
      <c r="B117" s="347"/>
      <c r="C117" s="78"/>
      <c r="D117" s="361"/>
      <c r="E117" s="169"/>
      <c r="F117" s="169"/>
      <c r="G117" s="362"/>
      <c r="H117" s="356"/>
      <c r="I117" s="349"/>
      <c r="J117" s="381"/>
      <c r="K117" s="379"/>
    </row>
    <row r="118" spans="1:11">
      <c r="A118" s="84"/>
      <c r="B118" s="347"/>
      <c r="C118" s="78"/>
      <c r="D118" s="357"/>
      <c r="E118" s="358"/>
      <c r="F118" s="359"/>
      <c r="G118" s="358"/>
      <c r="H118" s="84"/>
      <c r="I118" s="349"/>
      <c r="J118" s="381"/>
      <c r="K118" s="379"/>
    </row>
    <row r="119" spans="1:11">
      <c r="A119" s="84"/>
      <c r="B119" s="347"/>
      <c r="C119" s="78"/>
      <c r="D119" s="353"/>
      <c r="E119" s="169"/>
      <c r="F119" s="329"/>
      <c r="G119" s="169"/>
      <c r="H119" s="84"/>
      <c r="I119" s="349"/>
      <c r="J119" s="381"/>
      <c r="K119" s="379"/>
    </row>
    <row r="120" spans="1:11">
      <c r="A120" s="84"/>
      <c r="B120" s="347"/>
      <c r="C120" s="78"/>
      <c r="D120" s="353"/>
      <c r="E120" s="169"/>
      <c r="F120" s="329"/>
      <c r="G120" s="169"/>
      <c r="H120" s="84"/>
      <c r="I120" s="349"/>
      <c r="J120" s="381"/>
      <c r="K120" s="379"/>
    </row>
    <row r="121" spans="1:11">
      <c r="A121" s="84"/>
      <c r="B121" s="347"/>
      <c r="C121" s="78"/>
      <c r="D121" s="353"/>
      <c r="E121" s="169"/>
      <c r="F121" s="329"/>
      <c r="G121" s="169"/>
      <c r="H121" s="84"/>
      <c r="I121" s="349"/>
      <c r="J121" s="381"/>
      <c r="K121" s="379"/>
    </row>
    <row r="122" spans="1:11">
      <c r="A122" s="84"/>
      <c r="B122" s="347"/>
      <c r="C122" s="78"/>
      <c r="D122" s="353"/>
      <c r="E122" s="169"/>
      <c r="F122" s="329"/>
      <c r="G122" s="169"/>
      <c r="H122" s="84"/>
      <c r="I122" s="349"/>
      <c r="J122" s="381"/>
      <c r="K122" s="379"/>
    </row>
    <row r="123" spans="1:11">
      <c r="A123" s="84"/>
      <c r="B123" s="347"/>
      <c r="C123" s="78"/>
      <c r="D123" s="353"/>
      <c r="E123" s="169"/>
      <c r="F123" s="329"/>
      <c r="G123" s="169"/>
      <c r="H123" s="84"/>
      <c r="I123" s="349"/>
      <c r="J123" s="381"/>
      <c r="K123" s="379"/>
    </row>
    <row r="124" spans="1:11">
      <c r="A124" s="84"/>
      <c r="B124" s="347"/>
      <c r="C124" s="334"/>
      <c r="D124" s="353"/>
      <c r="E124" s="169"/>
      <c r="F124" s="329"/>
      <c r="G124" s="169"/>
      <c r="H124" s="84"/>
      <c r="I124" s="360"/>
      <c r="J124" s="381"/>
      <c r="K124" s="379"/>
    </row>
    <row r="125" spans="1:11">
      <c r="A125" s="84"/>
      <c r="B125" s="347"/>
      <c r="C125" s="78"/>
      <c r="D125" s="353"/>
      <c r="E125" s="169"/>
      <c r="F125" s="329"/>
      <c r="G125" s="169"/>
      <c r="H125" s="84"/>
      <c r="I125" s="355"/>
      <c r="J125" s="381"/>
      <c r="K125" s="379"/>
    </row>
  </sheetData>
  <autoFilter ref="A1:K104" xr:uid="{1A11A539-3A9E-4C6D-B38B-62A292B61864}"/>
  <phoneticPr fontId="7" type="noConversion"/>
  <conditionalFormatting sqref="B11 B15">
    <cfRule type="expression" dxfId="185" priority="252" stopIfTrue="1">
      <formula>($G11="Pass")</formula>
    </cfRule>
    <cfRule type="expression" dxfId="184" priority="253" stopIfTrue="1">
      <formula>($G11="Fail")</formula>
    </cfRule>
    <cfRule type="expression" dxfId="183" priority="254" stopIfTrue="1">
      <formula>($G11="Pass")</formula>
    </cfRule>
    <cfRule type="expression" dxfId="182" priority="257" stopIfTrue="1">
      <formula>($G11="Fail")</formula>
    </cfRule>
    <cfRule type="expression" dxfId="181" priority="258" stopIfTrue="1">
      <formula>($G11="Pass")</formula>
    </cfRule>
  </conditionalFormatting>
  <conditionalFormatting sqref="B11 B15:B32 B42 B45:B62 G2:G92 A2:A125">
    <cfRule type="expression" dxfId="180" priority="279" stopIfTrue="1">
      <formula>($G2="Fail")</formula>
    </cfRule>
  </conditionalFormatting>
  <conditionalFormatting sqref="B15 B11">
    <cfRule type="expression" dxfId="179" priority="251" stopIfTrue="1">
      <formula>($G11="Fail")</formula>
    </cfRule>
  </conditionalFormatting>
  <conditionalFormatting sqref="B15:B16">
    <cfRule type="expression" dxfId="178" priority="249" stopIfTrue="1">
      <formula>($G15="Fail")</formula>
    </cfRule>
    <cfRule type="expression" dxfId="177" priority="250" stopIfTrue="1">
      <formula>($G15="Pass")</formula>
    </cfRule>
  </conditionalFormatting>
  <conditionalFormatting sqref="B16:B17">
    <cfRule type="expression" dxfId="176" priority="247" stopIfTrue="1">
      <formula>($G16="Fail")</formula>
    </cfRule>
    <cfRule type="expression" dxfId="175" priority="248" stopIfTrue="1">
      <formula>($G16="Pass")</formula>
    </cfRule>
  </conditionalFormatting>
  <conditionalFormatting sqref="B36:B42">
    <cfRule type="expression" dxfId="174" priority="35" stopIfTrue="1">
      <formula>($G36="Fail")</formula>
    </cfRule>
    <cfRule type="expression" dxfId="173" priority="36" stopIfTrue="1">
      <formula>($G36="Pass")</formula>
    </cfRule>
  </conditionalFormatting>
  <conditionalFormatting sqref="B42 B45:B46">
    <cfRule type="expression" dxfId="172" priority="184" stopIfTrue="1">
      <formula>($G42="Pass")</formula>
    </cfRule>
    <cfRule type="expression" dxfId="171" priority="185" stopIfTrue="1">
      <formula>($G42="Fail")</formula>
    </cfRule>
    <cfRule type="expression" dxfId="170" priority="186" stopIfTrue="1">
      <formula>($G42="Pass")</formula>
    </cfRule>
  </conditionalFormatting>
  <conditionalFormatting sqref="B45:B46 B42">
    <cfRule type="expression" dxfId="169" priority="183" stopIfTrue="1">
      <formula>($G42="Fail")</formula>
    </cfRule>
  </conditionalFormatting>
  <conditionalFormatting sqref="B45:B46">
    <cfRule type="expression" dxfId="168" priority="181" stopIfTrue="1">
      <formula>($G45="Fail")</formula>
    </cfRule>
    <cfRule type="expression" dxfId="167" priority="182" stopIfTrue="1">
      <formula>($G45="Pass")</formula>
    </cfRule>
  </conditionalFormatting>
  <conditionalFormatting sqref="B46:B47">
    <cfRule type="expression" dxfId="166" priority="179" stopIfTrue="1">
      <formula>($G46="Fail")</formula>
    </cfRule>
    <cfRule type="expression" dxfId="165" priority="180" stopIfTrue="1">
      <formula>($G46="Pass")</formula>
    </cfRule>
  </conditionalFormatting>
  <conditionalFormatting sqref="B47:B48">
    <cfRule type="expression" dxfId="164" priority="177" stopIfTrue="1">
      <formula>($G47="Fail")</formula>
    </cfRule>
    <cfRule type="expression" dxfId="163" priority="178" stopIfTrue="1">
      <formula>($G47="Pass")</formula>
    </cfRule>
  </conditionalFormatting>
  <conditionalFormatting sqref="B72 B76">
    <cfRule type="expression" dxfId="162" priority="138" stopIfTrue="1">
      <formula>($G72="Pass")</formula>
    </cfRule>
    <cfRule type="expression" dxfId="161" priority="139" stopIfTrue="1">
      <formula>($G72="Fail")</formula>
    </cfRule>
    <cfRule type="expression" dxfId="160" priority="140" stopIfTrue="1">
      <formula>($G72="Pass")</formula>
    </cfRule>
    <cfRule type="expression" dxfId="159" priority="141" stopIfTrue="1">
      <formula>($G72="Fail")</formula>
    </cfRule>
    <cfRule type="expression" dxfId="158" priority="142" stopIfTrue="1">
      <formula>($G72="Pass")</formula>
    </cfRule>
  </conditionalFormatting>
  <conditionalFormatting sqref="B72 B76:B92">
    <cfRule type="expression" dxfId="157" priority="143" stopIfTrue="1">
      <formula>($G72="Fail")</formula>
    </cfRule>
    <cfRule type="expression" dxfId="156" priority="144" stopIfTrue="1">
      <formula>($G72="Pass")</formula>
    </cfRule>
  </conditionalFormatting>
  <conditionalFormatting sqref="B76 B72">
    <cfRule type="expression" dxfId="155" priority="137" stopIfTrue="1">
      <formula>($G72="Fail")</formula>
    </cfRule>
  </conditionalFormatting>
  <conditionalFormatting sqref="B76:B77">
    <cfRule type="expression" dxfId="154" priority="135" stopIfTrue="1">
      <formula>($G76="Fail")</formula>
    </cfRule>
    <cfRule type="expression" dxfId="153" priority="136" stopIfTrue="1">
      <formula>($G76="Pass")</formula>
    </cfRule>
  </conditionalFormatting>
  <conditionalFormatting sqref="B77:B78">
    <cfRule type="expression" dxfId="152" priority="133" stopIfTrue="1">
      <formula>($G77="Fail")</formula>
    </cfRule>
    <cfRule type="expression" dxfId="151" priority="134" stopIfTrue="1">
      <formula>($G77="Pass")</formula>
    </cfRule>
  </conditionalFormatting>
  <conditionalFormatting sqref="B93">
    <cfRule type="expression" dxfId="150" priority="23" stopIfTrue="1">
      <formula>($G93="Fail")</formula>
    </cfRule>
    <cfRule type="expression" dxfId="149" priority="24" stopIfTrue="1">
      <formula>($G93="Pass")</formula>
    </cfRule>
  </conditionalFormatting>
  <conditionalFormatting sqref="B103:B104">
    <cfRule type="expression" dxfId="148" priority="53" stopIfTrue="1">
      <formula>($G103="Fail")</formula>
    </cfRule>
    <cfRule type="expression" dxfId="147" priority="54" stopIfTrue="1">
      <formula>($G103="Pass")</formula>
    </cfRule>
  </conditionalFormatting>
  <conditionalFormatting sqref="D2:D11">
    <cfRule type="expression" dxfId="146" priority="13" stopIfTrue="1">
      <formula>($G2="Fail")</formula>
    </cfRule>
    <cfRule type="expression" dxfId="145" priority="14" stopIfTrue="1">
      <formula>($G2="Pass")</formula>
    </cfRule>
  </conditionalFormatting>
  <conditionalFormatting sqref="D13:D14">
    <cfRule type="expression" dxfId="144" priority="9" stopIfTrue="1">
      <formula>($G13="Fail")</formula>
    </cfRule>
    <cfRule type="expression" dxfId="143" priority="10" stopIfTrue="1">
      <formula>($G13="Pass")</formula>
    </cfRule>
  </conditionalFormatting>
  <conditionalFormatting sqref="D16:D42">
    <cfRule type="expression" dxfId="142" priority="1" stopIfTrue="1">
      <formula>($G16="Fail")</formula>
    </cfRule>
    <cfRule type="expression" dxfId="141" priority="2" stopIfTrue="1">
      <formula>($G16="Pass")</formula>
    </cfRule>
  </conditionalFormatting>
  <conditionalFormatting sqref="D44:D45">
    <cfRule type="expression" dxfId="140" priority="31" stopIfTrue="1">
      <formula>($G44="Fail")</formula>
    </cfRule>
    <cfRule type="expression" dxfId="139" priority="32" stopIfTrue="1">
      <formula>($G44="Pass")</formula>
    </cfRule>
  </conditionalFormatting>
  <conditionalFormatting sqref="D48">
    <cfRule type="expression" dxfId="138" priority="29" stopIfTrue="1">
      <formula>($G48="Fail")</formula>
    </cfRule>
    <cfRule type="expression" dxfId="137" priority="30" stopIfTrue="1">
      <formula>($G48="Pass")</formula>
    </cfRule>
  </conditionalFormatting>
  <conditionalFormatting sqref="D51:D93">
    <cfRule type="expression" dxfId="136" priority="25" stopIfTrue="1">
      <formula>($G51="Fail")</formula>
    </cfRule>
    <cfRule type="expression" dxfId="135" priority="26" stopIfTrue="1">
      <formula>($G51="Pass")</formula>
    </cfRule>
  </conditionalFormatting>
  <conditionalFormatting sqref="G2:G92 A2:A125 B11 B15:B32 B42 B45:B62">
    <cfRule type="expression" dxfId="134" priority="280" stopIfTrue="1">
      <formula>($G2="Pass")</formula>
    </cfRule>
  </conditionalFormatting>
  <conditionalFormatting sqref="K20:K22 K26:K28">
    <cfRule type="expression" dxfId="133" priority="97" stopIfTrue="1">
      <formula>($G20="Fail")</formula>
    </cfRule>
    <cfRule type="expression" dxfId="132" priority="98" stopIfTrue="1">
      <formula>($G20="Pass")</formula>
    </cfRule>
  </conditionalFormatting>
  <conditionalFormatting sqref="K51:K53 K57:K59">
    <cfRule type="expression" dxfId="131" priority="89" stopIfTrue="1">
      <formula>($G51="Fail")</formula>
    </cfRule>
    <cfRule type="expression" dxfId="130" priority="90" stopIfTrue="1">
      <formula>($G51="Pass")</formula>
    </cfRule>
  </conditionalFormatting>
  <conditionalFormatting sqref="K63:K92">
    <cfRule type="expression" dxfId="129" priority="77" stopIfTrue="1">
      <formula>($G63="Fail")</formula>
    </cfRule>
    <cfRule type="expression" dxfId="128" priority="78" stopIfTrue="1">
      <formula>($G63="Pass")</formula>
    </cfRule>
  </conditionalFormatting>
  <dataValidations count="1">
    <dataValidation type="list" allowBlank="1" showInputMessage="1" showErrorMessage="1" sqref="G116 G118:G65513 G1:G114"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L80"/>
  <sheetViews>
    <sheetView zoomScale="85" zoomScaleNormal="85" workbookViewId="0">
      <selection activeCell="F8" sqref="F8"/>
    </sheetView>
  </sheetViews>
  <sheetFormatPr defaultColWidth="8.7109375" defaultRowHeight="13.15"/>
  <cols>
    <col min="1" max="1" width="11.140625" style="57" customWidth="1"/>
    <col min="2" max="2" width="37.140625" style="71" customWidth="1"/>
    <col min="3" max="3" width="38.5703125" style="49" customWidth="1"/>
    <col min="4" max="4" width="45.85546875" style="48" customWidth="1"/>
    <col min="5" max="5" width="10.42578125" style="72" bestFit="1" customWidth="1"/>
    <col min="6" max="6" width="11.85546875" style="73" customWidth="1"/>
    <col min="7" max="7" width="10.8554687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2" ht="39.75" customHeight="1">
      <c r="A1" s="67" t="s">
        <v>52</v>
      </c>
      <c r="B1" s="68" t="s">
        <v>53</v>
      </c>
      <c r="C1" s="68" t="s">
        <v>54</v>
      </c>
      <c r="D1" s="68" t="s">
        <v>55</v>
      </c>
      <c r="E1" s="67" t="s">
        <v>56</v>
      </c>
      <c r="F1" s="69" t="s">
        <v>57</v>
      </c>
      <c r="G1" s="68" t="s">
        <v>58</v>
      </c>
      <c r="H1" s="70" t="s">
        <v>59</v>
      </c>
      <c r="I1" s="68" t="s">
        <v>60</v>
      </c>
      <c r="J1" s="68" t="s">
        <v>61</v>
      </c>
      <c r="K1" s="68" t="s">
        <v>62</v>
      </c>
    </row>
    <row r="2" spans="1:12">
      <c r="A2" s="226"/>
      <c r="B2" s="50"/>
      <c r="C2" s="51"/>
      <c r="D2" s="51"/>
      <c r="E2" s="52"/>
      <c r="F2" s="66"/>
      <c r="G2" s="52"/>
      <c r="H2" s="65"/>
      <c r="I2" s="60"/>
      <c r="J2" s="61"/>
      <c r="K2" s="62"/>
    </row>
    <row r="3" spans="1:12">
      <c r="A3" s="226"/>
      <c r="B3" s="50"/>
      <c r="C3" s="51"/>
      <c r="D3" s="51"/>
      <c r="E3" s="52"/>
      <c r="F3" s="66"/>
      <c r="G3" s="52"/>
      <c r="H3" s="65"/>
      <c r="I3" s="60"/>
      <c r="J3" s="61"/>
      <c r="K3" s="61"/>
    </row>
    <row r="4" spans="1:12">
      <c r="A4" s="226"/>
      <c r="B4" s="50"/>
      <c r="C4" s="51"/>
      <c r="D4" s="51"/>
      <c r="E4" s="52"/>
      <c r="F4" s="66"/>
      <c r="G4" s="52"/>
      <c r="H4" s="65"/>
      <c r="I4" s="60"/>
      <c r="J4" s="61"/>
      <c r="K4" s="61"/>
    </row>
    <row r="5" spans="1:12">
      <c r="A5" s="226"/>
      <c r="B5" s="50"/>
      <c r="C5" s="51"/>
      <c r="D5" s="51"/>
      <c r="E5" s="52"/>
      <c r="F5" s="66"/>
      <c r="G5" s="52"/>
      <c r="H5" s="65"/>
      <c r="I5" s="60"/>
      <c r="J5" s="61"/>
      <c r="K5" s="61"/>
    </row>
    <row r="6" spans="1:12">
      <c r="A6" s="226"/>
      <c r="B6" s="50"/>
      <c r="C6" s="51"/>
      <c r="D6" s="51"/>
      <c r="E6" s="52"/>
      <c r="F6" s="66"/>
      <c r="G6" s="52"/>
      <c r="H6" s="65"/>
      <c r="I6" s="60"/>
      <c r="J6" s="61"/>
      <c r="K6" s="61"/>
    </row>
    <row r="7" spans="1:12">
      <c r="A7" s="226"/>
      <c r="B7" s="50"/>
      <c r="C7" s="51"/>
      <c r="D7" s="51"/>
      <c r="E7" s="52"/>
      <c r="F7" s="66"/>
      <c r="G7" s="52"/>
      <c r="H7" s="65"/>
      <c r="I7" s="60"/>
      <c r="J7" s="61"/>
      <c r="K7" s="61"/>
    </row>
    <row r="8" spans="1:12">
      <c r="A8" s="226"/>
      <c r="B8" s="50"/>
      <c r="C8" s="51"/>
      <c r="D8" s="227"/>
      <c r="E8" s="52"/>
      <c r="F8" s="66"/>
      <c r="G8" s="52"/>
      <c r="H8" s="65"/>
      <c r="I8" s="60"/>
      <c r="J8" s="61"/>
      <c r="K8" s="61"/>
    </row>
    <row r="9" spans="1:12">
      <c r="A9" s="226"/>
      <c r="B9" s="50"/>
      <c r="C9" s="51"/>
      <c r="D9" s="51"/>
      <c r="E9" s="52"/>
      <c r="F9" s="66"/>
      <c r="G9" s="52"/>
      <c r="H9" s="176"/>
      <c r="I9" s="60"/>
      <c r="J9" s="61"/>
      <c r="K9" s="61"/>
    </row>
    <row r="10" spans="1:12">
      <c r="A10" s="226"/>
      <c r="B10" s="50"/>
      <c r="C10" s="135"/>
      <c r="D10" s="227"/>
      <c r="E10" s="52"/>
      <c r="F10" s="66"/>
      <c r="G10" s="52"/>
      <c r="H10" s="65"/>
      <c r="I10" s="60"/>
      <c r="J10" s="61"/>
      <c r="K10" s="61"/>
    </row>
    <row r="11" spans="1:12">
      <c r="A11" s="226"/>
      <c r="B11" s="50"/>
      <c r="C11" s="135"/>
      <c r="D11" s="51"/>
      <c r="E11" s="52"/>
      <c r="F11" s="66"/>
      <c r="G11" s="52"/>
      <c r="H11" s="65"/>
      <c r="I11" s="60"/>
      <c r="J11" s="61"/>
      <c r="K11" s="61"/>
    </row>
    <row r="12" spans="1:12">
      <c r="A12" s="226"/>
      <c r="B12" s="50"/>
      <c r="C12" s="135"/>
      <c r="D12" s="228"/>
      <c r="E12" s="52"/>
      <c r="F12" s="66"/>
      <c r="G12" s="52"/>
      <c r="H12" s="65"/>
      <c r="I12" s="60"/>
      <c r="J12" s="61"/>
      <c r="K12" s="61"/>
    </row>
    <row r="13" spans="1:12">
      <c r="A13" s="226"/>
      <c r="B13" s="50"/>
      <c r="C13" s="51"/>
      <c r="D13" s="227"/>
      <c r="E13" s="52"/>
      <c r="F13" s="66"/>
      <c r="G13" s="52"/>
      <c r="H13" s="65"/>
      <c r="I13" s="60"/>
      <c r="J13" s="61"/>
      <c r="K13" s="61"/>
    </row>
    <row r="14" spans="1:12">
      <c r="A14" s="226"/>
      <c r="B14" s="50"/>
      <c r="C14" s="51"/>
      <c r="D14" s="51"/>
      <c r="E14" s="52"/>
      <c r="F14" s="66"/>
      <c r="G14" s="52"/>
      <c r="H14" s="65"/>
      <c r="I14" s="60"/>
      <c r="J14" s="61"/>
      <c r="K14" s="61"/>
    </row>
    <row r="15" spans="1:12">
      <c r="A15" s="226"/>
      <c r="B15" s="50"/>
      <c r="C15" s="229"/>
      <c r="D15" s="230"/>
      <c r="E15" s="52"/>
      <c r="F15" s="66"/>
      <c r="G15" s="52"/>
      <c r="H15" s="65"/>
      <c r="I15" s="60"/>
      <c r="J15" s="61"/>
      <c r="K15" s="61"/>
      <c r="L15" s="147"/>
    </row>
    <row r="16" spans="1:12" ht="14.45">
      <c r="A16" s="226"/>
      <c r="B16" s="231"/>
      <c r="C16" s="232"/>
      <c r="D16" s="233"/>
      <c r="E16" s="119"/>
      <c r="F16" s="66"/>
      <c r="G16" s="52"/>
      <c r="H16" s="65"/>
      <c r="I16" s="60"/>
      <c r="J16" s="61"/>
      <c r="K16" s="61"/>
    </row>
    <row r="17" spans="1:12">
      <c r="A17" s="226"/>
      <c r="B17" s="50"/>
      <c r="C17" s="234"/>
      <c r="D17" s="235"/>
      <c r="E17" s="52"/>
      <c r="F17" s="66"/>
      <c r="G17" s="52"/>
      <c r="H17" s="65"/>
      <c r="I17" s="60"/>
      <c r="J17" s="61"/>
      <c r="K17" s="61"/>
    </row>
    <row r="18" spans="1:12">
      <c r="A18" s="226"/>
      <c r="B18" s="50"/>
      <c r="C18" s="51"/>
      <c r="D18" s="51"/>
      <c r="E18" s="52"/>
      <c r="F18" s="66"/>
      <c r="G18" s="52"/>
      <c r="H18" s="65"/>
      <c r="I18" s="60"/>
      <c r="J18" s="61"/>
      <c r="K18" s="61"/>
    </row>
    <row r="19" spans="1:12">
      <c r="A19" s="226"/>
      <c r="B19" s="50"/>
      <c r="C19" s="51"/>
      <c r="D19" s="51"/>
      <c r="E19" s="52"/>
      <c r="F19" s="66"/>
      <c r="G19" s="52"/>
      <c r="H19" s="65"/>
      <c r="I19" s="60"/>
      <c r="J19" s="61"/>
      <c r="K19" s="61"/>
    </row>
    <row r="20" spans="1:12">
      <c r="A20" s="226"/>
      <c r="B20" s="50"/>
      <c r="C20" s="51"/>
      <c r="D20" s="47"/>
      <c r="E20" s="52"/>
      <c r="F20" s="66"/>
      <c r="G20" s="52"/>
      <c r="H20" s="236"/>
      <c r="I20" s="60"/>
      <c r="J20" s="61"/>
      <c r="K20" s="61"/>
    </row>
    <row r="21" spans="1:12">
      <c r="A21" s="47"/>
      <c r="B21" s="50"/>
      <c r="C21" s="51"/>
      <c r="D21" s="50"/>
      <c r="E21" s="52"/>
      <c r="F21" s="66"/>
      <c r="G21" s="76"/>
      <c r="H21" s="237"/>
      <c r="I21" s="63"/>
      <c r="J21" s="61"/>
      <c r="K21" s="61"/>
      <c r="L21" s="147"/>
    </row>
    <row r="22" spans="1:12">
      <c r="A22" s="47"/>
      <c r="B22" s="50"/>
      <c r="C22" s="53"/>
      <c r="D22" s="227"/>
      <c r="E22" s="52"/>
      <c r="F22" s="66"/>
      <c r="G22" s="179"/>
      <c r="H22" s="237"/>
      <c r="I22" s="159"/>
      <c r="J22" s="61"/>
      <c r="K22" s="61"/>
      <c r="L22" s="147"/>
    </row>
    <row r="23" spans="1:12">
      <c r="A23" s="47"/>
      <c r="B23" s="50"/>
      <c r="C23" s="51"/>
      <c r="D23" s="47"/>
      <c r="E23" s="52"/>
      <c r="F23" s="66"/>
      <c r="G23" s="76"/>
      <c r="H23" s="237"/>
      <c r="I23" s="63"/>
      <c r="J23" s="61"/>
      <c r="K23" s="61"/>
      <c r="L23" s="147"/>
    </row>
    <row r="24" spans="1:12">
      <c r="A24" s="47"/>
      <c r="B24" s="50"/>
      <c r="C24" s="131"/>
      <c r="D24" s="238"/>
      <c r="E24" s="52"/>
      <c r="F24" s="66"/>
      <c r="G24" s="179"/>
      <c r="H24" s="237"/>
      <c r="I24" s="159"/>
      <c r="J24" s="61"/>
      <c r="K24" s="61"/>
      <c r="L24" s="147"/>
    </row>
    <row r="25" spans="1:12">
      <c r="A25" s="47"/>
      <c r="B25" s="105"/>
      <c r="C25" s="238"/>
      <c r="D25" s="238"/>
      <c r="E25" s="52"/>
      <c r="F25" s="66"/>
      <c r="G25" s="179"/>
      <c r="H25" s="239"/>
      <c r="I25" s="159"/>
      <c r="J25" s="61"/>
      <c r="K25" s="61"/>
    </row>
    <row r="26" spans="1:12">
      <c r="A26" s="47"/>
      <c r="B26" s="50"/>
      <c r="C26" s="240"/>
      <c r="D26" s="227"/>
      <c r="E26" s="52"/>
      <c r="F26" s="66"/>
      <c r="G26" s="52"/>
      <c r="H26" s="241"/>
      <c r="I26" s="60"/>
      <c r="J26" s="61"/>
      <c r="K26" s="61"/>
      <c r="L26" s="147"/>
    </row>
    <row r="27" spans="1:12">
      <c r="A27" s="47"/>
      <c r="B27" s="50"/>
      <c r="C27" s="51"/>
      <c r="D27" s="227"/>
      <c r="E27" s="52"/>
      <c r="F27" s="66"/>
      <c r="G27" s="52"/>
      <c r="H27" s="65"/>
      <c r="I27" s="60"/>
      <c r="J27" s="61"/>
      <c r="K27" s="61"/>
      <c r="L27" s="147"/>
    </row>
    <row r="28" spans="1:12" ht="14.45">
      <c r="A28" s="47"/>
      <c r="B28" s="242"/>
      <c r="C28" s="238"/>
      <c r="D28" s="238"/>
      <c r="E28" s="52"/>
      <c r="F28" s="66"/>
      <c r="G28" s="52"/>
      <c r="H28" s="64"/>
      <c r="I28" s="60"/>
      <c r="J28" s="61"/>
      <c r="K28" s="61"/>
    </row>
    <row r="29" spans="1:12">
      <c r="A29" s="47"/>
      <c r="B29" s="131"/>
      <c r="C29" s="51"/>
      <c r="D29" s="135"/>
      <c r="E29" s="52"/>
      <c r="F29" s="66"/>
      <c r="G29" s="52"/>
      <c r="H29" s="64"/>
      <c r="I29" s="60"/>
      <c r="J29" s="61"/>
      <c r="K29" s="61"/>
    </row>
    <row r="30" spans="1:12" ht="14.45">
      <c r="A30" s="47"/>
      <c r="B30" s="242"/>
      <c r="C30" s="51"/>
      <c r="D30" s="51"/>
      <c r="E30" s="52"/>
      <c r="F30" s="66"/>
      <c r="G30" s="52"/>
      <c r="H30" s="64"/>
      <c r="I30" s="158"/>
      <c r="J30" s="61"/>
      <c r="K30" s="61"/>
    </row>
    <row r="31" spans="1:12">
      <c r="A31" s="47"/>
      <c r="B31" s="50"/>
      <c r="C31" s="238"/>
      <c r="D31" s="51"/>
      <c r="E31" s="52"/>
      <c r="F31" s="66"/>
      <c r="G31" s="52"/>
      <c r="H31" s="147"/>
      <c r="I31" s="60"/>
      <c r="J31" s="61"/>
      <c r="K31" s="61"/>
    </row>
    <row r="32" spans="1:12">
      <c r="A32" s="47"/>
      <c r="B32" s="186"/>
      <c r="C32" s="51"/>
      <c r="D32" s="227"/>
      <c r="E32" s="52"/>
      <c r="F32" s="66"/>
      <c r="G32" s="52"/>
      <c r="H32" s="64"/>
      <c r="I32" s="60"/>
      <c r="J32" s="61"/>
      <c r="K32" s="61"/>
    </row>
    <row r="33" spans="1:12">
      <c r="A33" s="47"/>
      <c r="B33" s="50"/>
      <c r="C33" s="51"/>
      <c r="D33" s="51"/>
      <c r="E33" s="52"/>
      <c r="F33" s="66"/>
      <c r="G33" s="52"/>
      <c r="H33" s="64"/>
      <c r="I33" s="60"/>
      <c r="J33" s="61"/>
      <c r="K33" s="61"/>
    </row>
    <row r="34" spans="1:12">
      <c r="A34" s="47"/>
      <c r="B34" s="50"/>
      <c r="C34" s="131"/>
      <c r="D34" s="238"/>
      <c r="E34" s="52"/>
      <c r="F34" s="66"/>
      <c r="G34" s="52"/>
      <c r="H34" s="64"/>
      <c r="I34" s="60"/>
      <c r="J34" s="61"/>
      <c r="K34" s="61"/>
    </row>
    <row r="35" spans="1:12" ht="14.45">
      <c r="A35" s="187"/>
      <c r="B35" s="242"/>
      <c r="C35" s="243"/>
      <c r="D35" s="187"/>
      <c r="E35" s="244"/>
      <c r="F35" s="189"/>
      <c r="G35" s="245"/>
      <c r="H35" s="246"/>
      <c r="I35" s="60"/>
      <c r="J35" s="61"/>
      <c r="K35" s="61"/>
      <c r="L35" s="147"/>
    </row>
    <row r="36" spans="1:12" ht="14.45">
      <c r="A36" s="200"/>
      <c r="B36" s="247"/>
      <c r="C36" s="248"/>
      <c r="D36" s="200"/>
      <c r="E36" s="249"/>
      <c r="F36" s="250"/>
      <c r="G36" s="205"/>
      <c r="H36" s="247"/>
      <c r="I36" s="159"/>
      <c r="J36" s="61"/>
      <c r="K36" s="61"/>
      <c r="L36" s="147"/>
    </row>
    <row r="37" spans="1:12" ht="14.45">
      <c r="A37" s="200"/>
      <c r="B37" s="247"/>
      <c r="C37" s="248"/>
      <c r="D37" s="200"/>
      <c r="E37" s="202"/>
      <c r="F37" s="203"/>
      <c r="G37" s="205"/>
      <c r="H37" s="247"/>
      <c r="I37" s="159"/>
      <c r="J37" s="61"/>
      <c r="K37" s="61"/>
      <c r="L37" s="147"/>
    </row>
    <row r="38" spans="1:12" ht="14.45">
      <c r="A38" s="200"/>
      <c r="B38" s="247"/>
      <c r="C38" s="251"/>
      <c r="D38" s="252"/>
      <c r="E38" s="202"/>
      <c r="F38" s="203"/>
      <c r="G38" s="205"/>
      <c r="H38" s="247"/>
      <c r="I38" s="60"/>
      <c r="J38" s="61"/>
      <c r="K38" s="61"/>
      <c r="L38" s="147"/>
    </row>
    <row r="39" spans="1:12" customFormat="1" ht="14.45">
      <c r="A39" s="204"/>
      <c r="B39" s="247"/>
      <c r="C39" s="240"/>
      <c r="D39" s="253"/>
      <c r="E39" s="205"/>
      <c r="F39" s="206"/>
      <c r="G39" s="254"/>
      <c r="H39" s="255"/>
      <c r="I39" s="111"/>
      <c r="J39" s="62"/>
      <c r="K39" s="62"/>
      <c r="L39" s="147"/>
    </row>
    <row r="40" spans="1:12">
      <c r="A40" s="256"/>
      <c r="B40" s="257"/>
      <c r="C40" s="258"/>
      <c r="D40" s="259"/>
      <c r="E40" s="260"/>
      <c r="F40" s="261"/>
      <c r="G40" s="262"/>
      <c r="H40" s="263"/>
      <c r="I40" s="111"/>
      <c r="J40" s="61"/>
      <c r="K40" s="61"/>
      <c r="L40" s="147"/>
    </row>
    <row r="41" spans="1:12">
      <c r="A41" s="193"/>
      <c r="B41" s="201"/>
      <c r="C41" s="240"/>
      <c r="D41" s="253"/>
      <c r="E41" s="202"/>
      <c r="F41" s="203"/>
      <c r="G41" s="244"/>
      <c r="H41" s="185"/>
      <c r="I41" s="159"/>
      <c r="J41" s="61"/>
      <c r="K41" s="61"/>
    </row>
    <row r="42" spans="1:12">
      <c r="A42" s="193"/>
      <c r="B42" s="201"/>
      <c r="C42" s="240"/>
      <c r="D42" s="253"/>
      <c r="E42" s="202"/>
      <c r="F42" s="203"/>
      <c r="G42" s="244"/>
      <c r="H42" s="185"/>
      <c r="I42" s="159"/>
      <c r="J42" s="61"/>
      <c r="K42" s="61"/>
    </row>
    <row r="43" spans="1:12">
      <c r="A43" s="264"/>
      <c r="B43" s="50"/>
      <c r="C43" s="240"/>
      <c r="D43" s="227"/>
      <c r="E43" s="197"/>
      <c r="F43" s="198"/>
      <c r="G43" s="265"/>
      <c r="H43" s="156"/>
      <c r="I43" s="266"/>
      <c r="J43" s="267"/>
      <c r="K43" s="268"/>
    </row>
    <row r="44" spans="1:12">
      <c r="A44" s="184"/>
      <c r="B44" s="201"/>
      <c r="C44" s="251"/>
      <c r="D44" s="269"/>
      <c r="E44" s="202"/>
      <c r="F44" s="203"/>
      <c r="G44" s="249"/>
      <c r="H44" s="185"/>
      <c r="I44" s="184"/>
      <c r="J44" s="184"/>
      <c r="K44" s="184"/>
    </row>
    <row r="45" spans="1:12">
      <c r="A45" s="184"/>
      <c r="B45" s="201"/>
      <c r="C45" s="251"/>
      <c r="D45" s="269"/>
      <c r="E45" s="202"/>
      <c r="F45" s="203"/>
      <c r="G45" s="249"/>
      <c r="H45" s="185"/>
      <c r="I45" s="184"/>
      <c r="J45" s="184"/>
      <c r="K45" s="184"/>
    </row>
    <row r="46" spans="1:12">
      <c r="A46" s="184"/>
      <c r="B46" s="50"/>
      <c r="C46" s="51"/>
      <c r="D46" s="51"/>
      <c r="E46" s="202"/>
      <c r="F46" s="203"/>
      <c r="G46" s="249"/>
      <c r="H46" s="150"/>
      <c r="I46" s="184"/>
      <c r="J46" s="184"/>
      <c r="K46" s="184"/>
    </row>
    <row r="47" spans="1:12">
      <c r="A47" s="184"/>
      <c r="B47" s="50"/>
      <c r="C47" s="240"/>
      <c r="D47" s="253"/>
      <c r="E47" s="202"/>
      <c r="F47" s="203"/>
      <c r="G47" s="249"/>
      <c r="H47" s="101"/>
      <c r="I47" s="184"/>
      <c r="J47" s="184"/>
      <c r="K47" s="184"/>
    </row>
    <row r="48" spans="1:12">
      <c r="A48" s="184"/>
      <c r="B48" s="50"/>
      <c r="C48" s="251"/>
      <c r="D48" s="270"/>
      <c r="E48" s="202"/>
      <c r="F48" s="203"/>
      <c r="G48" s="249"/>
      <c r="H48" s="147"/>
      <c r="I48" s="184"/>
      <c r="J48" s="184"/>
      <c r="K48" s="184"/>
    </row>
    <row r="49" spans="1:12">
      <c r="A49" s="192"/>
      <c r="B49" s="271"/>
      <c r="C49" s="229"/>
      <c r="D49" s="229"/>
      <c r="E49" s="197"/>
      <c r="F49" s="198"/>
      <c r="G49" s="272"/>
      <c r="H49" s="191"/>
      <c r="I49" s="184"/>
      <c r="J49" s="184"/>
      <c r="K49" s="184"/>
    </row>
    <row r="50" spans="1:12">
      <c r="A50" s="184"/>
      <c r="B50" s="273"/>
      <c r="C50" s="274"/>
      <c r="D50" s="274"/>
      <c r="E50" s="202"/>
      <c r="F50" s="203"/>
      <c r="G50" s="249"/>
      <c r="H50" s="255"/>
      <c r="I50" s="275"/>
      <c r="J50" s="192"/>
      <c r="K50" s="192"/>
    </row>
    <row r="51" spans="1:12">
      <c r="A51" s="276"/>
      <c r="B51" s="277"/>
      <c r="C51" s="278"/>
      <c r="D51" s="279"/>
      <c r="E51" s="260"/>
      <c r="F51" s="261"/>
      <c r="G51" s="280"/>
      <c r="H51" s="263"/>
      <c r="I51" s="184"/>
      <c r="J51" s="184"/>
      <c r="K51" s="184"/>
    </row>
    <row r="52" spans="1:12">
      <c r="A52" s="184"/>
      <c r="B52" s="50"/>
      <c r="C52" s="251"/>
      <c r="D52" s="269"/>
      <c r="E52" s="202"/>
      <c r="F52" s="203"/>
      <c r="G52" s="202"/>
      <c r="H52" s="185"/>
      <c r="I52" s="184"/>
      <c r="J52" s="184"/>
      <c r="K52" s="184"/>
    </row>
    <row r="53" spans="1:12">
      <c r="A53" s="184"/>
      <c r="B53" s="50"/>
      <c r="C53" s="251"/>
      <c r="D53" s="253"/>
      <c r="E53" s="202"/>
      <c r="F53" s="203"/>
      <c r="G53" s="202"/>
      <c r="H53" s="185"/>
      <c r="I53" s="184"/>
      <c r="J53" s="184"/>
      <c r="K53" s="184"/>
    </row>
    <row r="54" spans="1:12">
      <c r="A54" s="184"/>
      <c r="B54" s="131"/>
      <c r="C54" s="251"/>
      <c r="D54" s="253"/>
      <c r="E54" s="202"/>
      <c r="F54" s="203"/>
      <c r="G54" s="202"/>
      <c r="H54" s="102"/>
      <c r="I54" s="184"/>
      <c r="J54" s="184"/>
      <c r="K54" s="184"/>
    </row>
    <row r="55" spans="1:12">
      <c r="A55" s="184"/>
      <c r="B55" s="50"/>
      <c r="C55" s="251"/>
      <c r="D55" s="253"/>
      <c r="E55" s="202"/>
      <c r="F55" s="203"/>
      <c r="G55" s="202"/>
      <c r="H55" s="191"/>
      <c r="I55" s="184"/>
      <c r="J55" s="184"/>
      <c r="K55" s="184"/>
    </row>
    <row r="56" spans="1:12">
      <c r="A56" s="192"/>
      <c r="B56" s="281"/>
      <c r="C56" s="282"/>
      <c r="D56" s="283"/>
      <c r="E56" s="197"/>
      <c r="F56" s="198"/>
      <c r="G56" s="284"/>
      <c r="H56" s="285"/>
      <c r="I56" s="286"/>
      <c r="J56" s="184"/>
      <c r="K56" s="184"/>
    </row>
    <row r="57" spans="1:12" ht="14.45">
      <c r="A57" s="184"/>
      <c r="B57" s="247"/>
      <c r="C57" s="287"/>
      <c r="D57" s="288"/>
      <c r="E57" s="202"/>
      <c r="F57" s="203"/>
      <c r="G57" s="205"/>
      <c r="H57" s="247"/>
      <c r="I57" s="60"/>
      <c r="J57" s="184"/>
      <c r="K57" s="184"/>
      <c r="L57" s="147"/>
    </row>
    <row r="58" spans="1:12" ht="14.45">
      <c r="A58" s="276"/>
      <c r="B58" s="289"/>
      <c r="C58" s="290"/>
      <c r="D58" s="291"/>
      <c r="E58" s="260"/>
      <c r="F58" s="261"/>
      <c r="G58" s="292"/>
      <c r="H58" s="289"/>
      <c r="I58" s="159"/>
      <c r="J58" s="184"/>
      <c r="K58" s="184"/>
      <c r="L58" s="147"/>
    </row>
    <row r="59" spans="1:12" ht="14.45">
      <c r="A59" s="184"/>
      <c r="B59" s="214"/>
      <c r="C59" s="293"/>
      <c r="D59" s="294"/>
      <c r="E59" s="254"/>
      <c r="F59" s="254"/>
      <c r="G59" s="220"/>
      <c r="H59" s="222"/>
      <c r="I59" s="222"/>
      <c r="J59" s="184"/>
      <c r="K59" s="184"/>
    </row>
    <row r="60" spans="1:12" ht="14.45">
      <c r="A60" s="295"/>
      <c r="B60" s="213"/>
      <c r="C60" s="296"/>
      <c r="D60" s="297"/>
      <c r="E60" s="298"/>
      <c r="F60" s="299"/>
      <c r="G60" s="220"/>
      <c r="H60" s="222"/>
      <c r="I60" s="222"/>
      <c r="J60" s="184"/>
      <c r="K60" s="184"/>
    </row>
    <row r="61" spans="1:12" ht="14.45">
      <c r="A61" s="184"/>
      <c r="B61" s="300"/>
      <c r="C61" s="301"/>
      <c r="D61" s="302"/>
      <c r="E61" s="254"/>
      <c r="F61" s="254"/>
      <c r="G61" s="220"/>
      <c r="H61" s="303"/>
      <c r="I61" s="222"/>
      <c r="J61" s="184"/>
      <c r="K61" s="184"/>
    </row>
    <row r="62" spans="1:12" ht="14.45">
      <c r="A62" s="184"/>
      <c r="B62" s="304"/>
      <c r="C62" s="305"/>
      <c r="D62" s="297"/>
      <c r="E62" s="254"/>
      <c r="F62" s="254"/>
      <c r="G62" s="220"/>
      <c r="H62" s="222"/>
      <c r="I62" s="222"/>
      <c r="J62" s="184"/>
      <c r="K62" s="184"/>
    </row>
    <row r="63" spans="1:12" ht="14.45">
      <c r="A63" s="184"/>
      <c r="B63" s="213"/>
      <c r="C63" s="305"/>
      <c r="D63" s="297"/>
      <c r="E63" s="254"/>
      <c r="F63" s="299"/>
      <c r="G63" s="220"/>
      <c r="H63" s="222"/>
      <c r="I63" s="222"/>
      <c r="J63" s="184"/>
      <c r="K63" s="184"/>
    </row>
    <row r="64" spans="1:12" ht="14.45">
      <c r="A64" s="184"/>
      <c r="B64" s="213"/>
      <c r="C64" s="305"/>
      <c r="D64" s="297"/>
      <c r="E64" s="254"/>
      <c r="F64" s="254"/>
      <c r="G64" s="220"/>
      <c r="H64" s="306"/>
      <c r="I64" s="307"/>
      <c r="J64" s="184"/>
      <c r="K64" s="184"/>
    </row>
    <row r="65" spans="1:11" ht="14.45">
      <c r="A65" s="184"/>
      <c r="B65" s="213"/>
      <c r="C65" s="305"/>
      <c r="D65" s="297"/>
      <c r="E65" s="254"/>
      <c r="F65" s="254"/>
      <c r="G65" s="220"/>
      <c r="H65" s="308"/>
      <c r="I65" s="307"/>
      <c r="J65" s="184"/>
      <c r="K65" s="184"/>
    </row>
    <row r="66" spans="1:11" ht="14.45">
      <c r="A66" s="184"/>
      <c r="B66" s="213"/>
      <c r="C66" s="305"/>
      <c r="D66" s="297"/>
      <c r="E66" s="254"/>
      <c r="F66" s="254"/>
      <c r="G66" s="220"/>
      <c r="H66" s="303"/>
      <c r="I66" s="307"/>
      <c r="J66" s="184"/>
      <c r="K66" s="184"/>
    </row>
    <row r="67" spans="1:11" ht="14.45">
      <c r="A67" s="184"/>
      <c r="B67" s="304"/>
      <c r="C67" s="305"/>
      <c r="D67" s="297"/>
      <c r="E67" s="254"/>
      <c r="F67" s="254"/>
      <c r="G67" s="220"/>
      <c r="H67" s="303"/>
      <c r="I67" s="307"/>
      <c r="J67" s="184"/>
      <c r="K67" s="184"/>
    </row>
    <row r="68" spans="1:11" ht="14.45">
      <c r="A68" s="184"/>
      <c r="B68" s="213"/>
      <c r="C68" s="305"/>
      <c r="D68" s="297"/>
      <c r="E68" s="309"/>
      <c r="F68" s="254"/>
      <c r="G68" s="220"/>
      <c r="H68" s="303"/>
      <c r="I68" s="307"/>
      <c r="J68" s="192"/>
      <c r="K68" s="192"/>
    </row>
    <row r="69" spans="1:11" ht="14.45">
      <c r="A69" s="192"/>
      <c r="B69" s="195"/>
      <c r="C69" s="310"/>
      <c r="D69" s="311"/>
      <c r="E69" s="197"/>
      <c r="F69" s="312"/>
      <c r="G69" s="313"/>
      <c r="H69" s="314"/>
      <c r="I69" s="192"/>
      <c r="J69" s="192"/>
      <c r="K69" s="192"/>
    </row>
    <row r="70" spans="1:11" ht="13.9">
      <c r="A70" s="184"/>
      <c r="B70" s="201"/>
      <c r="C70" s="315"/>
      <c r="D70" s="315"/>
      <c r="E70" s="202"/>
      <c r="F70" s="203"/>
      <c r="G70" s="220"/>
      <c r="H70" s="316"/>
      <c r="I70" s="184"/>
      <c r="J70" s="184"/>
      <c r="K70" s="184"/>
    </row>
    <row r="71" spans="1:11" ht="14.45">
      <c r="A71" s="195"/>
      <c r="B71" s="246"/>
      <c r="C71" s="317"/>
      <c r="D71" s="230"/>
      <c r="E71" s="245"/>
      <c r="F71" s="318"/>
      <c r="G71" s="309"/>
      <c r="H71" s="319"/>
      <c r="I71" s="184"/>
      <c r="J71" s="184"/>
      <c r="K71" s="184"/>
    </row>
    <row r="72" spans="1:11" ht="14.45">
      <c r="A72" s="320"/>
      <c r="B72" s="246"/>
      <c r="C72" s="321"/>
      <c r="D72" s="322"/>
      <c r="E72" s="197"/>
      <c r="F72" s="198"/>
      <c r="G72" s="197"/>
      <c r="H72" s="319"/>
      <c r="I72" s="184"/>
      <c r="J72" s="184"/>
      <c r="K72" s="184"/>
    </row>
    <row r="73" spans="1:11" ht="14.45">
      <c r="A73" s="186"/>
      <c r="B73" s="247"/>
      <c r="C73" s="251"/>
      <c r="D73" s="323"/>
      <c r="E73" s="202"/>
      <c r="F73" s="203"/>
      <c r="G73" s="220"/>
      <c r="H73" s="316"/>
      <c r="I73" s="184"/>
      <c r="J73" s="184"/>
      <c r="K73" s="184"/>
    </row>
    <row r="74" spans="1:11" ht="13.9">
      <c r="A74" s="320"/>
      <c r="B74" s="195"/>
      <c r="C74" s="282"/>
      <c r="D74" s="283"/>
      <c r="E74" s="197"/>
      <c r="F74" s="198"/>
      <c r="G74" s="220"/>
      <c r="H74" s="319"/>
      <c r="I74" s="184"/>
      <c r="J74" s="184"/>
      <c r="K74" s="184"/>
    </row>
    <row r="75" spans="1:11">
      <c r="A75" s="186"/>
      <c r="B75" s="201"/>
      <c r="C75" s="251"/>
      <c r="D75" s="253"/>
      <c r="E75" s="202"/>
      <c r="F75" s="203"/>
      <c r="G75" s="202"/>
      <c r="H75" s="316"/>
      <c r="I75" s="184"/>
      <c r="J75" s="184"/>
      <c r="K75" s="184"/>
    </row>
    <row r="76" spans="1:11">
      <c r="A76" s="320"/>
      <c r="B76" s="195"/>
      <c r="C76" s="282"/>
      <c r="D76" s="283"/>
      <c r="E76" s="197"/>
      <c r="F76" s="198"/>
      <c r="G76" s="197"/>
      <c r="H76" s="319"/>
      <c r="I76" s="184"/>
      <c r="J76" s="184"/>
      <c r="K76" s="184"/>
    </row>
    <row r="77" spans="1:11">
      <c r="A77" s="186"/>
      <c r="B77" s="201"/>
      <c r="C77" s="251"/>
      <c r="D77" s="253"/>
      <c r="E77" s="202"/>
      <c r="F77" s="203"/>
      <c r="G77" s="202"/>
      <c r="H77" s="316"/>
      <c r="I77" s="184"/>
      <c r="J77" s="184"/>
      <c r="K77" s="184"/>
    </row>
    <row r="78" spans="1:11">
      <c r="A78" s="186"/>
      <c r="B78" s="201"/>
      <c r="C78" s="251"/>
      <c r="D78" s="269"/>
      <c r="E78" s="202"/>
      <c r="F78" s="203"/>
      <c r="G78" s="197"/>
      <c r="H78" s="319"/>
      <c r="I78" s="184"/>
      <c r="J78" s="184"/>
      <c r="K78" s="184"/>
    </row>
    <row r="79" spans="1:11">
      <c r="A79" s="186"/>
      <c r="B79" s="201"/>
      <c r="C79" s="251"/>
      <c r="D79" s="253"/>
      <c r="E79" s="202"/>
      <c r="F79" s="324"/>
      <c r="G79" s="202"/>
      <c r="H79" s="185"/>
      <c r="I79" s="275"/>
      <c r="J79" s="192"/>
      <c r="K79" s="192"/>
    </row>
    <row r="80" spans="1:11">
      <c r="A80" s="184"/>
      <c r="B80" s="201"/>
      <c r="C80" s="251"/>
      <c r="D80" s="253"/>
      <c r="E80" s="202"/>
      <c r="F80" s="324"/>
      <c r="G80" s="254"/>
      <c r="H80" s="316"/>
      <c r="I80" s="295"/>
      <c r="J80" s="184"/>
      <c r="K80" s="184"/>
    </row>
  </sheetData>
  <autoFilter ref="A1:O80" xr:uid="{CA0B6D8C-3C89-4F27-A2C4-A70DDCEF53BD}"/>
  <phoneticPr fontId="8" type="noConversion"/>
  <conditionalFormatting sqref="A2:A21 C21:F21">
    <cfRule type="expression" dxfId="127" priority="141" stopIfTrue="1">
      <formula>($G2="Fail")</formula>
    </cfRule>
    <cfRule type="expression" dxfId="126" priority="142" stopIfTrue="1">
      <formula>($G2="Pass")</formula>
    </cfRule>
  </conditionalFormatting>
  <conditionalFormatting sqref="B25">
    <cfRule type="expression" dxfId="125" priority="15" stopIfTrue="1">
      <formula>($G25="Fail")</formula>
    </cfRule>
    <cfRule type="expression" dxfId="124" priority="16" stopIfTrue="1">
      <formula>($G25="Pass")</formula>
    </cfRule>
  </conditionalFormatting>
  <conditionalFormatting sqref="B31">
    <cfRule type="expression" dxfId="123" priority="85" stopIfTrue="1">
      <formula>($G31="Fail")</formula>
    </cfRule>
    <cfRule type="expression" dxfId="122" priority="86" stopIfTrue="1">
      <formula>($G31="Pass")</formula>
    </cfRule>
  </conditionalFormatting>
  <conditionalFormatting sqref="B34">
    <cfRule type="expression" dxfId="121" priority="73" stopIfTrue="1">
      <formula>($G34="Fail")</formula>
    </cfRule>
    <cfRule type="expression" dxfId="120" priority="74" stopIfTrue="1">
      <formula>($G34="Pass")</formula>
    </cfRule>
  </conditionalFormatting>
  <conditionalFormatting sqref="B40">
    <cfRule type="expression" dxfId="119" priority="67" stopIfTrue="1">
      <formula>($G40="Fail")</formula>
    </cfRule>
    <cfRule type="expression" dxfId="118" priority="68" stopIfTrue="1">
      <formula>($G40="Pass")</formula>
    </cfRule>
  </conditionalFormatting>
  <conditionalFormatting sqref="B43">
    <cfRule type="expression" dxfId="117" priority="61" stopIfTrue="1">
      <formula>($G43="Fail")</formula>
    </cfRule>
    <cfRule type="expression" dxfId="116" priority="62" stopIfTrue="1">
      <formula>($G43="Pass")</formula>
    </cfRule>
  </conditionalFormatting>
  <conditionalFormatting sqref="B46:B53 B55:B56">
    <cfRule type="expression" dxfId="115" priority="39" stopIfTrue="1">
      <formula>($G46="Fail")</formula>
    </cfRule>
    <cfRule type="expression" dxfId="114" priority="40" stopIfTrue="1">
      <formula>($G46="Pass")</formula>
    </cfRule>
  </conditionalFormatting>
  <conditionalFormatting sqref="B33:D33">
    <cfRule type="expression" dxfId="113" priority="75" stopIfTrue="1">
      <formula>($G33="Fail")</formula>
    </cfRule>
    <cfRule type="expression" dxfId="112" priority="76" stopIfTrue="1">
      <formula>($G33="Pass")</formula>
    </cfRule>
  </conditionalFormatting>
  <conditionalFormatting sqref="B2:F15 B16 D16:F16 B17:F19">
    <cfRule type="expression" dxfId="111" priority="103" stopIfTrue="1">
      <formula>($G2="Fail")</formula>
    </cfRule>
    <cfRule type="expression" dxfId="110" priority="104" stopIfTrue="1">
      <formula>($G2="Pass")</formula>
    </cfRule>
  </conditionalFormatting>
  <conditionalFormatting sqref="C72">
    <cfRule type="expression" dxfId="109" priority="7" stopIfTrue="1">
      <formula>($G72="Fail")</formula>
    </cfRule>
    <cfRule type="expression" dxfId="108" priority="8" stopIfTrue="1">
      <formula>($G72="Pass")</formula>
    </cfRule>
  </conditionalFormatting>
  <conditionalFormatting sqref="C46:D46">
    <cfRule type="expression" dxfId="107" priority="55" stopIfTrue="1">
      <formula>($G46="Fail")</formula>
    </cfRule>
    <cfRule type="expression" dxfId="106" priority="56" stopIfTrue="1">
      <formula>($G46="Pass")</formula>
    </cfRule>
  </conditionalFormatting>
  <conditionalFormatting sqref="C50:D50">
    <cfRule type="expression" dxfId="105" priority="45" stopIfTrue="1">
      <formula>($G50="Fail")</formula>
    </cfRule>
    <cfRule type="expression" dxfId="104" priority="46" stopIfTrue="1">
      <formula>($G50="Pass")</formula>
    </cfRule>
  </conditionalFormatting>
  <conditionalFormatting sqref="C70:D70">
    <cfRule type="expression" dxfId="103" priority="9" stopIfTrue="1">
      <formula>($G70="Fail")</formula>
    </cfRule>
    <cfRule type="expression" dxfId="102" priority="10" stopIfTrue="1">
      <formula>($G70="Pass")</formula>
    </cfRule>
  </conditionalFormatting>
  <conditionalFormatting sqref="C29:E29">
    <cfRule type="expression" dxfId="101" priority="87" stopIfTrue="1">
      <formula>($G29="Fail")</formula>
    </cfRule>
    <cfRule type="expression" dxfId="100" priority="88" stopIfTrue="1">
      <formula>($G29="Pass")</formula>
    </cfRule>
  </conditionalFormatting>
  <conditionalFormatting sqref="D27">
    <cfRule type="expression" dxfId="99" priority="71" stopIfTrue="1">
      <formula>($G27="Fail")</formula>
    </cfRule>
    <cfRule type="expression" dxfId="98" priority="72" stopIfTrue="1">
      <formula>($G27="Pass")</formula>
    </cfRule>
  </conditionalFormatting>
  <conditionalFormatting sqref="D32">
    <cfRule type="expression" dxfId="97" priority="69" stopIfTrue="1">
      <formula>($G32="Fail")</formula>
    </cfRule>
    <cfRule type="expression" dxfId="96" priority="70" stopIfTrue="1">
      <formula>($G32="Pass")</formula>
    </cfRule>
  </conditionalFormatting>
  <conditionalFormatting sqref="E59 E63">
    <cfRule type="expression" dxfId="95" priority="38" stopIfTrue="1">
      <formula>($G59="Pass")</formula>
    </cfRule>
  </conditionalFormatting>
  <conditionalFormatting sqref="E59:E63">
    <cfRule type="expression" dxfId="94" priority="37" stopIfTrue="1">
      <formula>($G59="Fail")</formula>
    </cfRule>
  </conditionalFormatting>
  <conditionalFormatting sqref="E60:E63">
    <cfRule type="expression" dxfId="93" priority="36" stopIfTrue="1">
      <formula>($G60="Pass")</formula>
    </cfRule>
  </conditionalFormatting>
  <conditionalFormatting sqref="E64:F64 E68:F68">
    <cfRule type="expression" dxfId="92" priority="19" stopIfTrue="1">
      <formula>($G64="Pass")</formula>
    </cfRule>
  </conditionalFormatting>
  <conditionalFormatting sqref="E64:F68">
    <cfRule type="expression" dxfId="91" priority="18" stopIfTrue="1">
      <formula>($G64="Fail")</formula>
    </cfRule>
  </conditionalFormatting>
  <conditionalFormatting sqref="F61:F62">
    <cfRule type="expression" dxfId="90" priority="32" stopIfTrue="1">
      <formula>($G61="Fail")</formula>
    </cfRule>
    <cfRule type="expression" dxfId="89" priority="33" stopIfTrue="1">
      <formula>($G61="Pass")</formula>
    </cfRule>
  </conditionalFormatting>
  <conditionalFormatting sqref="F64:F67 E65:E68">
    <cfRule type="expression" dxfId="88" priority="17" stopIfTrue="1">
      <formula>($G64="Pass")</formula>
    </cfRule>
  </conditionalFormatting>
  <conditionalFormatting sqref="F69">
    <cfRule type="expression" dxfId="87" priority="13" stopIfTrue="1">
      <formula>($G69="Fail")</formula>
    </cfRule>
    <cfRule type="expression" dxfId="86" priority="14" stopIfTrue="1">
      <formula>($G69="Pass")</formula>
    </cfRule>
  </conditionalFormatting>
  <conditionalFormatting sqref="F59:G59">
    <cfRule type="expression" dxfId="85" priority="30" stopIfTrue="1">
      <formula>($G59="Fail")</formula>
    </cfRule>
    <cfRule type="expression" dxfId="84" priority="31" stopIfTrue="1">
      <formula>($G59="Pass")</formula>
    </cfRule>
  </conditionalFormatting>
  <conditionalFormatting sqref="G2:G21">
    <cfRule type="expression" dxfId="83" priority="101" stopIfTrue="1">
      <formula>($G2="Fail")</formula>
    </cfRule>
    <cfRule type="expression" dxfId="82" priority="102" stopIfTrue="1">
      <formula>($G2="Pass")</formula>
    </cfRule>
  </conditionalFormatting>
  <conditionalFormatting sqref="G23">
    <cfRule type="expression" dxfId="81" priority="5" stopIfTrue="1">
      <formula>($G23="Fail")</formula>
    </cfRule>
    <cfRule type="expression" dxfId="80" priority="6" stopIfTrue="1">
      <formula>($G23="Pass")</formula>
    </cfRule>
  </conditionalFormatting>
  <conditionalFormatting sqref="G27">
    <cfRule type="expression" dxfId="79" priority="3" stopIfTrue="1">
      <formula>($G27="Fail")</formula>
    </cfRule>
    <cfRule type="expression" dxfId="78" priority="4" stopIfTrue="1">
      <formula>($G27="Pass")</formula>
    </cfRule>
  </conditionalFormatting>
  <conditionalFormatting sqref="G60:G70">
    <cfRule type="expression" dxfId="77" priority="20" stopIfTrue="1">
      <formula>($G60="Fail")</formula>
    </cfRule>
    <cfRule type="expression" dxfId="76" priority="21" stopIfTrue="1">
      <formula>($G60="Pass")</formula>
    </cfRule>
  </conditionalFormatting>
  <conditionalFormatting sqref="G73:G74">
    <cfRule type="expression" dxfId="75" priority="1" stopIfTrue="1">
      <formula>($G73="Fail")</formula>
    </cfRule>
    <cfRule type="expression" dxfId="74" priority="2" stopIfTrue="1">
      <formula>($G73="Pass")</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2"/>
  <sheetViews>
    <sheetView zoomScale="70" zoomScaleNormal="70" workbookViewId="0">
      <selection activeCell="B12" sqref="B12"/>
    </sheetView>
  </sheetViews>
  <sheetFormatPr defaultColWidth="8.7109375" defaultRowHeight="13.15"/>
  <cols>
    <col min="1" max="1" width="11.140625" style="57" customWidth="1"/>
    <col min="2" max="2" width="34.28515625" style="71" customWidth="1"/>
    <col min="3" max="3" width="38.5703125" style="49" customWidth="1"/>
    <col min="4" max="4" width="33.42578125" style="48" customWidth="1"/>
    <col min="5" max="5" width="10.42578125" style="72" bestFit="1" customWidth="1"/>
    <col min="6" max="6" width="11.85546875" style="73" customWidth="1"/>
    <col min="7" max="7" width="16.5703125" style="72" customWidth="1"/>
    <col min="8" max="8" width="46.85546875" style="55" customWidth="1"/>
    <col min="9" max="9" width="27.7109375" style="57" customWidth="1"/>
    <col min="10" max="10" width="24.28515625" style="57" customWidth="1"/>
    <col min="11" max="11" width="14.28515625" style="57" customWidth="1"/>
    <col min="12" max="16384" width="8.7109375" style="57"/>
  </cols>
  <sheetData>
    <row r="1" spans="1:11" ht="26.45">
      <c r="A1" s="67" t="s">
        <v>52</v>
      </c>
      <c r="B1" s="68" t="s">
        <v>53</v>
      </c>
      <c r="C1" s="68" t="s">
        <v>54</v>
      </c>
      <c r="D1" s="68" t="s">
        <v>55</v>
      </c>
      <c r="E1" s="67" t="s">
        <v>56</v>
      </c>
      <c r="F1" s="69" t="s">
        <v>57</v>
      </c>
      <c r="G1" s="68" t="s">
        <v>58</v>
      </c>
      <c r="H1" s="70" t="s">
        <v>59</v>
      </c>
      <c r="I1" s="68" t="s">
        <v>60</v>
      </c>
      <c r="J1" s="68" t="s">
        <v>61</v>
      </c>
      <c r="K1" s="68" t="s">
        <v>62</v>
      </c>
    </row>
    <row r="2" spans="1:11">
      <c r="A2" s="93"/>
      <c r="B2" s="47"/>
      <c r="C2" s="118"/>
      <c r="D2" s="117"/>
      <c r="E2" s="66"/>
      <c r="F2" s="66"/>
      <c r="G2" s="52"/>
      <c r="H2" s="64"/>
      <c r="I2" s="60"/>
      <c r="J2" s="61"/>
      <c r="K2" s="61"/>
    </row>
    <row r="3" spans="1:11">
      <c r="A3" s="92"/>
      <c r="B3" s="47"/>
      <c r="C3" s="118"/>
      <c r="D3" s="117"/>
      <c r="E3" s="66"/>
      <c r="F3" s="66"/>
      <c r="G3" s="52"/>
      <c r="H3" s="147"/>
      <c r="I3" s="60"/>
      <c r="J3" s="61"/>
      <c r="K3" s="61"/>
    </row>
    <row r="4" spans="1:11">
      <c r="A4" s="93"/>
      <c r="B4" s="47"/>
      <c r="C4" s="118"/>
      <c r="D4" s="117"/>
      <c r="E4" s="66"/>
      <c r="F4" s="66"/>
      <c r="G4" s="52"/>
      <c r="H4" s="64"/>
      <c r="I4" s="60"/>
      <c r="J4" s="61"/>
      <c r="K4" s="61"/>
    </row>
    <row r="5" spans="1:11">
      <c r="A5" s="93"/>
      <c r="B5" s="47"/>
      <c r="C5" s="118"/>
      <c r="D5" s="117"/>
      <c r="E5" s="66"/>
      <c r="F5" s="66"/>
      <c r="G5" s="52"/>
      <c r="H5" s="64"/>
      <c r="I5" s="60"/>
      <c r="J5" s="61"/>
      <c r="K5" s="61"/>
    </row>
    <row r="6" spans="1:11">
      <c r="A6" s="95"/>
      <c r="B6" s="47"/>
      <c r="C6" s="123"/>
      <c r="D6" s="124"/>
      <c r="E6" s="66"/>
      <c r="F6" s="66"/>
      <c r="G6" s="52"/>
      <c r="H6" s="65"/>
      <c r="I6" s="60"/>
      <c r="J6" s="61"/>
      <c r="K6" s="61"/>
    </row>
    <row r="7" spans="1:11">
      <c r="A7" s="92"/>
      <c r="B7" s="47"/>
      <c r="C7" s="121"/>
      <c r="D7" s="121"/>
      <c r="E7" s="66"/>
      <c r="F7" s="66"/>
      <c r="G7" s="52"/>
      <c r="H7" s="65"/>
      <c r="I7" s="60"/>
      <c r="J7" s="61"/>
      <c r="K7" s="61"/>
    </row>
    <row r="8" spans="1:11">
      <c r="A8" s="92"/>
      <c r="B8" s="47"/>
      <c r="C8" s="121"/>
      <c r="D8" s="121"/>
      <c r="E8" s="66"/>
      <c r="F8" s="66"/>
      <c r="G8" s="52"/>
      <c r="H8" s="65"/>
      <c r="I8" s="60"/>
      <c r="J8" s="61"/>
      <c r="K8" s="61"/>
    </row>
    <row r="9" spans="1:11">
      <c r="A9" s="92"/>
      <c r="B9" s="47"/>
      <c r="C9" s="121"/>
      <c r="D9" s="121"/>
      <c r="E9" s="66"/>
      <c r="F9" s="66"/>
      <c r="G9" s="52"/>
      <c r="H9" s="65"/>
      <c r="I9" s="60"/>
      <c r="J9" s="61"/>
      <c r="K9" s="61"/>
    </row>
    <row r="10" spans="1:11">
      <c r="A10" s="92"/>
      <c r="B10" s="47"/>
      <c r="C10" s="121"/>
      <c r="D10" s="121"/>
      <c r="E10" s="66"/>
      <c r="F10" s="66"/>
      <c r="G10" s="52"/>
      <c r="H10" s="65"/>
      <c r="I10" s="60"/>
      <c r="J10" s="61"/>
      <c r="K10" s="61"/>
    </row>
    <row r="11" spans="1:11">
      <c r="A11" s="92"/>
      <c r="B11" s="47"/>
      <c r="C11" s="121"/>
      <c r="D11" s="121"/>
      <c r="E11" s="66"/>
      <c r="F11" s="66"/>
      <c r="G11" s="52"/>
      <c r="H11" s="65"/>
      <c r="I11" s="60"/>
      <c r="J11" s="61"/>
      <c r="K11" s="61"/>
    </row>
    <row r="12" spans="1:11">
      <c r="A12" s="94"/>
      <c r="B12" s="50"/>
      <c r="C12" s="125"/>
      <c r="D12" s="51"/>
      <c r="E12" s="66"/>
      <c r="F12" s="66"/>
      <c r="G12" s="52"/>
      <c r="H12" s="65"/>
      <c r="I12" s="60"/>
      <c r="J12" s="61"/>
      <c r="K12" s="61"/>
    </row>
    <row r="13" spans="1:11">
      <c r="A13" s="47"/>
      <c r="B13" s="50"/>
      <c r="C13" s="51"/>
      <c r="D13" s="51"/>
      <c r="E13" s="52"/>
      <c r="F13" s="66"/>
      <c r="G13" s="52"/>
      <c r="H13" s="64"/>
      <c r="I13" s="60"/>
      <c r="J13" s="61"/>
      <c r="K13" s="61"/>
    </row>
    <row r="14" spans="1:11">
      <c r="A14" s="47"/>
      <c r="B14" s="47"/>
      <c r="C14" s="51"/>
      <c r="D14" s="51"/>
      <c r="E14" s="52"/>
      <c r="F14" s="66"/>
      <c r="G14" s="52"/>
      <c r="H14" s="64"/>
      <c r="I14" s="60"/>
      <c r="J14" s="61"/>
      <c r="K14" s="61"/>
    </row>
    <row r="15" spans="1:11">
      <c r="A15" s="47"/>
      <c r="B15" s="47"/>
      <c r="C15" s="51"/>
      <c r="D15" s="51"/>
      <c r="E15" s="52"/>
      <c r="F15" s="66"/>
      <c r="G15" s="52"/>
      <c r="H15" s="64"/>
      <c r="I15" s="60"/>
      <c r="J15" s="61"/>
      <c r="K15" s="61"/>
    </row>
    <row r="16" spans="1:11">
      <c r="A16" s="47"/>
      <c r="B16" s="50"/>
      <c r="C16" s="51"/>
      <c r="D16" s="51"/>
      <c r="E16" s="52"/>
      <c r="F16" s="66"/>
      <c r="G16" s="52"/>
      <c r="H16" s="64"/>
      <c r="I16" s="60"/>
      <c r="J16" s="61"/>
      <c r="K16" s="61"/>
    </row>
    <row r="17" spans="1:11">
      <c r="A17" s="47"/>
      <c r="B17" s="93"/>
      <c r="C17" s="51"/>
      <c r="D17" s="51"/>
      <c r="E17" s="52"/>
      <c r="F17" s="66"/>
      <c r="G17" s="52"/>
      <c r="H17" s="65"/>
      <c r="I17" s="60"/>
      <c r="J17" s="61"/>
      <c r="K17" s="61"/>
    </row>
    <row r="18" spans="1:11">
      <c r="A18" s="47"/>
      <c r="B18" s="95"/>
      <c r="C18" s="51"/>
      <c r="D18" s="51"/>
      <c r="E18" s="52"/>
      <c r="F18" s="66"/>
      <c r="G18" s="52"/>
      <c r="H18" s="64"/>
      <c r="I18" s="60"/>
      <c r="J18" s="61"/>
      <c r="K18" s="61"/>
    </row>
    <row r="19" spans="1:11">
      <c r="A19" s="47"/>
      <c r="B19" s="47"/>
      <c r="C19" s="51"/>
      <c r="D19" s="51"/>
      <c r="E19" s="52"/>
      <c r="F19" s="66"/>
      <c r="G19" s="52"/>
      <c r="H19" s="64"/>
      <c r="I19" s="60"/>
      <c r="J19" s="61"/>
      <c r="K19" s="61"/>
    </row>
    <row r="20" spans="1:11">
      <c r="A20" s="47"/>
      <c r="B20" s="50"/>
      <c r="C20" s="51"/>
      <c r="D20" s="51"/>
      <c r="E20" s="52"/>
      <c r="F20" s="66"/>
      <c r="G20" s="52"/>
      <c r="H20" s="65"/>
      <c r="I20" s="60"/>
      <c r="J20" s="61"/>
      <c r="K20" s="61"/>
    </row>
    <row r="21" spans="1:11">
      <c r="A21" s="47"/>
      <c r="B21" s="50"/>
      <c r="C21" s="51"/>
      <c r="D21" s="51"/>
      <c r="E21" s="52"/>
      <c r="F21" s="66"/>
      <c r="G21" s="52"/>
      <c r="H21" s="65"/>
      <c r="I21" s="60"/>
      <c r="J21" s="61"/>
      <c r="K21" s="61"/>
    </row>
    <row r="22" spans="1:11">
      <c r="A22" s="47"/>
      <c r="B22" s="131"/>
      <c r="C22" s="51"/>
      <c r="D22" s="51"/>
      <c r="E22" s="52"/>
      <c r="F22" s="66"/>
      <c r="G22" s="52"/>
      <c r="H22" s="65"/>
      <c r="I22" s="60"/>
      <c r="J22" s="61"/>
      <c r="K22" s="61"/>
    </row>
    <row r="23" spans="1:11">
      <c r="A23" s="47"/>
      <c r="B23" s="131"/>
      <c r="C23" s="51"/>
      <c r="D23" s="51"/>
      <c r="E23" s="52"/>
      <c r="F23" s="66"/>
      <c r="G23" s="52"/>
      <c r="H23" s="65"/>
      <c r="I23" s="60"/>
      <c r="J23" s="61"/>
      <c r="K23" s="61"/>
    </row>
    <row r="24" spans="1:11">
      <c r="A24" s="47"/>
      <c r="B24" s="131"/>
      <c r="C24" s="51"/>
      <c r="D24" s="51"/>
      <c r="E24" s="52"/>
      <c r="F24" s="66"/>
      <c r="G24" s="52"/>
      <c r="H24" s="65"/>
      <c r="I24" s="60"/>
      <c r="J24" s="61"/>
      <c r="K24" s="61"/>
    </row>
    <row r="25" spans="1:11">
      <c r="A25" s="47"/>
      <c r="B25" s="131"/>
      <c r="C25" s="51"/>
      <c r="D25" s="51"/>
      <c r="E25" s="52"/>
      <c r="F25" s="66"/>
      <c r="G25" s="52"/>
      <c r="H25" s="65"/>
      <c r="I25" s="60"/>
      <c r="J25" s="61"/>
      <c r="K25" s="61"/>
    </row>
    <row r="26" spans="1:11">
      <c r="A26" s="47"/>
      <c r="B26" s="131"/>
      <c r="C26" s="51"/>
      <c r="D26" s="51"/>
      <c r="E26" s="52"/>
      <c r="F26" s="66"/>
      <c r="G26" s="52"/>
      <c r="H26" s="65"/>
      <c r="I26" s="60"/>
      <c r="J26" s="61"/>
      <c r="K26" s="61"/>
    </row>
    <row r="27" spans="1:11">
      <c r="A27" s="47"/>
      <c r="B27" s="131"/>
      <c r="C27" s="51"/>
      <c r="D27" s="51"/>
      <c r="E27" s="52"/>
      <c r="F27" s="66"/>
      <c r="G27" s="52"/>
      <c r="H27" s="64"/>
      <c r="I27" s="60"/>
      <c r="J27" s="61"/>
      <c r="K27" s="61"/>
    </row>
    <row r="28" spans="1:11">
      <c r="A28" s="47"/>
      <c r="B28" s="131"/>
      <c r="C28" s="51"/>
      <c r="D28" s="51"/>
      <c r="E28" s="52"/>
      <c r="F28" s="66"/>
      <c r="G28" s="52"/>
      <c r="H28" s="64"/>
      <c r="I28" s="60"/>
      <c r="J28" s="61"/>
      <c r="K28" s="61"/>
    </row>
    <row r="29" spans="1:11">
      <c r="A29" s="47"/>
      <c r="B29" s="131"/>
      <c r="C29" s="51"/>
      <c r="D29" s="51"/>
      <c r="E29" s="52"/>
      <c r="F29" s="66"/>
      <c r="G29" s="52"/>
      <c r="H29" s="64"/>
      <c r="I29" s="60"/>
      <c r="J29" s="61"/>
      <c r="K29" s="61"/>
    </row>
    <row r="30" spans="1:11">
      <c r="A30" s="47"/>
      <c r="B30" s="131"/>
      <c r="C30" s="51"/>
      <c r="D30" s="51"/>
      <c r="E30" s="52"/>
      <c r="F30" s="66"/>
      <c r="G30" s="52"/>
      <c r="H30" s="64"/>
      <c r="I30" s="60"/>
      <c r="J30" s="61"/>
      <c r="K30" s="61"/>
    </row>
    <row r="31" spans="1:11">
      <c r="A31" s="47"/>
      <c r="B31" s="131"/>
      <c r="C31" s="51"/>
      <c r="D31" s="51"/>
      <c r="E31" s="52"/>
      <c r="F31" s="66"/>
      <c r="G31" s="52"/>
      <c r="H31" s="64"/>
      <c r="I31" s="60"/>
      <c r="J31" s="61"/>
      <c r="K31" s="61"/>
    </row>
    <row r="32" spans="1:11">
      <c r="A32" s="47"/>
      <c r="B32" s="131"/>
      <c r="C32" s="51"/>
      <c r="D32" s="51"/>
      <c r="E32" s="52"/>
      <c r="F32" s="66"/>
      <c r="G32" s="52"/>
      <c r="H32" s="64"/>
      <c r="I32" s="60"/>
      <c r="J32" s="61"/>
      <c r="K32" s="61"/>
    </row>
    <row r="33" spans="1:11">
      <c r="A33" s="47"/>
      <c r="B33" s="131"/>
      <c r="C33" s="51"/>
      <c r="D33" s="51"/>
      <c r="E33" s="52"/>
      <c r="F33" s="66"/>
      <c r="G33" s="52"/>
      <c r="H33" s="64"/>
      <c r="I33" s="60"/>
      <c r="J33" s="61"/>
      <c r="K33" s="61"/>
    </row>
    <row r="34" spans="1:11">
      <c r="A34" s="47"/>
      <c r="B34" s="131"/>
      <c r="C34" s="51"/>
      <c r="D34" s="53"/>
      <c r="E34" s="52"/>
      <c r="F34" s="66"/>
      <c r="G34" s="52"/>
      <c r="H34" s="64"/>
      <c r="I34" s="60"/>
      <c r="J34" s="61"/>
      <c r="K34" s="61"/>
    </row>
    <row r="35" spans="1:11">
      <c r="A35" s="47"/>
      <c r="B35" s="131"/>
      <c r="C35" s="51"/>
      <c r="D35" s="53"/>
      <c r="E35" s="52"/>
      <c r="F35" s="66"/>
      <c r="G35" s="52"/>
      <c r="H35" s="64"/>
      <c r="I35" s="60"/>
      <c r="J35" s="61"/>
      <c r="K35" s="61"/>
    </row>
    <row r="36" spans="1:11">
      <c r="A36" s="47"/>
      <c r="B36" s="131"/>
      <c r="C36" s="51"/>
      <c r="D36" s="53"/>
      <c r="E36" s="52"/>
      <c r="F36" s="66"/>
      <c r="G36" s="52"/>
      <c r="H36" s="64"/>
      <c r="I36" s="60"/>
      <c r="J36" s="61"/>
      <c r="K36" s="61"/>
    </row>
    <row r="37" spans="1:11">
      <c r="A37" s="47"/>
      <c r="B37" s="131"/>
      <c r="C37" s="51"/>
      <c r="D37" s="53"/>
      <c r="E37" s="52"/>
      <c r="F37" s="66"/>
      <c r="G37" s="52"/>
      <c r="H37" s="64"/>
      <c r="I37" s="60"/>
      <c r="J37" s="61"/>
      <c r="K37" s="61"/>
    </row>
    <row r="38" spans="1:11">
      <c r="A38" s="47"/>
      <c r="B38" s="131"/>
      <c r="C38" s="51"/>
      <c r="D38" s="53"/>
      <c r="E38" s="52"/>
      <c r="F38" s="66"/>
      <c r="G38" s="52"/>
      <c r="H38" s="65"/>
      <c r="I38" s="60"/>
      <c r="J38" s="61"/>
      <c r="K38" s="61"/>
    </row>
    <row r="39" spans="1:11">
      <c r="A39" s="47"/>
      <c r="B39" s="47"/>
      <c r="C39" s="51"/>
      <c r="D39" s="53"/>
      <c r="E39" s="52"/>
      <c r="F39" s="66"/>
      <c r="G39" s="52"/>
      <c r="H39" s="65"/>
      <c r="I39" s="60"/>
      <c r="J39" s="61"/>
      <c r="K39" s="61"/>
    </row>
    <row r="40" spans="1:11">
      <c r="A40" s="47"/>
      <c r="B40" s="47"/>
      <c r="C40" s="51"/>
      <c r="D40" s="53"/>
      <c r="E40" s="52"/>
      <c r="F40" s="66"/>
      <c r="G40" s="52"/>
      <c r="H40" s="65"/>
      <c r="I40" s="60"/>
      <c r="J40" s="61"/>
      <c r="K40" s="61"/>
    </row>
    <row r="41" spans="1:11">
      <c r="A41" s="47"/>
      <c r="B41" s="47"/>
      <c r="C41" s="51"/>
      <c r="D41" s="53"/>
      <c r="E41" s="52"/>
      <c r="F41" s="66"/>
      <c r="G41" s="52"/>
      <c r="H41" s="65"/>
      <c r="I41" s="60"/>
      <c r="J41" s="61"/>
      <c r="K41" s="61"/>
    </row>
    <row r="42" spans="1:11">
      <c r="A42" s="47"/>
      <c r="B42" s="47"/>
      <c r="C42" s="51"/>
      <c r="D42" s="53"/>
      <c r="E42" s="52"/>
      <c r="F42" s="66"/>
      <c r="G42" s="52"/>
      <c r="H42" s="65"/>
      <c r="I42" s="60"/>
      <c r="J42" s="61"/>
      <c r="K42" s="61"/>
    </row>
  </sheetData>
  <phoneticPr fontId="2" type="noConversion"/>
  <conditionalFormatting sqref="A2:A20">
    <cfRule type="expression" dxfId="73" priority="33" stopIfTrue="1">
      <formula>($G2="Fail")</formula>
    </cfRule>
    <cfRule type="expression" dxfId="72" priority="34" stopIfTrue="1">
      <formula>($G2="Pass")</formula>
    </cfRule>
  </conditionalFormatting>
  <conditionalFormatting sqref="B2:B19">
    <cfRule type="expression" dxfId="71" priority="13" stopIfTrue="1">
      <formula>($G2="Fail")</formula>
    </cfRule>
    <cfRule type="expression" dxfId="70" priority="14" stopIfTrue="1">
      <formula>($G2="Pass")</formula>
    </cfRule>
  </conditionalFormatting>
  <conditionalFormatting sqref="B20">
    <cfRule type="expression" dxfId="69" priority="28" stopIfTrue="1">
      <formula>($G20="Pass")</formula>
    </cfRule>
  </conditionalFormatting>
  <conditionalFormatting sqref="B22:B38">
    <cfRule type="expression" dxfId="68" priority="5" stopIfTrue="1">
      <formula>($G22="Fail")</formula>
    </cfRule>
    <cfRule type="expression" dxfId="67" priority="6" stopIfTrue="1">
      <formula>($G22="Pass")</formula>
    </cfRule>
  </conditionalFormatting>
  <conditionalFormatting sqref="B20:F20">
    <cfRule type="expression" dxfId="66" priority="27" stopIfTrue="1">
      <formula>($G20="Fail")</formula>
    </cfRule>
  </conditionalFormatting>
  <conditionalFormatting sqref="C13:F18 G13:G19">
    <cfRule type="expression" dxfId="65" priority="64" stopIfTrue="1">
      <formula>($G13="Pass")</formula>
    </cfRule>
  </conditionalFormatting>
  <conditionalFormatting sqref="C13:F18">
    <cfRule type="expression" dxfId="64" priority="63" stopIfTrue="1">
      <formula>($G13="Fail")</formula>
    </cfRule>
  </conditionalFormatting>
  <conditionalFormatting sqref="C2:G12">
    <cfRule type="expression" dxfId="63" priority="1" stopIfTrue="1">
      <formula>($G2="Fail")</formula>
    </cfRule>
    <cfRule type="expression" dxfId="62" priority="2" stopIfTrue="1">
      <formula>($G2="Pass")</formula>
    </cfRule>
  </conditionalFormatting>
  <conditionalFormatting sqref="C20:G20">
    <cfRule type="expression" dxfId="61" priority="58" stopIfTrue="1">
      <formula>($G20="Pass")</formula>
    </cfRule>
  </conditionalFormatting>
  <conditionalFormatting sqref="G13:G20">
    <cfRule type="expression" dxfId="60" priority="57" stopIfTrue="1">
      <formula>($G13="Fail")</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A9"/>
  <sheetViews>
    <sheetView workbookViewId="0">
      <selection activeCell="F22" sqref="F22"/>
    </sheetView>
  </sheetViews>
  <sheetFormatPr defaultRowHeight="13.15"/>
  <cols>
    <col min="1" max="1" width="26.7109375" customWidth="1"/>
  </cols>
  <sheetData>
    <row r="1" spans="1:1">
      <c r="A1" s="11" t="s">
        <v>42</v>
      </c>
    </row>
    <row r="2" spans="1:1">
      <c r="A2" s="11" t="s">
        <v>43</v>
      </c>
    </row>
    <row r="3" spans="1:1">
      <c r="A3" s="11" t="s">
        <v>44</v>
      </c>
    </row>
    <row r="4" spans="1:1">
      <c r="A4" s="54" t="s">
        <v>45</v>
      </c>
    </row>
    <row r="5" spans="1:1">
      <c r="A5" s="11" t="s">
        <v>46</v>
      </c>
    </row>
    <row r="6" spans="1:1">
      <c r="A6" s="11" t="s">
        <v>47</v>
      </c>
    </row>
    <row r="7" spans="1:1">
      <c r="A7" s="54" t="s">
        <v>442</v>
      </c>
    </row>
    <row r="8" spans="1:1">
      <c r="A8" s="54" t="s">
        <v>443</v>
      </c>
    </row>
    <row r="9" spans="1:1" ht="13.9" thickBot="1">
      <c r="A9" s="12" t="s">
        <v>48</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N1048576"/>
  <sheetViews>
    <sheetView zoomScale="80" zoomScaleNormal="80" workbookViewId="0">
      <pane ySplit="1" topLeftCell="A2" activePane="bottomLeft" state="frozen"/>
      <selection pane="bottomLeft" activeCell="D17" sqref="D17"/>
    </sheetView>
  </sheetViews>
  <sheetFormatPr defaultRowHeight="13.15"/>
  <cols>
    <col min="2" max="2" width="12.140625" customWidth="1"/>
    <col min="3" max="3" width="31" style="2" customWidth="1"/>
    <col min="4" max="4" width="34.140625" style="2" customWidth="1"/>
    <col min="5" max="5" width="21.85546875" bestFit="1" customWidth="1"/>
    <col min="6" max="6" width="8.85546875" customWidth="1"/>
    <col min="7" max="7" width="10.85546875" style="140" bestFit="1" customWidth="1"/>
    <col min="8" max="8" width="11.140625" style="140" customWidth="1"/>
    <col min="9" max="9" width="13.140625" customWidth="1"/>
    <col min="10" max="10" width="11.7109375" style="2" customWidth="1"/>
    <col min="11" max="11" width="12.140625" customWidth="1"/>
    <col min="12" max="12" width="34.42578125" style="2" customWidth="1"/>
    <col min="13" max="13" width="10.7109375" customWidth="1"/>
    <col min="14" max="14" width="27.140625" customWidth="1"/>
  </cols>
  <sheetData>
    <row r="1" spans="1:14" s="37" customFormat="1" ht="39.6">
      <c r="A1" s="36" t="s">
        <v>444</v>
      </c>
      <c r="B1" s="36" t="s">
        <v>52</v>
      </c>
      <c r="C1" s="36" t="s">
        <v>445</v>
      </c>
      <c r="D1" s="36" t="s">
        <v>446</v>
      </c>
      <c r="E1" s="35" t="s">
        <v>447</v>
      </c>
      <c r="F1" s="36" t="s">
        <v>448</v>
      </c>
      <c r="G1" s="138" t="s">
        <v>449</v>
      </c>
      <c r="H1" s="138" t="s">
        <v>450</v>
      </c>
      <c r="I1" s="36" t="s">
        <v>451</v>
      </c>
      <c r="J1" s="36" t="s">
        <v>58</v>
      </c>
      <c r="K1" s="36" t="s">
        <v>452</v>
      </c>
      <c r="L1" s="36" t="s">
        <v>453</v>
      </c>
      <c r="M1" s="35" t="s">
        <v>454</v>
      </c>
      <c r="N1" s="36" t="s">
        <v>59</v>
      </c>
    </row>
    <row r="2" spans="1:14">
      <c r="A2" s="58">
        <v>1</v>
      </c>
      <c r="B2" s="58"/>
      <c r="C2" s="60"/>
      <c r="D2" s="60"/>
      <c r="E2" s="61"/>
      <c r="F2" s="61"/>
      <c r="G2" s="139"/>
      <c r="H2" s="139"/>
      <c r="I2" s="62"/>
      <c r="J2" s="60"/>
      <c r="K2" s="158"/>
      <c r="L2" s="60"/>
      <c r="M2" s="62"/>
      <c r="N2" s="61"/>
    </row>
    <row r="3" spans="1:14">
      <c r="A3" s="59">
        <v>2</v>
      </c>
      <c r="B3" s="47"/>
      <c r="C3" s="47"/>
      <c r="D3" s="60"/>
      <c r="E3" s="61"/>
      <c r="F3" s="61"/>
      <c r="G3" s="139"/>
      <c r="H3" s="139"/>
      <c r="I3" s="62"/>
      <c r="J3" s="63"/>
      <c r="K3" s="158"/>
      <c r="L3" s="159"/>
      <c r="M3" s="62"/>
      <c r="N3" s="61"/>
    </row>
    <row r="4" spans="1:14">
      <c r="A4" s="58">
        <v>3</v>
      </c>
      <c r="B4" s="47"/>
      <c r="C4" s="47"/>
      <c r="D4" s="60"/>
      <c r="E4" s="61"/>
      <c r="F4" s="61"/>
      <c r="G4" s="139"/>
      <c r="H4" s="139"/>
      <c r="I4" s="62"/>
      <c r="J4" s="63"/>
      <c r="K4" s="158"/>
      <c r="L4" s="159"/>
      <c r="M4" s="62"/>
      <c r="N4" s="60"/>
    </row>
    <row r="5" spans="1:14">
      <c r="A5" s="59">
        <v>4</v>
      </c>
      <c r="B5" s="47"/>
      <c r="C5" s="47"/>
      <c r="D5" s="82"/>
      <c r="E5" s="61"/>
      <c r="F5" s="61"/>
      <c r="G5" s="160"/>
      <c r="H5" s="161"/>
      <c r="I5" s="62"/>
      <c r="J5" s="63"/>
      <c r="K5" s="158"/>
      <c r="L5" s="60"/>
      <c r="M5" s="62"/>
      <c r="N5" s="63"/>
    </row>
    <row r="6" spans="1:14">
      <c r="A6" s="58">
        <v>5</v>
      </c>
      <c r="B6" s="47"/>
      <c r="C6" s="162"/>
      <c r="D6" s="163"/>
      <c r="E6" s="61"/>
      <c r="F6" s="61"/>
      <c r="G6" s="160"/>
      <c r="H6" s="161"/>
      <c r="I6" s="62"/>
      <c r="J6" s="63"/>
      <c r="K6" s="158"/>
      <c r="L6" s="60"/>
      <c r="M6" s="62"/>
      <c r="N6" s="63"/>
    </row>
    <row r="7" spans="1:14">
      <c r="A7" s="59">
        <v>6</v>
      </c>
      <c r="B7" s="47"/>
      <c r="C7" s="77"/>
      <c r="D7" s="82"/>
      <c r="E7" s="61"/>
      <c r="F7" s="61"/>
      <c r="G7" s="160"/>
      <c r="H7" s="161"/>
      <c r="I7" s="62"/>
      <c r="J7" s="63"/>
      <c r="K7" s="158"/>
      <c r="L7" s="60"/>
      <c r="M7" s="62"/>
      <c r="N7" s="63"/>
    </row>
    <row r="8" spans="1:14">
      <c r="A8" s="58">
        <v>7</v>
      </c>
      <c r="B8" s="47"/>
      <c r="C8" s="77"/>
      <c r="D8" s="77"/>
      <c r="E8" s="61"/>
      <c r="F8" s="61"/>
      <c r="G8" s="160"/>
      <c r="H8" s="161"/>
      <c r="I8" s="62"/>
      <c r="J8" s="63"/>
      <c r="K8" s="158"/>
      <c r="L8" s="60"/>
      <c r="M8" s="62"/>
      <c r="N8" s="63"/>
    </row>
    <row r="9" spans="1:14">
      <c r="A9" s="59">
        <v>8</v>
      </c>
      <c r="B9" s="47"/>
      <c r="C9" s="82"/>
      <c r="D9" s="82"/>
      <c r="E9" s="61"/>
      <c r="F9" s="61"/>
      <c r="G9" s="160"/>
      <c r="H9" s="161"/>
      <c r="I9" s="62"/>
      <c r="J9" s="63"/>
      <c r="K9" s="158"/>
      <c r="L9" s="63"/>
      <c r="M9" s="62"/>
      <c r="N9" s="63"/>
    </row>
    <row r="10" spans="1:14">
      <c r="A10" s="58">
        <v>9</v>
      </c>
      <c r="B10" s="47"/>
      <c r="C10" s="82"/>
      <c r="D10" s="82"/>
      <c r="E10" s="61"/>
      <c r="F10" s="61"/>
      <c r="G10" s="160"/>
      <c r="H10" s="161"/>
      <c r="I10" s="62"/>
      <c r="J10" s="63"/>
      <c r="K10" s="158"/>
      <c r="L10" s="60"/>
      <c r="M10" s="164"/>
      <c r="N10" s="63"/>
    </row>
    <row r="11" spans="1:14">
      <c r="A11" s="59">
        <v>10</v>
      </c>
      <c r="B11" s="47"/>
      <c r="C11" s="82"/>
      <c r="D11" s="82"/>
      <c r="E11" s="61"/>
      <c r="F11" s="61"/>
      <c r="G11" s="139"/>
      <c r="H11" s="161"/>
      <c r="I11" s="62"/>
      <c r="J11" s="63"/>
      <c r="K11" s="158"/>
      <c r="L11" s="60"/>
      <c r="M11" s="62"/>
      <c r="N11" s="63"/>
    </row>
    <row r="12" spans="1:14">
      <c r="A12" s="58">
        <v>11</v>
      </c>
      <c r="B12" s="47"/>
      <c r="C12" s="82"/>
      <c r="D12" s="82"/>
      <c r="E12" s="61"/>
      <c r="F12" s="61"/>
      <c r="G12" s="139"/>
      <c r="H12" s="161"/>
      <c r="I12" s="62"/>
      <c r="J12" s="63"/>
      <c r="K12" s="158"/>
      <c r="L12" s="60"/>
      <c r="M12" s="62"/>
      <c r="N12" s="63"/>
    </row>
    <row r="13" spans="1:14">
      <c r="A13" s="59">
        <v>12</v>
      </c>
      <c r="B13" s="47"/>
      <c r="C13" s="96"/>
      <c r="D13" s="96"/>
      <c r="E13" s="61"/>
      <c r="F13" s="61"/>
      <c r="G13" s="139"/>
      <c r="H13" s="161"/>
      <c r="I13" s="62"/>
      <c r="J13" s="63"/>
      <c r="K13" s="158"/>
      <c r="L13" s="60"/>
      <c r="M13" s="62"/>
      <c r="N13" s="63"/>
    </row>
    <row r="14" spans="1:14">
      <c r="A14" s="58">
        <v>13</v>
      </c>
      <c r="B14" s="58"/>
      <c r="C14" s="60"/>
      <c r="D14" s="165"/>
      <c r="E14" s="61"/>
      <c r="F14" s="61"/>
      <c r="G14" s="139"/>
      <c r="H14" s="161"/>
      <c r="I14" s="62"/>
      <c r="J14" s="63"/>
      <c r="K14" s="158"/>
      <c r="L14" s="60"/>
      <c r="M14" s="62"/>
      <c r="N14" s="63"/>
    </row>
    <row r="15" spans="1:14">
      <c r="A15" s="59">
        <v>14</v>
      </c>
      <c r="B15" s="59"/>
      <c r="C15" s="60"/>
      <c r="D15" s="165"/>
      <c r="E15" s="61"/>
      <c r="F15" s="61"/>
      <c r="G15" s="139"/>
      <c r="H15" s="161"/>
      <c r="I15" s="62"/>
      <c r="J15" s="63"/>
      <c r="K15" s="158"/>
      <c r="L15" s="60"/>
      <c r="M15" s="62"/>
      <c r="N15" s="63"/>
    </row>
    <row r="16" spans="1:14">
      <c r="A16" s="58">
        <v>15</v>
      </c>
      <c r="B16" s="58"/>
      <c r="C16" s="60"/>
      <c r="D16" s="165"/>
      <c r="E16" s="61"/>
      <c r="F16" s="61"/>
      <c r="G16" s="139"/>
      <c r="H16" s="161"/>
      <c r="I16" s="62"/>
      <c r="J16" s="63"/>
      <c r="K16" s="158"/>
      <c r="L16" s="63"/>
      <c r="M16" s="62"/>
      <c r="N16" s="63"/>
    </row>
    <row r="17" spans="1:14">
      <c r="A17" s="59">
        <v>16</v>
      </c>
      <c r="B17" s="59"/>
      <c r="C17" s="60"/>
      <c r="D17" s="165"/>
      <c r="E17" s="61"/>
      <c r="F17" s="61"/>
      <c r="G17" s="139"/>
      <c r="H17" s="161"/>
      <c r="I17" s="62"/>
      <c r="J17" s="63"/>
      <c r="K17" s="158"/>
      <c r="L17" s="63"/>
      <c r="M17" s="62"/>
      <c r="N17" s="63"/>
    </row>
    <row r="18" spans="1:14">
      <c r="A18" s="58">
        <v>17</v>
      </c>
      <c r="B18" s="58"/>
      <c r="C18" s="60"/>
      <c r="D18" s="60"/>
      <c r="E18" s="62"/>
      <c r="F18" s="61"/>
      <c r="G18" s="139"/>
      <c r="H18" s="161"/>
      <c r="I18" s="62"/>
      <c r="J18" s="63"/>
      <c r="K18" s="158"/>
      <c r="L18" s="63"/>
      <c r="M18" s="62"/>
      <c r="N18" s="63"/>
    </row>
    <row r="19" spans="1:14">
      <c r="A19" s="59">
        <v>18</v>
      </c>
      <c r="B19" s="59"/>
      <c r="C19" s="63"/>
      <c r="D19" s="63"/>
      <c r="E19" s="62"/>
      <c r="F19" s="61"/>
      <c r="G19" s="139"/>
      <c r="H19" s="161"/>
      <c r="I19" s="62"/>
      <c r="J19" s="63"/>
      <c r="K19" s="158"/>
      <c r="L19" s="63"/>
      <c r="M19" s="62"/>
      <c r="N19" s="63"/>
    </row>
    <row r="20" spans="1:14">
      <c r="A20" s="58">
        <v>19</v>
      </c>
      <c r="B20" s="166"/>
      <c r="C20" s="63"/>
      <c r="D20" s="63"/>
      <c r="E20" s="62"/>
      <c r="F20" s="61"/>
      <c r="G20" s="139"/>
      <c r="H20" s="161"/>
      <c r="I20" s="62"/>
      <c r="J20" s="63"/>
      <c r="K20" s="158"/>
      <c r="L20" s="63"/>
      <c r="M20" s="62"/>
      <c r="N20" s="63"/>
    </row>
    <row r="21" spans="1:14">
      <c r="A21" s="59">
        <v>20</v>
      </c>
      <c r="B21" s="58"/>
      <c r="C21" s="63"/>
      <c r="D21" s="63"/>
      <c r="E21" s="61"/>
      <c r="F21" s="61"/>
      <c r="G21" s="160"/>
      <c r="H21" s="161"/>
      <c r="I21" s="62"/>
      <c r="J21" s="63"/>
      <c r="K21" s="158"/>
      <c r="L21" s="63"/>
      <c r="M21" s="62"/>
      <c r="N21" s="63"/>
    </row>
    <row r="22" spans="1:14">
      <c r="A22" s="58">
        <v>21</v>
      </c>
      <c r="B22" s="58"/>
      <c r="C22" s="60"/>
      <c r="D22" s="60"/>
      <c r="E22" s="62"/>
      <c r="F22" s="61"/>
      <c r="G22" s="139"/>
      <c r="H22" s="161"/>
      <c r="I22" s="62"/>
      <c r="J22" s="63"/>
      <c r="K22" s="158"/>
      <c r="L22" s="60"/>
      <c r="M22" s="62"/>
      <c r="N22" s="63"/>
    </row>
    <row r="23" spans="1:14">
      <c r="A23" s="59">
        <v>22</v>
      </c>
      <c r="B23" s="59"/>
      <c r="C23" s="63"/>
      <c r="D23" s="60"/>
      <c r="E23" s="61"/>
      <c r="F23" s="61"/>
      <c r="G23" s="139"/>
      <c r="H23" s="139"/>
      <c r="I23" s="62"/>
      <c r="J23" s="63"/>
      <c r="K23" s="158"/>
      <c r="L23" s="63"/>
      <c r="M23" s="62"/>
      <c r="N23" s="63"/>
    </row>
    <row r="24" spans="1:14">
      <c r="A24" s="58">
        <v>23</v>
      </c>
      <c r="B24" s="58"/>
      <c r="C24" s="63"/>
      <c r="D24" s="150"/>
      <c r="E24" s="62"/>
      <c r="F24" s="62"/>
      <c r="G24" s="139"/>
      <c r="H24" s="139"/>
      <c r="I24" s="62"/>
      <c r="J24" s="63"/>
      <c r="K24" s="158"/>
      <c r="L24" s="63"/>
      <c r="M24" s="62"/>
      <c r="N24" s="167"/>
    </row>
    <row r="25" spans="1:14">
      <c r="A25" s="59">
        <v>24</v>
      </c>
      <c r="B25" s="59"/>
      <c r="C25" s="150"/>
      <c r="D25" s="63"/>
      <c r="E25" s="62"/>
      <c r="F25" s="62"/>
      <c r="G25" s="139"/>
      <c r="H25" s="161"/>
      <c r="I25" s="62"/>
      <c r="J25" s="63"/>
      <c r="K25" s="158"/>
      <c r="L25" s="60"/>
      <c r="M25" s="62"/>
      <c r="N25" s="62"/>
    </row>
    <row r="26" spans="1:14">
      <c r="A26" s="58">
        <v>25</v>
      </c>
      <c r="B26" s="58"/>
      <c r="C26" s="63"/>
      <c r="D26" s="63"/>
      <c r="E26" s="62"/>
      <c r="F26" s="62"/>
      <c r="G26" s="139"/>
      <c r="H26" s="139"/>
      <c r="I26" s="62"/>
      <c r="J26" s="63"/>
      <c r="K26" s="62"/>
      <c r="L26" s="63"/>
      <c r="M26" s="62"/>
      <c r="N26" s="62"/>
    </row>
    <row r="27" spans="1:14">
      <c r="A27" s="59">
        <v>26</v>
      </c>
      <c r="B27" s="59"/>
      <c r="C27" s="60"/>
      <c r="D27" s="60"/>
      <c r="E27" s="62"/>
      <c r="F27" s="62"/>
      <c r="G27" s="139"/>
      <c r="H27" s="139"/>
      <c r="I27" s="62"/>
      <c r="J27" s="63"/>
      <c r="K27" s="62"/>
      <c r="L27" s="60"/>
      <c r="M27" s="62"/>
      <c r="N27" s="62"/>
    </row>
    <row r="28" spans="1:14">
      <c r="A28" s="58">
        <v>27</v>
      </c>
      <c r="B28" s="58"/>
      <c r="C28" s="60"/>
      <c r="D28" s="60"/>
      <c r="E28" s="62"/>
      <c r="F28" s="61"/>
      <c r="G28" s="139"/>
      <c r="H28" s="139"/>
      <c r="I28" s="62"/>
      <c r="J28" s="60"/>
      <c r="K28" s="61"/>
      <c r="L28" s="60"/>
      <c r="M28" s="62"/>
      <c r="N28" s="62"/>
    </row>
    <row r="29" spans="1:14">
      <c r="A29" s="59">
        <v>28</v>
      </c>
      <c r="B29" s="59"/>
      <c r="C29" s="60"/>
      <c r="D29" s="60"/>
      <c r="E29" s="62"/>
      <c r="F29" s="61"/>
      <c r="G29" s="139"/>
      <c r="H29" s="139"/>
      <c r="I29" s="62"/>
      <c r="J29" s="60"/>
      <c r="K29" s="61"/>
      <c r="L29" s="60"/>
      <c r="M29" s="62"/>
      <c r="N29" s="62"/>
    </row>
    <row r="30" spans="1:14">
      <c r="A30" s="58">
        <v>29</v>
      </c>
      <c r="B30" s="58"/>
      <c r="C30" s="60"/>
      <c r="D30" s="60"/>
      <c r="E30" s="62"/>
      <c r="F30" s="61"/>
      <c r="G30" s="139"/>
      <c r="H30" s="139"/>
      <c r="I30" s="62"/>
      <c r="J30" s="63"/>
      <c r="K30" s="61"/>
      <c r="L30" s="63"/>
      <c r="M30" s="62"/>
      <c r="N30" s="62"/>
    </row>
    <row r="31" spans="1:14">
      <c r="A31" s="59">
        <v>30</v>
      </c>
      <c r="B31" s="59"/>
      <c r="C31" s="60"/>
      <c r="D31" s="60"/>
      <c r="E31" s="61"/>
      <c r="F31" s="61"/>
      <c r="G31" s="139"/>
      <c r="H31" s="139"/>
      <c r="I31" s="62"/>
      <c r="J31" s="60"/>
      <c r="K31" s="61"/>
      <c r="L31" s="63"/>
      <c r="M31" s="62"/>
      <c r="N31" s="237"/>
    </row>
    <row r="32" spans="1:14">
      <c r="A32" s="58">
        <v>31</v>
      </c>
      <c r="B32" s="58"/>
      <c r="C32" s="60"/>
      <c r="D32" s="60"/>
      <c r="E32" s="61"/>
      <c r="F32" s="61"/>
      <c r="G32" s="139"/>
      <c r="H32" s="139"/>
      <c r="I32" s="62"/>
      <c r="J32" s="60"/>
      <c r="K32" s="61"/>
      <c r="L32" s="63"/>
      <c r="M32" s="62"/>
      <c r="N32" s="62"/>
    </row>
    <row r="33" spans="1:14">
      <c r="A33" s="59">
        <v>32</v>
      </c>
      <c r="B33" s="59"/>
      <c r="C33" s="60"/>
      <c r="D33" s="60"/>
      <c r="E33" s="61"/>
      <c r="F33" s="61"/>
      <c r="G33" s="139"/>
      <c r="H33" s="139"/>
      <c r="I33" s="62"/>
      <c r="J33" s="63"/>
      <c r="K33" s="61"/>
      <c r="L33" s="63"/>
      <c r="M33" s="62"/>
      <c r="N33" s="62"/>
    </row>
    <row r="34" spans="1:14">
      <c r="A34" s="58">
        <v>33</v>
      </c>
      <c r="B34" s="58"/>
      <c r="C34" s="63"/>
      <c r="D34" s="63"/>
      <c r="E34" s="62"/>
      <c r="F34" s="62"/>
      <c r="G34" s="139"/>
      <c r="H34" s="139"/>
      <c r="I34" s="62"/>
      <c r="J34" s="63"/>
      <c r="K34" s="62"/>
      <c r="L34" s="63"/>
      <c r="M34" s="62"/>
      <c r="N34" s="237"/>
    </row>
    <row r="35" spans="1:14">
      <c r="A35" s="59">
        <v>34</v>
      </c>
      <c r="B35" s="59"/>
      <c r="C35" s="63"/>
      <c r="D35" s="63"/>
      <c r="E35" s="62"/>
      <c r="F35" s="62"/>
      <c r="G35" s="139"/>
      <c r="H35" s="139"/>
      <c r="I35" s="62"/>
      <c r="J35" s="63"/>
      <c r="K35" s="62"/>
      <c r="L35" s="63"/>
      <c r="M35" s="62"/>
      <c r="N35" s="62"/>
    </row>
    <row r="36" spans="1:14">
      <c r="A36" s="58">
        <v>35</v>
      </c>
      <c r="B36" s="58"/>
      <c r="C36" s="63"/>
      <c r="D36" s="63"/>
      <c r="E36" s="62"/>
      <c r="F36" s="62"/>
      <c r="G36" s="139"/>
      <c r="H36" s="139"/>
      <c r="I36" s="62"/>
      <c r="J36" s="63"/>
      <c r="K36" s="62"/>
      <c r="L36" s="60"/>
      <c r="M36" s="62"/>
      <c r="N36" s="60"/>
    </row>
    <row r="37" spans="1:14">
      <c r="A37" s="59">
        <v>36</v>
      </c>
      <c r="B37" s="59"/>
      <c r="C37" s="63"/>
      <c r="D37" s="63"/>
      <c r="E37" s="62"/>
      <c r="F37" s="62"/>
      <c r="G37" s="139"/>
      <c r="H37" s="139"/>
      <c r="I37" s="62"/>
      <c r="J37" s="60"/>
      <c r="K37" s="62"/>
      <c r="L37" s="63"/>
      <c r="M37" s="62"/>
      <c r="N37" s="237"/>
    </row>
    <row r="38" spans="1:14">
      <c r="A38" s="58">
        <v>37</v>
      </c>
      <c r="B38" s="58"/>
      <c r="C38" s="60"/>
      <c r="D38" s="63"/>
      <c r="E38" s="61"/>
      <c r="F38" s="62"/>
      <c r="G38" s="139"/>
      <c r="H38" s="139"/>
      <c r="I38" s="62"/>
      <c r="J38" s="60"/>
      <c r="K38" s="62"/>
      <c r="L38" s="63"/>
      <c r="M38" s="62"/>
      <c r="N38" s="62"/>
    </row>
    <row r="39" spans="1:14">
      <c r="A39" s="59">
        <v>38</v>
      </c>
      <c r="B39" s="59"/>
      <c r="C39" s="63"/>
      <c r="D39" s="63"/>
      <c r="E39" s="62"/>
      <c r="F39" s="62"/>
      <c r="G39" s="139"/>
      <c r="H39" s="139"/>
      <c r="I39" s="62"/>
      <c r="J39" s="60"/>
      <c r="K39" s="62"/>
      <c r="L39" s="63"/>
      <c r="M39" s="62"/>
      <c r="N39" s="237"/>
    </row>
    <row r="40" spans="1:14">
      <c r="A40" s="58">
        <v>39</v>
      </c>
      <c r="B40" s="58"/>
      <c r="C40" s="63"/>
      <c r="D40" s="64"/>
      <c r="E40" s="62"/>
      <c r="F40" s="62"/>
      <c r="G40" s="139"/>
      <c r="H40" s="139"/>
      <c r="I40" s="62"/>
      <c r="J40" s="60"/>
      <c r="K40" s="62"/>
      <c r="L40" s="63"/>
      <c r="M40" s="62"/>
      <c r="N40" s="61"/>
    </row>
    <row r="41" spans="1:14">
      <c r="A41" s="59">
        <v>40</v>
      </c>
      <c r="B41" s="59"/>
      <c r="C41" s="63"/>
      <c r="E41" s="62"/>
      <c r="F41" s="62"/>
      <c r="G41" s="139"/>
      <c r="H41" s="139"/>
      <c r="I41" s="62"/>
      <c r="J41" s="60"/>
      <c r="K41" s="62"/>
      <c r="L41" s="63"/>
      <c r="M41" s="62"/>
      <c r="N41" s="61"/>
    </row>
    <row r="42" spans="1:14">
      <c r="A42" s="58">
        <v>41</v>
      </c>
      <c r="B42" s="58"/>
      <c r="C42" s="63"/>
      <c r="D42" s="63"/>
      <c r="E42" s="62"/>
      <c r="F42" s="62"/>
      <c r="G42" s="139"/>
      <c r="H42" s="139"/>
      <c r="I42" s="62"/>
      <c r="J42" s="60"/>
      <c r="K42" s="62"/>
      <c r="L42" s="63"/>
      <c r="M42" s="62"/>
      <c r="N42" s="62"/>
    </row>
    <row r="43" spans="1:14">
      <c r="A43" s="59">
        <v>42</v>
      </c>
      <c r="B43" s="59"/>
      <c r="C43" s="60"/>
      <c r="D43" s="60"/>
      <c r="E43" s="61"/>
      <c r="F43" s="62"/>
      <c r="G43" s="139"/>
      <c r="H43" s="139"/>
      <c r="I43" s="62"/>
      <c r="J43" s="60"/>
      <c r="K43" s="62"/>
      <c r="L43" s="63"/>
      <c r="M43" s="62"/>
      <c r="N43" s="134"/>
    </row>
    <row r="44" spans="1:14">
      <c r="A44" s="58">
        <v>43</v>
      </c>
      <c r="B44" s="58"/>
      <c r="C44" s="63"/>
      <c r="D44" s="63"/>
      <c r="E44" s="62"/>
      <c r="F44" s="62"/>
      <c r="G44" s="139"/>
      <c r="H44" s="139"/>
      <c r="I44" s="62"/>
      <c r="J44" s="63"/>
      <c r="K44" s="62"/>
      <c r="L44" s="63"/>
      <c r="M44" s="62"/>
      <c r="N44" s="62"/>
    </row>
    <row r="45" spans="1:14">
      <c r="A45" s="59">
        <v>44</v>
      </c>
      <c r="B45" s="59"/>
      <c r="C45" s="63"/>
      <c r="D45" s="63"/>
      <c r="E45" s="62"/>
      <c r="F45" s="62"/>
      <c r="G45" s="139"/>
      <c r="H45" s="139"/>
      <c r="I45" s="62"/>
      <c r="J45" s="63"/>
      <c r="K45" s="62"/>
      <c r="L45" s="63"/>
      <c r="M45" s="62"/>
      <c r="N45" s="237"/>
    </row>
    <row r="46" spans="1:14">
      <c r="A46" s="58">
        <v>45</v>
      </c>
      <c r="B46" s="58"/>
      <c r="C46" s="63"/>
      <c r="D46" s="63"/>
      <c r="E46" s="62"/>
      <c r="F46" s="62"/>
      <c r="G46" s="139"/>
      <c r="H46" s="139"/>
      <c r="I46" s="62"/>
      <c r="J46" s="63"/>
      <c r="K46" s="62"/>
      <c r="L46" s="63"/>
      <c r="M46" s="62"/>
      <c r="N46" s="237"/>
    </row>
    <row r="47" spans="1:14">
      <c r="A47" s="59">
        <v>46</v>
      </c>
      <c r="B47" s="59"/>
      <c r="C47" s="63"/>
      <c r="D47" s="63"/>
      <c r="E47" s="62"/>
      <c r="F47" s="62"/>
      <c r="G47" s="139"/>
      <c r="H47" s="139"/>
      <c r="I47" s="62"/>
      <c r="J47" s="63"/>
      <c r="K47" s="62"/>
      <c r="L47" s="63"/>
      <c r="M47" s="62"/>
      <c r="N47" s="62"/>
    </row>
    <row r="48" spans="1:14">
      <c r="A48" s="58">
        <v>47</v>
      </c>
      <c r="B48" s="58"/>
      <c r="C48" s="63"/>
      <c r="D48" s="63"/>
      <c r="E48" s="62"/>
      <c r="F48" s="62"/>
      <c r="G48" s="139"/>
      <c r="H48" s="139"/>
      <c r="I48" s="62"/>
      <c r="J48" s="63"/>
      <c r="K48" s="62"/>
      <c r="L48" s="63"/>
      <c r="M48" s="62"/>
      <c r="N48" s="147"/>
    </row>
    <row r="49" spans="1:14">
      <c r="A49" s="59">
        <v>48</v>
      </c>
      <c r="B49" s="59"/>
      <c r="C49" s="63"/>
      <c r="D49" s="63"/>
      <c r="E49" s="62"/>
      <c r="F49" s="62"/>
      <c r="G49" s="139"/>
      <c r="H49" s="139"/>
      <c r="I49" s="62"/>
      <c r="J49" s="63"/>
      <c r="K49" s="62"/>
      <c r="L49" s="63"/>
      <c r="M49" s="62"/>
      <c r="N49" s="62"/>
    </row>
    <row r="50" spans="1:14">
      <c r="A50" s="58">
        <v>49</v>
      </c>
      <c r="B50" s="58"/>
      <c r="C50" s="63"/>
      <c r="D50" s="63"/>
      <c r="E50" s="62"/>
      <c r="F50" s="62"/>
      <c r="G50" s="139"/>
      <c r="H50" s="139"/>
      <c r="I50" s="62"/>
      <c r="J50" s="63"/>
      <c r="K50" s="62"/>
      <c r="L50" s="63"/>
      <c r="M50" s="62"/>
      <c r="N50" s="62"/>
    </row>
    <row r="51" spans="1:14">
      <c r="A51" s="59">
        <v>50</v>
      </c>
      <c r="B51" s="59"/>
      <c r="C51" s="63"/>
      <c r="D51" s="63"/>
      <c r="E51" s="62"/>
      <c r="F51" s="62"/>
      <c r="G51" s="139"/>
      <c r="H51" s="139"/>
      <c r="I51" s="62"/>
      <c r="J51" s="63"/>
      <c r="K51" s="62"/>
      <c r="L51" s="63"/>
      <c r="M51" s="62"/>
      <c r="N51" s="62"/>
    </row>
    <row r="52" spans="1:14">
      <c r="A52" s="58">
        <v>51</v>
      </c>
      <c r="B52" s="58"/>
      <c r="C52" s="63"/>
      <c r="D52" s="63"/>
      <c r="E52" s="62"/>
      <c r="F52" s="62"/>
      <c r="G52" s="139"/>
      <c r="H52" s="139"/>
      <c r="I52" s="62"/>
      <c r="J52" s="63"/>
      <c r="K52" s="62"/>
      <c r="L52" s="63"/>
      <c r="M52" s="62"/>
      <c r="N52" s="62"/>
    </row>
    <row r="53" spans="1:14">
      <c r="A53" s="59">
        <v>52</v>
      </c>
      <c r="B53" s="59"/>
      <c r="C53" s="63"/>
      <c r="D53" s="63"/>
      <c r="E53" s="62"/>
      <c r="F53" s="62"/>
      <c r="G53" s="139"/>
      <c r="H53" s="139"/>
      <c r="I53" s="62"/>
      <c r="J53" s="63"/>
      <c r="K53" s="62"/>
      <c r="L53" s="63"/>
      <c r="M53" s="62"/>
      <c r="N53" s="62"/>
    </row>
    <row r="54" spans="1:14">
      <c r="A54" s="58">
        <v>53</v>
      </c>
      <c r="B54" s="58"/>
      <c r="C54" s="63"/>
      <c r="D54" s="63"/>
      <c r="E54" s="62"/>
      <c r="F54" s="62"/>
      <c r="G54" s="139"/>
      <c r="H54" s="139"/>
      <c r="I54" s="62"/>
      <c r="J54" s="63"/>
      <c r="K54" s="62"/>
      <c r="L54" s="63"/>
      <c r="M54" s="62"/>
      <c r="N54" s="62"/>
    </row>
    <row r="55" spans="1:14">
      <c r="A55" s="59">
        <v>54</v>
      </c>
      <c r="B55" s="59"/>
      <c r="C55" s="63"/>
      <c r="D55" s="63"/>
      <c r="E55" s="62"/>
      <c r="F55" s="62"/>
      <c r="G55" s="139"/>
      <c r="H55" s="139"/>
      <c r="I55" s="62"/>
      <c r="J55" s="63"/>
      <c r="K55" s="62"/>
      <c r="L55" s="63"/>
      <c r="M55" s="62"/>
      <c r="N55" s="62"/>
    </row>
    <row r="56" spans="1:14">
      <c r="A56" s="58">
        <v>55</v>
      </c>
      <c r="B56" s="58"/>
      <c r="C56" s="63"/>
      <c r="D56" s="63"/>
      <c r="E56" s="62"/>
      <c r="F56" s="62"/>
      <c r="G56" s="139"/>
      <c r="H56" s="139"/>
      <c r="I56" s="62"/>
      <c r="J56" s="63"/>
      <c r="K56" s="62"/>
      <c r="L56" s="63"/>
      <c r="M56" s="62"/>
      <c r="N56" s="62"/>
    </row>
    <row r="57" spans="1:14">
      <c r="A57" s="59">
        <v>56</v>
      </c>
      <c r="B57" s="59"/>
      <c r="C57" s="63"/>
      <c r="D57" s="63"/>
      <c r="E57" s="62"/>
      <c r="F57" s="62"/>
      <c r="G57" s="139"/>
      <c r="H57" s="139"/>
      <c r="I57" s="62"/>
      <c r="J57" s="63"/>
      <c r="K57" s="62"/>
      <c r="L57" s="63"/>
      <c r="M57" s="62"/>
      <c r="N57" s="62"/>
    </row>
    <row r="58" spans="1:14">
      <c r="A58" s="58">
        <v>57</v>
      </c>
      <c r="B58" s="58"/>
      <c r="C58" s="63"/>
      <c r="D58" s="63"/>
      <c r="E58" s="62"/>
      <c r="F58" s="62"/>
      <c r="G58" s="139"/>
      <c r="H58" s="139"/>
      <c r="I58" s="62"/>
      <c r="J58" s="63"/>
      <c r="K58" s="62"/>
      <c r="L58" s="63"/>
      <c r="M58" s="62"/>
      <c r="N58" s="62"/>
    </row>
    <row r="59" spans="1:14">
      <c r="A59" s="59">
        <v>58</v>
      </c>
      <c r="B59" s="59"/>
      <c r="C59" s="63"/>
      <c r="D59" s="63"/>
      <c r="E59" s="62"/>
      <c r="F59" s="62"/>
      <c r="G59" s="139"/>
      <c r="H59" s="139"/>
      <c r="I59" s="62"/>
      <c r="J59" s="63"/>
      <c r="K59" s="62"/>
      <c r="L59" s="63"/>
      <c r="M59" s="62"/>
      <c r="N59" s="62"/>
    </row>
    <row r="60" spans="1:14">
      <c r="A60" s="58">
        <v>59</v>
      </c>
      <c r="B60" s="58"/>
      <c r="C60" s="63"/>
      <c r="D60" s="63"/>
      <c r="E60" s="62"/>
      <c r="F60" s="62"/>
      <c r="G60" s="139"/>
      <c r="H60" s="139"/>
      <c r="I60" s="62"/>
      <c r="J60" s="63"/>
      <c r="K60" s="62"/>
      <c r="L60" s="63"/>
      <c r="M60" s="62"/>
      <c r="N60" s="62"/>
    </row>
    <row r="61" spans="1:14">
      <c r="A61" s="59">
        <v>60</v>
      </c>
      <c r="B61" s="59"/>
      <c r="C61" s="63"/>
      <c r="D61" s="63"/>
      <c r="E61" s="62"/>
      <c r="F61" s="62"/>
      <c r="G61" s="139"/>
      <c r="H61" s="139"/>
      <c r="I61" s="62"/>
      <c r="J61" s="63"/>
      <c r="K61" s="62"/>
      <c r="L61" s="63"/>
      <c r="M61" s="62"/>
      <c r="N61" s="62"/>
    </row>
    <row r="62" spans="1:14">
      <c r="A62" s="58">
        <v>61</v>
      </c>
      <c r="B62" s="58"/>
      <c r="C62" s="63"/>
      <c r="D62" s="63"/>
      <c r="E62" s="62"/>
      <c r="F62" s="62"/>
      <c r="G62" s="139"/>
      <c r="H62" s="139"/>
      <c r="I62" s="62"/>
      <c r="J62" s="63"/>
      <c r="K62" s="62"/>
      <c r="L62" s="63"/>
      <c r="M62" s="62"/>
      <c r="N62" s="62"/>
    </row>
    <row r="63" spans="1:14">
      <c r="A63" s="59">
        <v>62</v>
      </c>
      <c r="B63" s="59"/>
      <c r="C63" s="63"/>
      <c r="D63" s="63"/>
      <c r="E63" s="62"/>
      <c r="F63" s="62"/>
      <c r="G63" s="139"/>
      <c r="H63" s="139"/>
      <c r="I63" s="62"/>
      <c r="J63" s="63"/>
      <c r="K63" s="62"/>
      <c r="L63" s="63"/>
      <c r="M63" s="62"/>
      <c r="N63" s="62"/>
    </row>
    <row r="64" spans="1:14">
      <c r="A64" s="58">
        <v>63</v>
      </c>
      <c r="B64" s="58"/>
      <c r="C64" s="63"/>
      <c r="D64" s="63"/>
      <c r="E64" s="62"/>
      <c r="F64" s="62"/>
      <c r="G64" s="139"/>
      <c r="H64" s="139"/>
      <c r="I64" s="62"/>
      <c r="J64" s="63"/>
      <c r="K64" s="62"/>
      <c r="L64" s="63"/>
      <c r="M64" s="62"/>
      <c r="N64" s="62"/>
    </row>
    <row r="65" spans="1:14">
      <c r="A65" s="59">
        <v>64</v>
      </c>
      <c r="B65" s="59"/>
      <c r="C65" s="63"/>
      <c r="D65" s="63"/>
      <c r="E65" s="62"/>
      <c r="F65" s="62"/>
      <c r="G65" s="139"/>
      <c r="H65" s="139"/>
      <c r="I65" s="62"/>
      <c r="J65" s="63"/>
      <c r="K65" s="62"/>
      <c r="L65" s="63"/>
      <c r="M65" s="62"/>
      <c r="N65" s="62"/>
    </row>
    <row r="66" spans="1:14">
      <c r="A66" s="58">
        <v>65</v>
      </c>
      <c r="B66" s="58"/>
      <c r="C66" s="63"/>
      <c r="D66" s="63"/>
      <c r="E66" s="62"/>
      <c r="F66" s="62"/>
      <c r="G66" s="139"/>
      <c r="H66" s="139"/>
      <c r="I66" s="62"/>
      <c r="J66" s="63"/>
      <c r="K66" s="62"/>
      <c r="L66" s="63"/>
      <c r="M66" s="62"/>
      <c r="N66" s="62"/>
    </row>
    <row r="67" spans="1:14">
      <c r="A67" s="59">
        <v>66</v>
      </c>
      <c r="B67" s="59"/>
      <c r="C67" s="63"/>
      <c r="D67" s="63"/>
      <c r="E67" s="62"/>
      <c r="F67" s="62"/>
      <c r="G67" s="139"/>
      <c r="H67" s="139"/>
      <c r="I67" s="62"/>
      <c r="J67" s="63"/>
      <c r="K67" s="62"/>
      <c r="L67" s="63"/>
      <c r="M67" s="62"/>
      <c r="N67" s="62"/>
    </row>
    <row r="68" spans="1:14">
      <c r="A68" s="58">
        <v>67</v>
      </c>
      <c r="B68" s="58"/>
      <c r="C68" s="63"/>
      <c r="D68" s="63"/>
      <c r="E68" s="62"/>
      <c r="F68" s="62"/>
      <c r="G68" s="139"/>
      <c r="H68" s="139"/>
      <c r="I68" s="62"/>
      <c r="J68" s="63"/>
      <c r="K68" s="62"/>
      <c r="L68" s="63"/>
      <c r="M68" s="62"/>
      <c r="N68" s="62"/>
    </row>
    <row r="69" spans="1:14">
      <c r="A69" s="59">
        <v>68</v>
      </c>
      <c r="B69" s="59"/>
      <c r="C69" s="63"/>
      <c r="D69" s="63"/>
      <c r="E69" s="62"/>
      <c r="F69" s="62"/>
      <c r="G69" s="139"/>
      <c r="H69" s="139"/>
      <c r="I69" s="62"/>
      <c r="J69" s="63"/>
      <c r="K69" s="62"/>
      <c r="L69" s="63"/>
      <c r="M69" s="62"/>
      <c r="N69" s="62"/>
    </row>
    <row r="70" spans="1:14">
      <c r="A70" s="58">
        <v>69</v>
      </c>
      <c r="B70" s="58"/>
      <c r="C70" s="63"/>
      <c r="D70" s="63"/>
      <c r="E70" s="62"/>
      <c r="F70" s="62"/>
      <c r="G70" s="139"/>
      <c r="H70" s="139"/>
      <c r="I70" s="62"/>
      <c r="J70" s="63"/>
      <c r="K70" s="62"/>
      <c r="L70" s="63"/>
      <c r="M70" s="62"/>
      <c r="N70" s="62"/>
    </row>
    <row r="71" spans="1:14">
      <c r="A71" s="59">
        <v>70</v>
      </c>
      <c r="B71" s="59"/>
      <c r="C71" s="63"/>
      <c r="D71" s="63"/>
      <c r="E71" s="62"/>
      <c r="F71" s="62"/>
      <c r="G71" s="139"/>
      <c r="H71" s="139"/>
      <c r="I71" s="62"/>
      <c r="J71" s="63"/>
      <c r="K71" s="62"/>
      <c r="L71" s="63"/>
      <c r="M71" s="62"/>
      <c r="N71" s="62"/>
    </row>
    <row r="72" spans="1:14">
      <c r="A72" s="58">
        <v>71</v>
      </c>
      <c r="B72" s="58"/>
      <c r="C72" s="63"/>
      <c r="D72" s="63"/>
      <c r="E72" s="62"/>
      <c r="F72" s="62"/>
      <c r="G72" s="139"/>
      <c r="H72" s="139"/>
      <c r="I72" s="62"/>
      <c r="J72" s="63"/>
      <c r="K72" s="62"/>
      <c r="L72" s="63"/>
      <c r="M72" s="62"/>
      <c r="N72" s="62"/>
    </row>
    <row r="73" spans="1:14">
      <c r="A73" s="59">
        <v>72</v>
      </c>
      <c r="B73" s="59"/>
      <c r="C73" s="63"/>
      <c r="D73" s="63"/>
      <c r="E73" s="62"/>
      <c r="F73" s="62"/>
      <c r="G73" s="139"/>
      <c r="H73" s="139"/>
      <c r="I73" s="62"/>
      <c r="J73" s="63"/>
      <c r="K73" s="62"/>
      <c r="L73" s="63"/>
      <c r="M73" s="62"/>
      <c r="N73" s="62"/>
    </row>
    <row r="74" spans="1:14">
      <c r="A74" s="58">
        <v>73</v>
      </c>
      <c r="B74" s="58"/>
      <c r="C74" s="63"/>
      <c r="D74" s="63"/>
      <c r="E74" s="62"/>
      <c r="F74" s="62"/>
      <c r="G74" s="139"/>
      <c r="H74" s="139"/>
      <c r="I74" s="62"/>
      <c r="J74" s="63"/>
      <c r="K74" s="62"/>
      <c r="L74" s="63"/>
      <c r="M74" s="62"/>
      <c r="N74" s="62"/>
    </row>
    <row r="75" spans="1:14">
      <c r="A75" s="59">
        <v>74</v>
      </c>
      <c r="B75" s="59"/>
      <c r="C75" s="63"/>
      <c r="D75" s="63"/>
      <c r="E75" s="62"/>
      <c r="F75" s="62"/>
      <c r="G75" s="139"/>
      <c r="H75" s="139"/>
      <c r="I75" s="62"/>
      <c r="J75" s="63"/>
      <c r="K75" s="62"/>
      <c r="L75" s="63"/>
      <c r="M75" s="62"/>
      <c r="N75" s="62"/>
    </row>
    <row r="76" spans="1:14">
      <c r="A76" s="58">
        <v>75</v>
      </c>
      <c r="B76" s="58"/>
      <c r="C76" s="63"/>
      <c r="D76" s="63"/>
      <c r="E76" s="62"/>
      <c r="F76" s="62"/>
      <c r="G76" s="139"/>
      <c r="H76" s="139"/>
      <c r="I76" s="62"/>
      <c r="J76" s="63"/>
      <c r="K76" s="62"/>
      <c r="L76" s="63"/>
      <c r="M76" s="62"/>
      <c r="N76" s="62"/>
    </row>
    <row r="77" spans="1:14">
      <c r="A77" s="59">
        <v>76</v>
      </c>
      <c r="B77" s="59"/>
      <c r="C77" s="63"/>
      <c r="D77" s="63"/>
      <c r="E77" s="62"/>
      <c r="F77" s="62"/>
      <c r="G77" s="139"/>
      <c r="H77" s="139"/>
      <c r="I77" s="62"/>
      <c r="J77" s="63"/>
      <c r="K77" s="62"/>
      <c r="L77" s="63"/>
      <c r="M77" s="62"/>
      <c r="N77" s="62"/>
    </row>
    <row r="78" spans="1:14">
      <c r="A78" s="58">
        <v>77</v>
      </c>
      <c r="B78" s="58"/>
      <c r="C78" s="63"/>
      <c r="D78" s="63"/>
      <c r="E78" s="62"/>
      <c r="F78" s="62"/>
      <c r="G78" s="139"/>
      <c r="H78" s="139"/>
      <c r="I78" s="62"/>
      <c r="J78" s="63"/>
      <c r="K78" s="62"/>
      <c r="L78" s="63"/>
      <c r="M78" s="62"/>
      <c r="N78" s="62"/>
    </row>
    <row r="79" spans="1:14">
      <c r="A79" s="59">
        <v>78</v>
      </c>
      <c r="B79" s="59"/>
      <c r="C79" s="63"/>
      <c r="D79" s="63"/>
      <c r="E79" s="62"/>
      <c r="F79" s="62"/>
      <c r="G79" s="139"/>
      <c r="H79" s="139"/>
      <c r="I79" s="62"/>
      <c r="J79" s="63"/>
      <c r="K79" s="62"/>
      <c r="L79" s="63"/>
      <c r="M79" s="62"/>
      <c r="N79" s="62"/>
    </row>
    <row r="80" spans="1:14">
      <c r="A80" s="58">
        <v>79</v>
      </c>
      <c r="B80" s="58"/>
      <c r="C80" s="63"/>
      <c r="D80" s="63"/>
      <c r="E80" s="62"/>
      <c r="F80" s="62"/>
      <c r="G80" s="139"/>
      <c r="H80" s="139"/>
      <c r="I80" s="62"/>
      <c r="J80" s="63"/>
      <c r="K80" s="62"/>
      <c r="L80" s="63"/>
      <c r="M80" s="62"/>
      <c r="N80" s="62"/>
    </row>
    <row r="81" spans="1:14">
      <c r="A81" s="59">
        <v>80</v>
      </c>
      <c r="B81" s="59"/>
      <c r="C81" s="63"/>
      <c r="D81" s="63"/>
      <c r="E81" s="62"/>
      <c r="F81" s="62"/>
      <c r="G81" s="139"/>
      <c r="H81" s="139"/>
      <c r="I81" s="62"/>
      <c r="J81" s="63"/>
      <c r="K81" s="62"/>
      <c r="L81" s="63"/>
      <c r="M81" s="62"/>
      <c r="N81" s="62"/>
    </row>
    <row r="82" spans="1:14">
      <c r="A82" s="58">
        <v>81</v>
      </c>
      <c r="B82" s="58"/>
      <c r="C82" s="63"/>
      <c r="D82" s="63"/>
      <c r="E82" s="62"/>
      <c r="F82" s="62"/>
      <c r="G82" s="139"/>
      <c r="H82" s="139"/>
      <c r="I82" s="62"/>
      <c r="J82" s="63"/>
      <c r="K82" s="62"/>
      <c r="L82" s="63"/>
      <c r="M82" s="62"/>
      <c r="N82" s="62"/>
    </row>
    <row r="83" spans="1:14">
      <c r="A83" s="59">
        <v>82</v>
      </c>
      <c r="B83" s="59"/>
      <c r="C83" s="63"/>
      <c r="D83" s="63"/>
      <c r="E83" s="62"/>
      <c r="F83" s="62"/>
      <c r="G83" s="139"/>
      <c r="H83" s="139"/>
      <c r="I83" s="62"/>
      <c r="J83" s="63"/>
      <c r="K83" s="62"/>
      <c r="L83" s="63"/>
      <c r="M83" s="62"/>
      <c r="N83" s="62"/>
    </row>
    <row r="84" spans="1:14">
      <c r="A84" s="58">
        <v>83</v>
      </c>
      <c r="B84" s="58"/>
      <c r="C84" s="63"/>
      <c r="D84" s="63"/>
      <c r="E84" s="62"/>
      <c r="F84" s="62"/>
      <c r="G84" s="139"/>
      <c r="H84" s="139"/>
      <c r="I84" s="62"/>
      <c r="J84" s="63"/>
      <c r="K84" s="62"/>
      <c r="L84" s="63"/>
      <c r="M84" s="62"/>
      <c r="N84" s="62"/>
    </row>
    <row r="85" spans="1:14">
      <c r="A85" s="59">
        <v>84</v>
      </c>
      <c r="B85" s="59"/>
      <c r="C85" s="63"/>
      <c r="D85" s="63"/>
      <c r="E85" s="62"/>
      <c r="F85" s="62"/>
      <c r="G85" s="139"/>
      <c r="H85" s="139"/>
      <c r="I85" s="62"/>
      <c r="J85" s="63"/>
      <c r="K85" s="62"/>
      <c r="L85" s="63"/>
      <c r="M85" s="62"/>
      <c r="N85" s="62"/>
    </row>
    <row r="86" spans="1:14">
      <c r="A86" s="58">
        <v>85</v>
      </c>
      <c r="B86" s="58"/>
      <c r="C86" s="63"/>
      <c r="D86" s="63"/>
      <c r="E86" s="62"/>
      <c r="F86" s="62"/>
      <c r="G86" s="139"/>
      <c r="H86" s="139"/>
      <c r="I86" s="62"/>
      <c r="J86" s="63"/>
      <c r="K86" s="62"/>
      <c r="L86" s="63"/>
      <c r="M86" s="62"/>
      <c r="N86" s="62"/>
    </row>
    <row r="87" spans="1:14">
      <c r="A87" s="59">
        <v>86</v>
      </c>
      <c r="B87" s="59"/>
      <c r="C87" s="63"/>
      <c r="D87" s="63"/>
      <c r="E87" s="62"/>
      <c r="F87" s="62"/>
      <c r="G87" s="139"/>
      <c r="H87" s="139"/>
      <c r="I87" s="62"/>
      <c r="J87" s="63"/>
      <c r="K87" s="62"/>
      <c r="L87" s="63"/>
      <c r="M87" s="62"/>
      <c r="N87" s="62"/>
    </row>
    <row r="88" spans="1:14">
      <c r="A88" s="58">
        <v>87</v>
      </c>
      <c r="B88" s="58"/>
      <c r="C88" s="63"/>
      <c r="D88" s="63"/>
      <c r="E88" s="62"/>
      <c r="F88" s="62"/>
      <c r="G88" s="139"/>
      <c r="H88" s="139"/>
      <c r="I88" s="62"/>
      <c r="J88" s="63"/>
      <c r="K88" s="62"/>
      <c r="L88" s="63"/>
      <c r="M88" s="62"/>
      <c r="N88" s="62"/>
    </row>
    <row r="89" spans="1:14">
      <c r="A89" s="59">
        <v>88</v>
      </c>
      <c r="B89" s="59"/>
      <c r="C89" s="63"/>
      <c r="D89" s="63"/>
      <c r="E89" s="62"/>
      <c r="F89" s="62"/>
      <c r="G89" s="139"/>
      <c r="H89" s="139"/>
      <c r="I89" s="62"/>
      <c r="J89" s="63"/>
      <c r="K89" s="62"/>
      <c r="L89" s="63"/>
      <c r="M89" s="62"/>
      <c r="N89" s="62"/>
    </row>
    <row r="90" spans="1:14">
      <c r="A90" s="58">
        <v>89</v>
      </c>
      <c r="B90" s="58"/>
      <c r="C90" s="63"/>
      <c r="D90" s="63"/>
      <c r="E90" s="62"/>
      <c r="F90" s="62"/>
      <c r="G90" s="139"/>
      <c r="H90" s="139"/>
      <c r="I90" s="62"/>
      <c r="J90" s="63"/>
      <c r="K90" s="62"/>
      <c r="L90" s="63"/>
      <c r="M90" s="62"/>
      <c r="N90" s="62"/>
    </row>
    <row r="91" spans="1:14">
      <c r="A91" s="59">
        <v>90</v>
      </c>
      <c r="B91" s="59"/>
      <c r="C91" s="63"/>
      <c r="D91" s="63"/>
      <c r="E91" s="62"/>
      <c r="F91" s="62"/>
      <c r="G91" s="139"/>
      <c r="H91" s="139"/>
      <c r="I91" s="62"/>
      <c r="J91" s="63"/>
      <c r="K91" s="62"/>
      <c r="L91" s="63"/>
      <c r="M91" s="62"/>
      <c r="N91" s="62"/>
    </row>
    <row r="92" spans="1:14">
      <c r="A92" s="58">
        <v>91</v>
      </c>
      <c r="B92" s="58"/>
      <c r="C92" s="63"/>
      <c r="D92" s="63"/>
      <c r="E92" s="62"/>
      <c r="F92" s="62"/>
      <c r="G92" s="139"/>
      <c r="H92" s="139"/>
      <c r="I92" s="62"/>
      <c r="J92" s="63"/>
      <c r="K92" s="62"/>
      <c r="L92" s="63"/>
      <c r="M92" s="62"/>
      <c r="N92" s="62"/>
    </row>
    <row r="93" spans="1:14">
      <c r="A93" s="59">
        <v>92</v>
      </c>
      <c r="B93" s="59"/>
      <c r="C93" s="63"/>
      <c r="D93" s="63"/>
      <c r="E93" s="62"/>
      <c r="F93" s="62"/>
      <c r="G93" s="139"/>
      <c r="H93" s="139"/>
      <c r="I93" s="62"/>
      <c r="J93" s="63"/>
      <c r="K93" s="62"/>
      <c r="L93" s="63"/>
      <c r="M93" s="62"/>
      <c r="N93" s="62"/>
    </row>
    <row r="94" spans="1:14">
      <c r="A94" s="58">
        <v>93</v>
      </c>
      <c r="B94" s="58"/>
      <c r="C94" s="63"/>
      <c r="D94" s="63"/>
      <c r="E94" s="62"/>
      <c r="F94" s="62"/>
      <c r="G94" s="139"/>
      <c r="H94" s="139"/>
      <c r="I94" s="62"/>
      <c r="J94" s="63"/>
      <c r="K94" s="62"/>
      <c r="L94" s="63"/>
      <c r="M94" s="62"/>
      <c r="N94" s="62"/>
    </row>
    <row r="95" spans="1:14">
      <c r="A95" s="59">
        <v>94</v>
      </c>
      <c r="B95" s="59"/>
      <c r="C95" s="63"/>
      <c r="D95" s="63"/>
      <c r="E95" s="62"/>
      <c r="F95" s="62"/>
      <c r="G95" s="139"/>
      <c r="H95" s="139"/>
      <c r="I95" s="62"/>
      <c r="J95" s="63"/>
      <c r="K95" s="62"/>
      <c r="L95" s="63"/>
      <c r="M95" s="62"/>
      <c r="N95" s="62"/>
    </row>
    <row r="96" spans="1:14">
      <c r="A96" s="58">
        <v>95</v>
      </c>
      <c r="B96" s="58"/>
      <c r="C96" s="63"/>
      <c r="D96" s="63"/>
      <c r="E96" s="62"/>
      <c r="F96" s="62"/>
      <c r="G96" s="139"/>
      <c r="H96" s="139"/>
      <c r="I96" s="62"/>
      <c r="J96" s="63"/>
      <c r="K96" s="62"/>
      <c r="L96" s="63"/>
      <c r="M96" s="62"/>
      <c r="N96" s="62"/>
    </row>
    <row r="97" spans="1:14">
      <c r="A97" s="59">
        <v>96</v>
      </c>
      <c r="B97" s="59"/>
      <c r="C97" s="63"/>
      <c r="D97" s="63"/>
      <c r="E97" s="62"/>
      <c r="F97" s="62"/>
      <c r="G97" s="139"/>
      <c r="H97" s="139"/>
      <c r="I97" s="62"/>
      <c r="J97" s="63"/>
      <c r="K97" s="62"/>
      <c r="L97" s="63"/>
      <c r="M97" s="62"/>
      <c r="N97" s="62"/>
    </row>
    <row r="98" spans="1:14">
      <c r="A98" s="58">
        <v>97</v>
      </c>
      <c r="B98" s="58"/>
      <c r="C98" s="63"/>
      <c r="D98" s="63"/>
      <c r="E98" s="62"/>
      <c r="F98" s="62"/>
      <c r="G98" s="139"/>
      <c r="H98" s="139"/>
      <c r="I98" s="62"/>
      <c r="J98" s="63"/>
      <c r="K98" s="62"/>
      <c r="L98" s="63"/>
      <c r="M98" s="62"/>
      <c r="N98" s="62"/>
    </row>
    <row r="99" spans="1:14">
      <c r="A99" s="59">
        <v>98</v>
      </c>
      <c r="B99" s="59"/>
      <c r="C99" s="63"/>
      <c r="D99" s="63"/>
      <c r="E99" s="62"/>
      <c r="F99" s="62"/>
      <c r="G99" s="139"/>
      <c r="H99" s="139"/>
      <c r="I99" s="62"/>
      <c r="J99" s="63"/>
      <c r="K99" s="62"/>
      <c r="L99" s="63"/>
      <c r="M99" s="62"/>
      <c r="N99" s="62"/>
    </row>
    <row r="100" spans="1:14">
      <c r="A100" s="59">
        <v>99</v>
      </c>
      <c r="B100" s="59"/>
      <c r="C100" s="63"/>
      <c r="D100" s="63"/>
      <c r="E100" s="62"/>
      <c r="F100" s="62"/>
      <c r="G100" s="139"/>
      <c r="H100" s="139"/>
      <c r="I100" s="62"/>
      <c r="J100" s="63"/>
      <c r="K100" s="62"/>
      <c r="L100" s="63"/>
      <c r="M100" s="62"/>
      <c r="N100" s="62"/>
    </row>
    <row r="1048576" spans="7:7">
      <c r="G1048576" s="139" t="s">
        <v>455</v>
      </c>
    </row>
  </sheetData>
  <autoFilter ref="A1:N100" xr:uid="{6882EA6D-4A1F-4FE6-8B72-CFCB9535306D}"/>
  <conditionalFormatting sqref="B6:B13">
    <cfRule type="expression" dxfId="59" priority="1" stopIfTrue="1">
      <formula>($G6="Fail")</formula>
    </cfRule>
    <cfRule type="expression" dxfId="58" priority="2" stopIfTrue="1">
      <formula>($G6="Pass")</formula>
    </cfRule>
  </conditionalFormatting>
  <conditionalFormatting sqref="B3:C5">
    <cfRule type="expression" dxfId="57" priority="3" stopIfTrue="1">
      <formula>($G3="Fail")</formula>
    </cfRule>
    <cfRule type="expression" dxfId="56" priority="4" stopIfTrue="1">
      <formula>($G3="Pass")</formula>
    </cfRule>
  </conditionalFormatting>
  <conditionalFormatting sqref="C6">
    <cfRule type="expression" dxfId="55" priority="31" stopIfTrue="1">
      <formula>($K6="Fail")</formula>
    </cfRule>
    <cfRule type="expression" dxfId="54" priority="32" stopIfTrue="1">
      <formula>($K6="Pass")</formula>
    </cfRule>
  </conditionalFormatting>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15"/>
  <cols>
    <col min="1" max="1" width="8.7109375" style="142" bestFit="1" customWidth="1"/>
    <col min="2" max="2" width="26.5703125" bestFit="1" customWidth="1"/>
    <col min="3" max="3" width="26.5703125" customWidth="1"/>
    <col min="4" max="4" width="26.5703125" style="142" customWidth="1"/>
    <col min="5" max="5" width="26.28515625" bestFit="1" customWidth="1"/>
    <col min="6" max="7" width="26.28515625" customWidth="1"/>
    <col min="8" max="8" width="6.85546875" bestFit="1" customWidth="1"/>
    <col min="9" max="13" width="7" bestFit="1" customWidth="1"/>
  </cols>
  <sheetData>
    <row r="2" spans="1:13">
      <c r="B2" s="37" t="s">
        <v>456</v>
      </c>
      <c r="C2" s="37"/>
      <c r="D2" s="148"/>
    </row>
    <row r="4" spans="1:13">
      <c r="C4" s="37"/>
    </row>
    <row r="5" spans="1:13">
      <c r="B5" s="37" t="s">
        <v>457</v>
      </c>
      <c r="C5" s="37"/>
      <c r="D5" s="148"/>
      <c r="E5" s="37" t="s">
        <v>458</v>
      </c>
      <c r="F5" s="37"/>
      <c r="G5" s="37"/>
      <c r="H5" s="37" t="s">
        <v>459</v>
      </c>
      <c r="I5" s="37" t="s">
        <v>460</v>
      </c>
      <c r="J5" s="37" t="s">
        <v>461</v>
      </c>
      <c r="K5" s="37" t="s">
        <v>462</v>
      </c>
      <c r="L5" s="37" t="s">
        <v>463</v>
      </c>
      <c r="M5" s="37" t="s">
        <v>464</v>
      </c>
    </row>
    <row r="6" spans="1:13" ht="52.5" hidden="1" customHeight="1">
      <c r="A6" s="143" t="s">
        <v>465</v>
      </c>
      <c r="B6" s="149" t="s">
        <v>466</v>
      </c>
      <c r="C6" s="37"/>
      <c r="D6" s="142" t="s">
        <v>465</v>
      </c>
      <c r="E6" s="150" t="s">
        <v>467</v>
      </c>
      <c r="G6" s="142" t="s">
        <v>465</v>
      </c>
      <c r="H6" s="150" t="s">
        <v>467</v>
      </c>
    </row>
    <row r="7" spans="1:13" ht="38.25" hidden="1" customHeight="1">
      <c r="A7" s="142" t="s">
        <v>468</v>
      </c>
      <c r="B7" s="150" t="s">
        <v>469</v>
      </c>
      <c r="C7" s="37"/>
      <c r="D7" s="142" t="s">
        <v>465</v>
      </c>
      <c r="E7" s="150" t="s">
        <v>470</v>
      </c>
      <c r="G7" s="142" t="s">
        <v>465</v>
      </c>
      <c r="H7" s="150" t="s">
        <v>470</v>
      </c>
    </row>
    <row r="8" spans="1:13" ht="54" hidden="1" customHeight="1">
      <c r="A8" s="142" t="s">
        <v>468</v>
      </c>
      <c r="B8" s="150" t="s">
        <v>471</v>
      </c>
      <c r="C8" s="37"/>
      <c r="D8" s="142" t="s">
        <v>465</v>
      </c>
      <c r="E8" s="150" t="s">
        <v>472</v>
      </c>
      <c r="G8" s="142" t="s">
        <v>465</v>
      </c>
      <c r="H8" s="150" t="s">
        <v>472</v>
      </c>
    </row>
    <row r="9" spans="1:13" ht="54" hidden="1" customHeight="1">
      <c r="A9" s="144" t="s">
        <v>473</v>
      </c>
      <c r="B9" s="151" t="s">
        <v>474</v>
      </c>
      <c r="C9" s="37"/>
      <c r="D9" s="142" t="s">
        <v>465</v>
      </c>
      <c r="E9" s="150" t="s">
        <v>475</v>
      </c>
      <c r="G9" s="142" t="s">
        <v>465</v>
      </c>
      <c r="H9" s="150" t="s">
        <v>475</v>
      </c>
    </row>
    <row r="10" spans="1:13" ht="54" hidden="1" customHeight="1">
      <c r="A10" s="144" t="s">
        <v>476</v>
      </c>
      <c r="B10" s="151" t="s">
        <v>477</v>
      </c>
      <c r="C10" s="37"/>
      <c r="D10" s="146" t="s">
        <v>478</v>
      </c>
      <c r="E10" s="152" t="s">
        <v>479</v>
      </c>
      <c r="H10" t="s">
        <v>480</v>
      </c>
    </row>
    <row r="11" spans="1:13" ht="54" hidden="1" customHeight="1">
      <c r="A11" s="144" t="s">
        <v>476</v>
      </c>
      <c r="B11" s="151" t="s">
        <v>481</v>
      </c>
      <c r="C11" s="37"/>
      <c r="D11" s="144" t="s">
        <v>465</v>
      </c>
      <c r="E11" s="151" t="s">
        <v>482</v>
      </c>
      <c r="H11" t="s">
        <v>483</v>
      </c>
    </row>
    <row r="12" spans="1:13" ht="28.5" hidden="1" customHeight="1">
      <c r="A12" s="144" t="s">
        <v>465</v>
      </c>
      <c r="B12" s="151" t="s">
        <v>484</v>
      </c>
      <c r="C12" s="37"/>
      <c r="D12" s="142" t="s">
        <v>476</v>
      </c>
      <c r="E12" s="150" t="s">
        <v>485</v>
      </c>
      <c r="G12" t="s">
        <v>476</v>
      </c>
      <c r="H12" s="150" t="s">
        <v>485</v>
      </c>
    </row>
    <row r="13" spans="1:13" ht="46.5" hidden="1" customHeight="1">
      <c r="A13" s="144" t="s">
        <v>476</v>
      </c>
      <c r="B13" s="151" t="s">
        <v>486</v>
      </c>
      <c r="C13" s="37"/>
      <c r="D13" s="142" t="s">
        <v>476</v>
      </c>
      <c r="E13" s="150" t="s">
        <v>487</v>
      </c>
      <c r="G13" t="s">
        <v>476</v>
      </c>
      <c r="H13" s="150" t="s">
        <v>487</v>
      </c>
    </row>
    <row r="14" spans="1:13" ht="53.25" hidden="1" customHeight="1">
      <c r="A14" s="144" t="s">
        <v>478</v>
      </c>
      <c r="B14" s="151" t="s">
        <v>488</v>
      </c>
      <c r="C14" s="37"/>
      <c r="D14" s="142" t="s">
        <v>476</v>
      </c>
      <c r="E14" s="150" t="s">
        <v>489</v>
      </c>
      <c r="G14" t="s">
        <v>476</v>
      </c>
      <c r="H14" s="150" t="s">
        <v>489</v>
      </c>
    </row>
    <row r="15" spans="1:13" ht="28.5" hidden="1" customHeight="1">
      <c r="A15" s="144" t="s">
        <v>478</v>
      </c>
      <c r="B15" s="151" t="s">
        <v>490</v>
      </c>
      <c r="C15" s="37"/>
      <c r="D15" s="142" t="s">
        <v>473</v>
      </c>
      <c r="E15" s="150" t="s">
        <v>491</v>
      </c>
      <c r="H15" t="s">
        <v>492</v>
      </c>
    </row>
    <row r="16" spans="1:13" ht="87" hidden="1" customHeight="1">
      <c r="A16" s="144" t="s">
        <v>465</v>
      </c>
      <c r="B16" s="151" t="s">
        <v>493</v>
      </c>
      <c r="C16" s="37"/>
      <c r="D16" s="144" t="s">
        <v>473</v>
      </c>
      <c r="E16" s="151" t="s">
        <v>494</v>
      </c>
      <c r="H16" t="s">
        <v>495</v>
      </c>
    </row>
    <row r="17" spans="1:9" ht="52.5" hidden="1" customHeight="1">
      <c r="A17" s="142" t="s">
        <v>465</v>
      </c>
      <c r="B17" s="150" t="s">
        <v>496</v>
      </c>
      <c r="C17" s="37"/>
      <c r="D17" s="144" t="s">
        <v>465</v>
      </c>
      <c r="E17" s="151" t="s">
        <v>497</v>
      </c>
      <c r="H17" t="s">
        <v>498</v>
      </c>
    </row>
    <row r="18" spans="1:9" ht="67.5" hidden="1" customHeight="1">
      <c r="A18" s="145" t="s">
        <v>499</v>
      </c>
      <c r="B18" s="150" t="s">
        <v>500</v>
      </c>
      <c r="C18" s="37"/>
      <c r="D18" s="144" t="s">
        <v>465</v>
      </c>
      <c r="E18" s="151" t="s">
        <v>501</v>
      </c>
      <c r="H18" t="s">
        <v>502</v>
      </c>
    </row>
    <row r="19" spans="1:9" ht="56.25" hidden="1" customHeight="1">
      <c r="A19" s="145" t="s">
        <v>503</v>
      </c>
      <c r="B19" s="150" t="s">
        <v>504</v>
      </c>
      <c r="C19" s="37"/>
      <c r="D19" s="144" t="s">
        <v>478</v>
      </c>
      <c r="E19" s="151" t="s">
        <v>505</v>
      </c>
      <c r="H19" t="s">
        <v>506</v>
      </c>
      <c r="I19" t="s">
        <v>507</v>
      </c>
    </row>
    <row r="20" spans="1:9" ht="56.25" hidden="1" customHeight="1">
      <c r="A20" s="144" t="s">
        <v>478</v>
      </c>
      <c r="B20" s="151" t="s">
        <v>508</v>
      </c>
      <c r="C20" s="37"/>
      <c r="D20" s="144" t="s">
        <v>478</v>
      </c>
      <c r="E20" s="151" t="s">
        <v>509</v>
      </c>
      <c r="H20" t="s">
        <v>510</v>
      </c>
      <c r="I20" t="s">
        <v>511</v>
      </c>
    </row>
    <row r="21" spans="1:9" ht="64.5" hidden="1" customHeight="1">
      <c r="A21" s="153" t="s">
        <v>512</v>
      </c>
      <c r="B21" s="151" t="s">
        <v>513</v>
      </c>
      <c r="C21" s="37"/>
      <c r="D21" s="144" t="s">
        <v>478</v>
      </c>
      <c r="E21" s="151" t="s">
        <v>514</v>
      </c>
      <c r="H21" t="s">
        <v>515</v>
      </c>
    </row>
    <row r="22" spans="1:9" ht="57.75" hidden="1" customHeight="1">
      <c r="A22" s="144" t="s">
        <v>478</v>
      </c>
      <c r="B22" s="151" t="s">
        <v>516</v>
      </c>
      <c r="C22" s="37"/>
      <c r="D22" s="144" t="s">
        <v>465</v>
      </c>
      <c r="E22" s="151" t="s">
        <v>517</v>
      </c>
      <c r="H22" t="s">
        <v>518</v>
      </c>
    </row>
    <row r="23" spans="1:9" ht="36" hidden="1" customHeight="1">
      <c r="A23" s="144" t="s">
        <v>519</v>
      </c>
      <c r="B23" s="151" t="s">
        <v>520</v>
      </c>
      <c r="C23" s="37"/>
      <c r="D23" s="144" t="s">
        <v>478</v>
      </c>
      <c r="E23" s="151" t="s">
        <v>521</v>
      </c>
      <c r="H23" t="s">
        <v>522</v>
      </c>
    </row>
    <row r="24" spans="1:9" ht="30.75" hidden="1" customHeight="1">
      <c r="A24" s="144" t="s">
        <v>519</v>
      </c>
      <c r="B24" s="151" t="s">
        <v>523</v>
      </c>
      <c r="C24" s="37"/>
      <c r="D24" s="144" t="s">
        <v>465</v>
      </c>
      <c r="E24" s="151" t="s">
        <v>524</v>
      </c>
      <c r="H24" t="s">
        <v>525</v>
      </c>
    </row>
    <row r="25" spans="1:9" ht="30.75" hidden="1" customHeight="1">
      <c r="A25" s="144" t="s">
        <v>519</v>
      </c>
      <c r="B25" s="151" t="s">
        <v>526</v>
      </c>
      <c r="C25" s="37"/>
      <c r="D25" s="144" t="s">
        <v>478</v>
      </c>
      <c r="E25" s="151" t="s">
        <v>527</v>
      </c>
      <c r="H25" t="s">
        <v>528</v>
      </c>
    </row>
    <row r="26" spans="1:9" ht="30.75" hidden="1" customHeight="1">
      <c r="A26" s="144" t="s">
        <v>519</v>
      </c>
      <c r="B26" s="151" t="s">
        <v>529</v>
      </c>
      <c r="C26" s="37"/>
      <c r="D26" s="142" t="s">
        <v>473</v>
      </c>
      <c r="E26" s="150" t="s">
        <v>530</v>
      </c>
      <c r="G26" t="s">
        <v>473</v>
      </c>
      <c r="H26" s="150" t="s">
        <v>530</v>
      </c>
    </row>
    <row r="27" spans="1:9" ht="32.25" hidden="1" customHeight="1">
      <c r="A27" s="144" t="s">
        <v>519</v>
      </c>
      <c r="B27" s="151" t="s">
        <v>531</v>
      </c>
      <c r="C27" s="37"/>
      <c r="D27" s="144" t="s">
        <v>476</v>
      </c>
      <c r="E27" s="151" t="s">
        <v>532</v>
      </c>
      <c r="H27" s="150"/>
    </row>
    <row r="28" spans="1:9" ht="27.75" customHeight="1">
      <c r="A28" s="144" t="s">
        <v>519</v>
      </c>
      <c r="B28" s="151" t="s">
        <v>533</v>
      </c>
      <c r="C28" s="37"/>
      <c r="D28" s="144" t="s">
        <v>519</v>
      </c>
      <c r="E28" s="151" t="s">
        <v>534</v>
      </c>
    </row>
    <row r="29" spans="1:9" ht="29.25" customHeight="1">
      <c r="A29" s="144" t="s">
        <v>535</v>
      </c>
      <c r="B29" s="151" t="s">
        <v>536</v>
      </c>
      <c r="C29" s="37"/>
      <c r="D29" s="144" t="s">
        <v>519</v>
      </c>
      <c r="E29" s="151" t="s">
        <v>537</v>
      </c>
    </row>
    <row r="30" spans="1:9" ht="33.75" customHeight="1">
      <c r="A30" s="144" t="s">
        <v>535</v>
      </c>
      <c r="B30" s="151" t="s">
        <v>538</v>
      </c>
      <c r="C30" s="37"/>
      <c r="D30" s="144" t="s">
        <v>519</v>
      </c>
      <c r="E30" s="151" t="s">
        <v>539</v>
      </c>
    </row>
    <row r="31" spans="1:9" ht="37.5" customHeight="1">
      <c r="A31" s="144" t="s">
        <v>535</v>
      </c>
      <c r="B31" s="151" t="s">
        <v>540</v>
      </c>
      <c r="C31" s="37"/>
      <c r="D31" s="144" t="s">
        <v>519</v>
      </c>
      <c r="E31" s="151" t="s">
        <v>541</v>
      </c>
    </row>
    <row r="32" spans="1:9" ht="30" customHeight="1">
      <c r="A32" s="144" t="s">
        <v>465</v>
      </c>
      <c r="B32" s="151" t="s">
        <v>542</v>
      </c>
      <c r="C32" s="37"/>
      <c r="D32" s="144" t="s">
        <v>519</v>
      </c>
      <c r="E32" s="151" t="s">
        <v>543</v>
      </c>
    </row>
    <row r="33" spans="1:8" ht="36.75" customHeight="1">
      <c r="A33" s="144" t="s">
        <v>465</v>
      </c>
      <c r="B33" s="151" t="s">
        <v>544</v>
      </c>
      <c r="C33" s="37"/>
      <c r="D33" s="144" t="s">
        <v>519</v>
      </c>
      <c r="E33" s="151" t="s">
        <v>545</v>
      </c>
    </row>
    <row r="34" spans="1:8" ht="31.5" customHeight="1">
      <c r="A34" s="142" t="s">
        <v>478</v>
      </c>
      <c r="B34" s="150" t="s">
        <v>546</v>
      </c>
      <c r="C34" s="37"/>
      <c r="D34" s="144" t="s">
        <v>519</v>
      </c>
      <c r="E34" s="151" t="s">
        <v>547</v>
      </c>
    </row>
    <row r="35" spans="1:8" ht="31.5" customHeight="1">
      <c r="B35" s="154"/>
      <c r="C35" s="37"/>
      <c r="D35" s="144" t="s">
        <v>519</v>
      </c>
      <c r="E35" s="151" t="s">
        <v>548</v>
      </c>
    </row>
    <row r="36" spans="1:8" ht="31.5" customHeight="1">
      <c r="C36" s="37"/>
      <c r="D36" s="144" t="s">
        <v>519</v>
      </c>
      <c r="E36" s="151" t="s">
        <v>549</v>
      </c>
    </row>
    <row r="37" spans="1:8" ht="31.5" customHeight="1">
      <c r="D37" s="142" t="s">
        <v>519</v>
      </c>
      <c r="E37" s="150" t="s">
        <v>550</v>
      </c>
      <c r="G37" t="s">
        <v>519</v>
      </c>
      <c r="H37" s="150" t="s">
        <v>550</v>
      </c>
    </row>
    <row r="38" spans="1:8" ht="31.5" customHeight="1">
      <c r="D38" s="144" t="s">
        <v>519</v>
      </c>
      <c r="E38" s="151" t="s">
        <v>551</v>
      </c>
    </row>
    <row r="39" spans="1:8" ht="31.5" customHeight="1">
      <c r="D39" s="142" t="s">
        <v>519</v>
      </c>
      <c r="E39" s="150" t="s">
        <v>552</v>
      </c>
      <c r="G39" t="s">
        <v>519</v>
      </c>
      <c r="H39" s="150" t="s">
        <v>552</v>
      </c>
    </row>
    <row r="40" spans="1:8" ht="31.5" customHeight="1">
      <c r="D40" s="142" t="s">
        <v>535</v>
      </c>
      <c r="E40" s="150" t="s">
        <v>553</v>
      </c>
      <c r="G40" t="s">
        <v>519</v>
      </c>
      <c r="H40" s="150" t="s">
        <v>553</v>
      </c>
    </row>
    <row r="41" spans="1:8" ht="31.5" customHeight="1">
      <c r="D41" s="142" t="s">
        <v>535</v>
      </c>
      <c r="E41" s="150" t="s">
        <v>554</v>
      </c>
      <c r="G41" t="s">
        <v>519</v>
      </c>
      <c r="H41" s="150" t="s">
        <v>554</v>
      </c>
    </row>
    <row r="42" spans="1:8" ht="31.5" customHeight="1">
      <c r="D42" s="142" t="s">
        <v>535</v>
      </c>
      <c r="E42" s="150" t="s">
        <v>555</v>
      </c>
      <c r="G42" t="s">
        <v>519</v>
      </c>
      <c r="H42" s="150" t="s">
        <v>555</v>
      </c>
    </row>
    <row r="43" spans="1:8" ht="31.5" customHeight="1">
      <c r="D43" s="142" t="s">
        <v>535</v>
      </c>
      <c r="E43" s="150" t="s">
        <v>556</v>
      </c>
      <c r="G43" t="s">
        <v>535</v>
      </c>
      <c r="H43" s="150" t="s">
        <v>556</v>
      </c>
    </row>
    <row r="44" spans="1:8" ht="31.5" customHeight="1">
      <c r="D44" s="142" t="s">
        <v>535</v>
      </c>
      <c r="E44" s="150" t="s">
        <v>557</v>
      </c>
      <c r="G44" t="s">
        <v>535</v>
      </c>
      <c r="H44" s="150" t="s">
        <v>557</v>
      </c>
    </row>
    <row r="45" spans="1:8" ht="31.5" customHeight="1">
      <c r="D45" s="142" t="s">
        <v>535</v>
      </c>
      <c r="E45" s="150" t="s">
        <v>558</v>
      </c>
      <c r="G45" t="s">
        <v>535</v>
      </c>
      <c r="H45" s="150" t="s">
        <v>558</v>
      </c>
    </row>
    <row r="46" spans="1:8" ht="31.5" customHeight="1">
      <c r="D46" s="142" t="s">
        <v>535</v>
      </c>
      <c r="E46" s="150" t="s">
        <v>559</v>
      </c>
      <c r="G46" t="s">
        <v>535</v>
      </c>
      <c r="H46" s="150" t="s">
        <v>559</v>
      </c>
    </row>
    <row r="47" spans="1:8" ht="39.6">
      <c r="D47" s="144" t="s">
        <v>473</v>
      </c>
      <c r="E47" s="151" t="s">
        <v>469</v>
      </c>
    </row>
    <row r="48" spans="1:8" ht="39.6">
      <c r="D48" s="144" t="s">
        <v>473</v>
      </c>
      <c r="E48" s="151" t="s">
        <v>471</v>
      </c>
    </row>
    <row r="49" spans="4:8" ht="74.25" customHeight="1">
      <c r="D49" s="144" t="s">
        <v>473</v>
      </c>
      <c r="E49" s="151" t="s">
        <v>560</v>
      </c>
    </row>
    <row r="50" spans="4:8" ht="53.25" customHeight="1">
      <c r="D50" s="144" t="s">
        <v>465</v>
      </c>
      <c r="E50" s="151" t="s">
        <v>561</v>
      </c>
    </row>
    <row r="51" spans="4:8" ht="30.75" customHeight="1">
      <c r="D51" s="144" t="s">
        <v>473</v>
      </c>
      <c r="E51" s="151" t="s">
        <v>562</v>
      </c>
    </row>
    <row r="52" spans="4:8" ht="26.45">
      <c r="D52" s="144" t="s">
        <v>478</v>
      </c>
      <c r="E52" s="155" t="s">
        <v>563</v>
      </c>
    </row>
    <row r="53" spans="4:8" ht="26.45">
      <c r="D53" s="144" t="s">
        <v>478</v>
      </c>
      <c r="E53" s="155" t="s">
        <v>564</v>
      </c>
    </row>
    <row r="54" spans="4:8" ht="27" customHeight="1">
      <c r="D54" s="142" t="s">
        <v>478</v>
      </c>
      <c r="E54" s="154" t="s">
        <v>565</v>
      </c>
      <c r="H54" s="154" t="s">
        <v>565</v>
      </c>
    </row>
    <row r="55" spans="4:8" ht="30.75" customHeight="1">
      <c r="D55" s="142" t="s">
        <v>478</v>
      </c>
      <c r="E55" s="154" t="s">
        <v>566</v>
      </c>
      <c r="H55" s="154" t="s">
        <v>566</v>
      </c>
    </row>
    <row r="56" spans="4:8" ht="30.75" customHeight="1">
      <c r="D56" s="142" t="s">
        <v>478</v>
      </c>
      <c r="E56" s="154" t="s">
        <v>567</v>
      </c>
      <c r="H56" s="154" t="s">
        <v>567</v>
      </c>
    </row>
    <row r="57" spans="4:8" ht="39.6">
      <c r="D57" s="144" t="s">
        <v>465</v>
      </c>
      <c r="E57" s="151" t="s">
        <v>568</v>
      </c>
    </row>
    <row r="58" spans="4:8" ht="26.45">
      <c r="D58" s="144" t="s">
        <v>476</v>
      </c>
      <c r="E58" s="151" t="s">
        <v>514</v>
      </c>
    </row>
    <row r="59" spans="4:8">
      <c r="D59" s="144" t="s">
        <v>473</v>
      </c>
      <c r="E59" s="141" t="s">
        <v>569</v>
      </c>
    </row>
    <row r="60" spans="4:8">
      <c r="D60" s="144" t="s">
        <v>473</v>
      </c>
      <c r="E60" s="141" t="s">
        <v>570</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AF131"/>
  <sheetViews>
    <sheetView workbookViewId="0">
      <selection activeCell="E44" sqref="E44"/>
    </sheetView>
  </sheetViews>
  <sheetFormatPr defaultRowHeight="13.15"/>
  <cols>
    <col min="2" max="2" width="20.5703125" customWidth="1"/>
    <col min="3" max="4" width="27" customWidth="1"/>
    <col min="7" max="7" width="13.85546875" customWidth="1"/>
    <col min="8" max="8" width="27.5703125" customWidth="1"/>
  </cols>
  <sheetData>
    <row r="1" spans="1:32" ht="39.6">
      <c r="A1" s="67" t="s">
        <v>52</v>
      </c>
      <c r="B1" s="68" t="s">
        <v>53</v>
      </c>
      <c r="C1" s="68" t="s">
        <v>54</v>
      </c>
      <c r="D1" s="68" t="s">
        <v>55</v>
      </c>
      <c r="E1" s="67" t="s">
        <v>56</v>
      </c>
      <c r="F1" s="69" t="s">
        <v>57</v>
      </c>
      <c r="G1" s="68" t="s">
        <v>58</v>
      </c>
      <c r="H1" s="70" t="s">
        <v>59</v>
      </c>
      <c r="I1" s="68" t="s">
        <v>571</v>
      </c>
      <c r="J1" s="68" t="s">
        <v>572</v>
      </c>
      <c r="K1" s="68" t="s">
        <v>573</v>
      </c>
      <c r="L1" s="68" t="s">
        <v>62</v>
      </c>
    </row>
    <row r="2" spans="1:32">
      <c r="A2" s="105"/>
      <c r="B2" s="77"/>
      <c r="C2" s="126"/>
      <c r="D2" s="83"/>
      <c r="E2" s="75"/>
      <c r="F2" s="109"/>
      <c r="G2" s="76"/>
      <c r="H2" s="127"/>
      <c r="I2" s="81"/>
      <c r="J2" s="62"/>
      <c r="K2" s="106"/>
      <c r="L2" s="62"/>
    </row>
    <row r="3" spans="1:32">
      <c r="A3" s="105"/>
      <c r="B3" s="77"/>
      <c r="C3" s="126"/>
      <c r="D3" s="83"/>
      <c r="E3" s="75"/>
      <c r="F3" s="109"/>
      <c r="G3" s="128"/>
      <c r="H3" s="129"/>
      <c r="I3" s="107"/>
      <c r="J3" s="62"/>
      <c r="K3" s="106"/>
      <c r="L3" s="62"/>
    </row>
    <row r="4" spans="1:32">
      <c r="A4" s="105"/>
      <c r="B4" s="77"/>
      <c r="C4" s="126"/>
      <c r="D4" s="83"/>
      <c r="E4" s="75"/>
      <c r="F4" s="109"/>
      <c r="G4" s="128"/>
      <c r="H4" s="129"/>
      <c r="I4" s="107"/>
      <c r="J4" s="62"/>
      <c r="K4" s="106"/>
      <c r="L4" s="62"/>
    </row>
    <row r="5" spans="1:32">
      <c r="A5" s="105"/>
      <c r="B5" s="77"/>
      <c r="C5" s="126"/>
      <c r="D5" s="83"/>
      <c r="E5" s="75"/>
      <c r="F5" s="109"/>
      <c r="G5" s="128"/>
      <c r="H5" s="129"/>
      <c r="I5" s="107"/>
      <c r="J5" s="62"/>
      <c r="K5" s="106"/>
      <c r="L5" s="62"/>
    </row>
    <row r="6" spans="1:32">
      <c r="A6" s="105"/>
      <c r="B6" s="77"/>
      <c r="C6" s="126"/>
      <c r="D6" s="83"/>
      <c r="E6" s="75"/>
      <c r="F6" s="109"/>
      <c r="G6" s="128"/>
      <c r="H6" s="129"/>
      <c r="I6" s="107"/>
      <c r="J6" s="62"/>
      <c r="K6" s="106"/>
      <c r="L6" s="62"/>
    </row>
    <row r="7" spans="1:32">
      <c r="A7" s="105"/>
      <c r="B7" s="77"/>
      <c r="C7" s="126"/>
      <c r="D7" s="83"/>
      <c r="E7" s="75"/>
      <c r="F7" s="109"/>
      <c r="G7" s="130"/>
      <c r="H7" s="129"/>
      <c r="I7" s="107"/>
      <c r="J7" s="62"/>
      <c r="K7" s="106"/>
      <c r="L7" s="62"/>
    </row>
    <row r="8" spans="1:32">
      <c r="A8" s="105"/>
      <c r="B8" s="77"/>
      <c r="C8" s="126"/>
      <c r="D8" s="83"/>
      <c r="E8" s="75"/>
      <c r="F8" s="109"/>
      <c r="G8" s="130"/>
      <c r="H8" s="129"/>
      <c r="I8" s="107"/>
      <c r="J8" s="62"/>
      <c r="K8" s="106"/>
      <c r="L8" s="62"/>
    </row>
    <row r="9" spans="1:32">
      <c r="A9" s="105"/>
      <c r="B9" s="77"/>
      <c r="C9" s="126"/>
      <c r="D9" s="83"/>
      <c r="E9" s="75"/>
      <c r="F9" s="109"/>
      <c r="G9" s="130"/>
      <c r="H9" s="129"/>
      <c r="I9" s="110"/>
      <c r="J9" s="62"/>
      <c r="K9" s="106"/>
      <c r="L9" s="62"/>
    </row>
    <row r="10" spans="1:32">
      <c r="A10" s="105"/>
      <c r="B10" s="77"/>
      <c r="C10" s="126"/>
      <c r="D10" s="83"/>
      <c r="E10" s="75"/>
      <c r="F10" s="75"/>
      <c r="G10" s="130"/>
      <c r="H10" s="129"/>
      <c r="I10" s="111"/>
      <c r="J10" s="62"/>
      <c r="K10" s="106"/>
      <c r="L10" s="62"/>
    </row>
    <row r="11" spans="1:32">
      <c r="A11" s="105"/>
      <c r="B11" s="77"/>
      <c r="C11" s="108"/>
      <c r="D11" s="83"/>
      <c r="E11" s="75"/>
      <c r="F11" s="75"/>
      <c r="G11" s="130"/>
      <c r="H11" s="129"/>
      <c r="I11" s="99"/>
      <c r="J11" s="62"/>
      <c r="K11" s="106"/>
      <c r="L11" s="62"/>
    </row>
    <row r="12" spans="1:32">
      <c r="A12" s="105"/>
      <c r="B12" s="77"/>
      <c r="C12" s="126"/>
      <c r="D12" s="83"/>
      <c r="E12" s="75"/>
      <c r="F12" s="109"/>
      <c r="G12" s="130"/>
      <c r="H12" s="129"/>
      <c r="I12" s="111"/>
      <c r="J12" s="62"/>
      <c r="K12" s="106"/>
      <c r="L12" s="62"/>
      <c r="AF12">
        <f>COUNTIF('Sheet 4'!$G$2:$G$41,Summary!AC12)</f>
        <v>0</v>
      </c>
    </row>
    <row r="13" spans="1:32">
      <c r="A13" s="105"/>
      <c r="B13" s="105"/>
      <c r="C13" s="108"/>
      <c r="D13" s="131"/>
      <c r="E13" s="75"/>
      <c r="F13" s="75"/>
      <c r="G13" s="130"/>
      <c r="H13" s="97"/>
      <c r="I13" s="107"/>
      <c r="J13" s="62"/>
      <c r="K13" s="106"/>
      <c r="L13" s="62"/>
    </row>
    <row r="14" spans="1:32">
      <c r="A14" s="105"/>
      <c r="B14" s="105"/>
      <c r="C14" s="108"/>
      <c r="D14" s="131"/>
      <c r="E14" s="75"/>
      <c r="F14" s="75"/>
      <c r="G14" s="130"/>
      <c r="H14" s="97"/>
      <c r="I14" s="111"/>
      <c r="J14" s="62"/>
      <c r="K14" s="106"/>
      <c r="L14" s="62"/>
    </row>
    <row r="15" spans="1:32">
      <c r="A15" s="105"/>
      <c r="B15" s="105"/>
      <c r="C15" s="108"/>
      <c r="D15" s="131"/>
      <c r="E15" s="75"/>
      <c r="F15" s="75"/>
      <c r="G15" s="130"/>
      <c r="H15" s="98"/>
      <c r="I15" s="107"/>
      <c r="J15" s="62"/>
      <c r="K15" s="106"/>
      <c r="L15" s="62"/>
    </row>
    <row r="16" spans="1:32">
      <c r="A16" s="105"/>
      <c r="B16" s="105"/>
      <c r="C16" s="108"/>
      <c r="D16" s="105"/>
      <c r="E16" s="75"/>
      <c r="F16" s="75"/>
      <c r="G16" s="130"/>
      <c r="H16" s="98"/>
      <c r="I16" s="111"/>
      <c r="J16" s="62"/>
      <c r="K16" s="106"/>
      <c r="L16" s="62"/>
    </row>
    <row r="17" spans="1:12">
      <c r="A17" s="105"/>
      <c r="B17" s="105"/>
      <c r="C17" s="108"/>
      <c r="D17" s="105"/>
      <c r="E17" s="75"/>
      <c r="F17" s="75"/>
      <c r="G17" s="130"/>
      <c r="H17" s="98"/>
      <c r="I17" s="111"/>
      <c r="J17" s="62"/>
      <c r="K17" s="106"/>
      <c r="L17" s="62"/>
    </row>
    <row r="18" spans="1:12">
      <c r="A18" s="105"/>
      <c r="B18" s="105"/>
      <c r="C18" s="108"/>
      <c r="D18" s="105"/>
      <c r="E18" s="75"/>
      <c r="F18" s="75"/>
      <c r="G18" s="130"/>
      <c r="H18" s="98"/>
      <c r="I18" s="100"/>
      <c r="J18" s="62"/>
      <c r="K18" s="106"/>
      <c r="L18" s="62"/>
    </row>
    <row r="19" spans="1:12">
      <c r="A19" s="105"/>
      <c r="B19" s="105"/>
      <c r="C19" s="108"/>
      <c r="D19" s="131"/>
      <c r="E19" s="75"/>
      <c r="F19" s="75"/>
      <c r="G19" s="130"/>
      <c r="H19" s="98"/>
      <c r="I19" s="111"/>
      <c r="J19" s="62"/>
      <c r="K19" s="106"/>
      <c r="L19" s="62"/>
    </row>
    <row r="20" spans="1:12">
      <c r="A20" s="105"/>
      <c r="B20" s="105"/>
      <c r="C20" s="108"/>
      <c r="D20" s="131"/>
      <c r="E20" s="75"/>
      <c r="F20" s="75"/>
      <c r="G20" s="130"/>
      <c r="H20" s="98"/>
      <c r="I20" s="111"/>
      <c r="J20" s="62"/>
      <c r="K20" s="106"/>
      <c r="L20" s="62"/>
    </row>
    <row r="21" spans="1:12">
      <c r="A21" s="105"/>
      <c r="B21" s="105"/>
      <c r="C21" s="104"/>
      <c r="D21" s="108"/>
      <c r="E21" s="119"/>
      <c r="F21" s="66"/>
      <c r="G21" s="52"/>
      <c r="H21" s="102"/>
      <c r="I21" s="63"/>
      <c r="J21" s="62"/>
      <c r="K21" s="62"/>
      <c r="L21" s="62"/>
    </row>
    <row r="22" spans="1:12">
      <c r="A22" s="105"/>
      <c r="B22" s="105"/>
      <c r="C22" s="104"/>
      <c r="D22" s="132"/>
      <c r="E22" s="119"/>
      <c r="F22" s="66"/>
      <c r="G22" s="52"/>
      <c r="H22" s="102"/>
      <c r="I22" s="63"/>
      <c r="J22" s="62"/>
      <c r="K22" s="62"/>
      <c r="L22" s="62"/>
    </row>
    <row r="23" spans="1:12">
      <c r="A23" s="105"/>
      <c r="B23" s="105"/>
      <c r="C23" s="104"/>
      <c r="D23" s="108"/>
      <c r="E23" s="119"/>
      <c r="F23" s="133"/>
      <c r="G23" s="52"/>
      <c r="H23" s="102"/>
      <c r="I23" s="63"/>
      <c r="J23" s="62"/>
      <c r="K23" s="62"/>
      <c r="L23" s="62"/>
    </row>
    <row r="24" spans="1:12">
      <c r="A24" s="105"/>
      <c r="B24" s="105"/>
      <c r="C24" s="104"/>
      <c r="D24" s="108"/>
      <c r="E24" s="119"/>
      <c r="F24" s="133"/>
      <c r="G24" s="52"/>
      <c r="H24" s="102"/>
      <c r="I24" s="63"/>
      <c r="J24" s="62"/>
      <c r="K24" s="62"/>
      <c r="L24" s="62"/>
    </row>
    <row r="25" spans="1:12">
      <c r="A25" s="105"/>
      <c r="B25" s="105"/>
      <c r="C25" s="104"/>
      <c r="D25" s="108"/>
      <c r="E25" s="119"/>
      <c r="F25" s="133"/>
      <c r="G25" s="52"/>
      <c r="H25" s="101"/>
      <c r="I25" s="63"/>
      <c r="J25" s="62"/>
      <c r="K25" s="62"/>
      <c r="L25" s="62"/>
    </row>
    <row r="26" spans="1:12">
      <c r="A26" s="105"/>
      <c r="B26" s="105"/>
      <c r="C26" s="104"/>
      <c r="D26" s="105"/>
      <c r="E26" s="120"/>
      <c r="F26" s="76"/>
      <c r="G26" s="52"/>
      <c r="H26" s="101"/>
      <c r="I26" s="63"/>
      <c r="J26" s="62"/>
      <c r="K26" s="62"/>
      <c r="L26" s="62"/>
    </row>
    <row r="27" spans="1:12">
      <c r="A27" s="105"/>
      <c r="B27" s="105"/>
      <c r="C27" s="104"/>
      <c r="D27" s="105"/>
      <c r="E27" s="120"/>
      <c r="F27" s="76"/>
      <c r="G27" s="52"/>
      <c r="H27" s="101"/>
      <c r="I27" s="63"/>
      <c r="J27" s="62"/>
      <c r="K27" s="62"/>
      <c r="L27" s="62"/>
    </row>
    <row r="28" spans="1:12">
      <c r="A28" s="105"/>
      <c r="B28" s="105"/>
      <c r="C28" s="104"/>
      <c r="D28" s="105"/>
      <c r="E28" s="120"/>
      <c r="F28" s="76"/>
      <c r="G28" s="52"/>
      <c r="H28" s="101"/>
      <c r="I28" s="63"/>
      <c r="J28" s="62"/>
      <c r="K28" s="62"/>
      <c r="L28" s="62"/>
    </row>
    <row r="29" spans="1:12">
      <c r="A29" s="105"/>
      <c r="B29" s="105"/>
      <c r="C29" s="104"/>
      <c r="D29" s="105"/>
      <c r="E29" s="120"/>
      <c r="F29" s="76"/>
      <c r="G29" s="52"/>
      <c r="H29" s="103"/>
      <c r="I29" s="63"/>
      <c r="J29" s="62"/>
      <c r="K29" s="62"/>
      <c r="L29" s="62"/>
    </row>
    <row r="30" spans="1:12">
      <c r="A30" s="105"/>
      <c r="B30" s="105"/>
      <c r="C30" s="104"/>
      <c r="D30" s="105"/>
      <c r="E30" s="120"/>
      <c r="F30" s="76"/>
      <c r="G30" s="52"/>
      <c r="H30" s="101"/>
      <c r="I30" s="63"/>
      <c r="J30" s="62"/>
      <c r="K30" s="62"/>
      <c r="L30" s="62"/>
    </row>
    <row r="31" spans="1:12">
      <c r="A31" s="105"/>
      <c r="B31" s="131"/>
      <c r="C31" s="104"/>
      <c r="D31" s="131"/>
      <c r="E31" s="120"/>
      <c r="F31" s="76"/>
      <c r="G31" s="52"/>
      <c r="H31" s="102"/>
      <c r="I31" s="63"/>
      <c r="J31" s="62"/>
      <c r="K31" s="62"/>
      <c r="L31" s="62"/>
    </row>
    <row r="32" spans="1:12">
      <c r="A32" s="105"/>
      <c r="B32" s="131"/>
      <c r="C32" s="104"/>
      <c r="D32" s="131"/>
      <c r="E32" s="120"/>
      <c r="F32" s="76"/>
      <c r="G32" s="52"/>
      <c r="H32" s="101"/>
      <c r="I32" s="63"/>
      <c r="J32" s="62"/>
      <c r="K32" s="62"/>
      <c r="L32" s="62"/>
    </row>
    <row r="33" spans="1:12">
      <c r="A33" s="105"/>
      <c r="B33" s="105"/>
      <c r="C33" s="104"/>
      <c r="D33" s="131"/>
      <c r="E33" s="120"/>
      <c r="F33" s="76"/>
      <c r="G33" s="52"/>
      <c r="H33" s="102"/>
      <c r="I33" s="63"/>
      <c r="J33" s="62"/>
      <c r="K33" s="62"/>
      <c r="L33" s="62"/>
    </row>
    <row r="34" spans="1:12">
      <c r="A34" s="105"/>
      <c r="B34" s="105"/>
      <c r="C34" s="104"/>
      <c r="D34" s="131"/>
      <c r="E34" s="120"/>
      <c r="F34" s="76"/>
      <c r="G34" s="52"/>
      <c r="H34" s="102"/>
      <c r="I34" s="63"/>
      <c r="J34" s="62"/>
      <c r="K34" s="62"/>
      <c r="L34" s="62"/>
    </row>
    <row r="35" spans="1:12">
      <c r="A35" s="105"/>
      <c r="B35" s="105"/>
      <c r="C35" s="104"/>
      <c r="D35" s="131"/>
      <c r="E35" s="120"/>
      <c r="F35" s="76"/>
      <c r="G35" s="52"/>
      <c r="H35" s="102"/>
      <c r="I35" s="63"/>
      <c r="J35" s="62"/>
      <c r="K35" s="62"/>
      <c r="L35" s="62"/>
    </row>
    <row r="36" spans="1:12">
      <c r="A36" s="105"/>
      <c r="B36" s="105"/>
      <c r="C36" s="104"/>
      <c r="D36" s="131"/>
      <c r="E36" s="75"/>
      <c r="F36" s="76"/>
      <c r="G36" s="52"/>
      <c r="H36" s="102"/>
      <c r="I36" s="63"/>
      <c r="J36" s="62"/>
      <c r="K36" s="62"/>
      <c r="L36" s="62"/>
    </row>
    <row r="37" spans="1:12">
      <c r="A37" s="105"/>
      <c r="B37" s="131"/>
      <c r="C37" s="104"/>
      <c r="D37" s="131"/>
      <c r="E37" s="75"/>
      <c r="F37" s="76"/>
      <c r="G37" s="52"/>
      <c r="H37" s="101"/>
      <c r="I37" s="63"/>
      <c r="J37" s="62"/>
      <c r="K37" s="62"/>
      <c r="L37" s="62"/>
    </row>
    <row r="38" spans="1:12">
      <c r="A38" s="105"/>
      <c r="B38" s="93"/>
      <c r="C38" s="104"/>
      <c r="D38" s="131"/>
      <c r="E38" s="52"/>
      <c r="F38" s="66"/>
      <c r="G38" s="52"/>
      <c r="H38" s="102"/>
      <c r="I38" s="63"/>
      <c r="J38" s="62"/>
      <c r="K38" s="62"/>
      <c r="L38" s="62"/>
    </row>
    <row r="39" spans="1:12">
      <c r="A39" s="105"/>
      <c r="B39" s="95"/>
      <c r="C39" s="104"/>
      <c r="D39" s="131"/>
      <c r="E39" s="52"/>
      <c r="F39" s="66"/>
      <c r="G39" s="52"/>
      <c r="H39" s="134"/>
      <c r="I39" s="63"/>
      <c r="J39" s="62"/>
      <c r="K39" s="62"/>
      <c r="L39" s="62"/>
    </row>
    <row r="40" spans="1:12">
      <c r="A40" s="105"/>
      <c r="B40" s="105"/>
      <c r="C40" s="104"/>
      <c r="D40" s="131"/>
      <c r="E40" s="75"/>
      <c r="F40" s="66"/>
      <c r="G40" s="52"/>
      <c r="H40" s="101"/>
      <c r="I40" s="63"/>
      <c r="J40" s="62"/>
      <c r="K40" s="62"/>
      <c r="L40" s="62"/>
    </row>
    <row r="41" spans="1:12">
      <c r="A41" s="105"/>
      <c r="B41" s="131"/>
      <c r="C41" s="104"/>
      <c r="D41" s="131"/>
      <c r="E41" s="52"/>
      <c r="F41" s="66"/>
      <c r="G41" s="52"/>
      <c r="H41" s="101"/>
      <c r="I41" s="63"/>
      <c r="J41" s="62"/>
      <c r="K41" s="62"/>
    </row>
    <row r="42" spans="1:12">
      <c r="A42" s="105"/>
      <c r="B42" s="77"/>
      <c r="C42" s="77"/>
      <c r="D42" s="108"/>
      <c r="E42" s="52"/>
      <c r="F42" s="66"/>
      <c r="G42" s="52"/>
      <c r="H42" s="101"/>
      <c r="I42" s="63"/>
      <c r="J42" s="62"/>
      <c r="K42" s="62"/>
      <c r="L42" s="62"/>
    </row>
    <row r="43" spans="1:12">
      <c r="A43" s="105"/>
      <c r="B43" s="77"/>
      <c r="C43" s="77"/>
      <c r="D43" s="108"/>
      <c r="E43" s="52"/>
      <c r="F43" s="66"/>
      <c r="G43" s="52"/>
      <c r="H43" s="101"/>
      <c r="I43" s="63"/>
      <c r="J43" s="62"/>
      <c r="K43" s="62"/>
      <c r="L43" s="62"/>
    </row>
    <row r="44" spans="1:12">
      <c r="A44" s="105"/>
      <c r="B44" s="77"/>
      <c r="C44" s="77"/>
      <c r="D44" s="108"/>
      <c r="E44" s="52"/>
      <c r="F44" s="133"/>
      <c r="G44" s="52"/>
      <c r="H44" s="156"/>
      <c r="I44" s="63"/>
      <c r="J44" s="62"/>
      <c r="K44" s="62"/>
      <c r="L44" s="62"/>
    </row>
    <row r="45" spans="1:12">
      <c r="A45" s="105"/>
      <c r="B45" s="77"/>
      <c r="C45" s="77"/>
      <c r="D45" s="108"/>
      <c r="E45" s="52"/>
      <c r="F45" s="133"/>
      <c r="G45" s="52"/>
      <c r="H45" s="101"/>
      <c r="I45" s="63"/>
      <c r="J45" s="62"/>
      <c r="K45" s="62"/>
      <c r="L45" s="62"/>
    </row>
    <row r="46" spans="1:12">
      <c r="A46" s="105"/>
      <c r="B46" s="77"/>
      <c r="C46" s="77"/>
      <c r="D46" s="108"/>
      <c r="E46" s="52"/>
      <c r="F46" s="133"/>
      <c r="G46" s="52"/>
      <c r="H46" s="101"/>
      <c r="I46" s="63"/>
      <c r="J46" s="62"/>
      <c r="K46" s="62"/>
      <c r="L46" s="106"/>
    </row>
    <row r="47" spans="1:12">
      <c r="A47" s="105"/>
      <c r="B47" s="77"/>
      <c r="C47" s="77"/>
      <c r="D47" s="105"/>
      <c r="E47" s="52"/>
      <c r="F47" s="76"/>
      <c r="G47" s="52"/>
      <c r="H47" s="101"/>
      <c r="I47" s="63"/>
      <c r="J47" s="62"/>
      <c r="K47" s="62"/>
      <c r="L47" s="106"/>
    </row>
    <row r="48" spans="1:12">
      <c r="A48" s="105"/>
      <c r="B48" s="105"/>
      <c r="C48" s="77"/>
      <c r="D48" s="105"/>
      <c r="E48" s="52"/>
      <c r="F48" s="76"/>
      <c r="G48" s="52"/>
      <c r="H48" s="101"/>
      <c r="I48" s="63"/>
      <c r="J48" s="62"/>
      <c r="K48" s="62"/>
      <c r="L48" s="106"/>
    </row>
    <row r="49" spans="1:12">
      <c r="A49" s="105"/>
      <c r="B49" s="105"/>
      <c r="C49" s="104"/>
      <c r="D49" s="105"/>
      <c r="E49" s="52"/>
      <c r="F49" s="76"/>
      <c r="G49" s="52"/>
      <c r="H49" s="101"/>
      <c r="I49" s="63"/>
      <c r="J49" s="62"/>
      <c r="K49" s="62"/>
      <c r="L49" s="106"/>
    </row>
    <row r="50" spans="1:12">
      <c r="A50" s="105"/>
      <c r="B50" s="105"/>
      <c r="C50" s="77"/>
      <c r="D50" s="105"/>
      <c r="E50" s="76"/>
      <c r="F50" s="76"/>
      <c r="G50" s="52"/>
      <c r="H50" s="101"/>
      <c r="I50" s="63"/>
      <c r="J50" s="62"/>
      <c r="K50" s="62"/>
      <c r="L50" s="106"/>
    </row>
    <row r="51" spans="1:12">
      <c r="A51" s="105"/>
      <c r="B51" s="105"/>
      <c r="C51" s="77"/>
      <c r="D51" s="105"/>
      <c r="E51" s="76"/>
      <c r="F51" s="76"/>
      <c r="G51" s="52"/>
      <c r="H51" s="101"/>
      <c r="I51" s="63"/>
      <c r="J51" s="62"/>
      <c r="K51" s="62"/>
      <c r="L51" s="106"/>
    </row>
    <row r="52" spans="1:12">
      <c r="A52" s="105"/>
      <c r="B52" s="105"/>
      <c r="C52" s="77"/>
      <c r="D52" s="105"/>
      <c r="E52" s="76"/>
      <c r="F52" s="76"/>
      <c r="G52" s="52"/>
      <c r="H52" s="101"/>
      <c r="I52" s="63"/>
      <c r="J52" s="62"/>
      <c r="K52" s="62"/>
      <c r="L52" s="106"/>
    </row>
    <row r="53" spans="1:12">
      <c r="A53" s="105"/>
      <c r="B53" s="131"/>
      <c r="C53" s="77"/>
      <c r="D53" s="131"/>
      <c r="E53" s="52"/>
      <c r="F53" s="76"/>
      <c r="G53" s="52"/>
      <c r="H53" s="101"/>
      <c r="I53" s="63"/>
      <c r="J53" s="62"/>
      <c r="K53" s="62"/>
      <c r="L53" s="106"/>
    </row>
    <row r="54" spans="1:12">
      <c r="A54" s="105"/>
      <c r="B54" s="131"/>
      <c r="C54" s="77"/>
      <c r="D54" s="131"/>
      <c r="E54" s="52"/>
      <c r="F54" s="76"/>
      <c r="G54" s="52"/>
      <c r="H54" s="101"/>
      <c r="I54" s="63"/>
      <c r="J54" s="62"/>
      <c r="K54" s="62"/>
      <c r="L54" s="106"/>
    </row>
    <row r="55" spans="1:12">
      <c r="A55" s="105"/>
      <c r="B55" s="77"/>
      <c r="C55" s="77"/>
      <c r="D55" s="131"/>
      <c r="E55" s="52"/>
      <c r="F55" s="76"/>
      <c r="G55" s="52"/>
      <c r="H55" s="101"/>
      <c r="I55" s="63"/>
      <c r="J55" s="62"/>
      <c r="K55" s="62"/>
      <c r="L55" s="106"/>
    </row>
    <row r="56" spans="1:12">
      <c r="A56" s="105"/>
      <c r="B56" s="131"/>
      <c r="C56" s="77"/>
      <c r="D56" s="131"/>
      <c r="E56" s="52"/>
      <c r="F56" s="76"/>
      <c r="G56" s="52"/>
      <c r="H56" s="101"/>
      <c r="I56" s="63"/>
      <c r="J56" s="62"/>
      <c r="K56" s="62"/>
      <c r="L56" s="106"/>
    </row>
    <row r="57" spans="1:12">
      <c r="A57" s="105"/>
      <c r="B57" s="93"/>
      <c r="C57" s="135"/>
      <c r="D57" s="131"/>
      <c r="E57" s="52"/>
      <c r="F57" s="76"/>
      <c r="G57" s="52"/>
      <c r="H57" s="101"/>
      <c r="I57" s="63"/>
      <c r="J57" s="62"/>
      <c r="K57" s="62"/>
      <c r="L57" s="106"/>
    </row>
    <row r="58" spans="1:12">
      <c r="A58" s="105"/>
      <c r="B58" s="95"/>
      <c r="C58" s="135"/>
      <c r="D58" s="131"/>
      <c r="E58" s="52"/>
      <c r="F58" s="76"/>
      <c r="G58" s="52"/>
      <c r="H58" s="101"/>
      <c r="I58" s="63"/>
      <c r="J58" s="62"/>
      <c r="K58" s="62"/>
      <c r="L58" s="106"/>
    </row>
    <row r="59" spans="1:12">
      <c r="A59" s="47"/>
      <c r="B59" s="50"/>
      <c r="C59" s="51"/>
      <c r="D59" s="51"/>
      <c r="E59" s="52"/>
      <c r="F59" s="66"/>
      <c r="G59" s="52"/>
      <c r="H59" s="64"/>
      <c r="I59" s="63"/>
      <c r="J59" s="62"/>
      <c r="K59" s="62"/>
      <c r="L59" s="106"/>
    </row>
    <row r="60" spans="1:12">
      <c r="A60" s="93"/>
      <c r="B60" s="93"/>
      <c r="C60" s="121"/>
      <c r="D60" s="122"/>
      <c r="E60" s="66"/>
      <c r="F60" s="66"/>
      <c r="G60" s="52"/>
      <c r="H60" s="101"/>
      <c r="I60" s="63"/>
      <c r="J60" s="62"/>
      <c r="K60" s="62"/>
      <c r="L60" s="106"/>
    </row>
    <row r="61" spans="1:12">
      <c r="A61" s="93"/>
      <c r="B61" s="93"/>
      <c r="C61" s="121"/>
      <c r="D61" s="122"/>
      <c r="E61" s="66"/>
      <c r="F61" s="66"/>
      <c r="G61" s="52"/>
      <c r="H61" s="101"/>
      <c r="I61" s="63"/>
      <c r="J61" s="62"/>
      <c r="K61" s="62"/>
      <c r="L61" s="106"/>
    </row>
    <row r="62" spans="1:12">
      <c r="A62" s="93"/>
      <c r="B62" s="93"/>
      <c r="C62" s="121"/>
      <c r="D62" s="122"/>
      <c r="E62" s="66"/>
      <c r="F62" s="66"/>
      <c r="G62" s="52"/>
      <c r="H62" s="101"/>
      <c r="I62" s="63"/>
      <c r="J62" s="62"/>
      <c r="K62" s="62"/>
      <c r="L62" s="106"/>
    </row>
    <row r="63" spans="1:12">
      <c r="A63" s="93"/>
      <c r="B63" s="93"/>
      <c r="C63" s="121"/>
      <c r="D63" s="122"/>
      <c r="E63" s="66"/>
      <c r="F63" s="66"/>
      <c r="G63" s="52"/>
      <c r="H63" s="101"/>
      <c r="I63" s="63"/>
      <c r="J63" s="62"/>
      <c r="K63" s="62"/>
      <c r="L63" s="106"/>
    </row>
    <row r="64" spans="1:12">
      <c r="A64" s="95"/>
      <c r="B64" s="95"/>
      <c r="C64" s="123"/>
      <c r="D64" s="124"/>
      <c r="E64" s="66"/>
      <c r="F64" s="66"/>
      <c r="G64" s="52"/>
      <c r="H64" s="101"/>
      <c r="I64" s="63"/>
      <c r="J64" s="62"/>
      <c r="K64" s="62"/>
      <c r="L64" s="106"/>
    </row>
    <row r="65" spans="1:12">
      <c r="A65" s="93"/>
      <c r="B65" s="93"/>
      <c r="C65" s="121"/>
      <c r="D65" s="121"/>
      <c r="E65" s="66"/>
      <c r="F65" s="66"/>
      <c r="G65" s="52"/>
      <c r="H65" s="101"/>
      <c r="I65" s="63"/>
      <c r="J65" s="62"/>
      <c r="K65" s="62"/>
      <c r="L65" s="106"/>
    </row>
    <row r="66" spans="1:12">
      <c r="A66" s="93"/>
      <c r="B66" s="93"/>
      <c r="C66" s="121"/>
      <c r="D66" s="121"/>
      <c r="E66" s="66"/>
      <c r="F66" s="66"/>
      <c r="G66" s="52"/>
      <c r="H66" s="101"/>
      <c r="I66" s="63"/>
      <c r="J66" s="62"/>
      <c r="K66" s="62"/>
      <c r="L66" s="106"/>
    </row>
    <row r="67" spans="1:12">
      <c r="A67" s="93"/>
      <c r="B67" s="93"/>
      <c r="C67" s="121"/>
      <c r="D67" s="121"/>
      <c r="E67" s="66"/>
      <c r="F67" s="66"/>
      <c r="G67" s="52"/>
      <c r="H67" s="101"/>
      <c r="I67" s="63"/>
      <c r="J67" s="62"/>
      <c r="K67" s="62"/>
      <c r="L67" s="106"/>
    </row>
    <row r="68" spans="1:12">
      <c r="A68" s="93"/>
      <c r="B68" s="93"/>
      <c r="C68" s="121"/>
      <c r="D68" s="121"/>
      <c r="E68" s="66"/>
      <c r="F68" s="66"/>
      <c r="G68" s="52"/>
      <c r="H68" s="101"/>
      <c r="I68" s="63"/>
      <c r="J68" s="62"/>
      <c r="K68" s="62"/>
      <c r="L68" s="106"/>
    </row>
    <row r="69" spans="1:12">
      <c r="A69" s="93"/>
      <c r="B69" s="93"/>
      <c r="C69" s="121"/>
      <c r="D69" s="121"/>
      <c r="E69" s="66"/>
      <c r="F69" s="66"/>
      <c r="G69" s="52"/>
      <c r="H69" s="101"/>
      <c r="I69" s="63"/>
      <c r="J69" s="62"/>
      <c r="K69" s="62"/>
      <c r="L69" s="106"/>
    </row>
    <row r="70" spans="1:12">
      <c r="A70" s="105"/>
      <c r="B70" s="136"/>
      <c r="C70" s="125"/>
      <c r="D70" s="135"/>
      <c r="E70" s="66"/>
      <c r="F70" s="66"/>
      <c r="G70" s="52"/>
      <c r="H70" s="101"/>
      <c r="I70" s="63"/>
      <c r="J70" s="62"/>
      <c r="K70" s="62"/>
      <c r="L70" s="106"/>
    </row>
    <row r="71" spans="1:12">
      <c r="A71" s="105"/>
      <c r="B71" s="77"/>
      <c r="C71" s="86"/>
      <c r="D71" s="83"/>
      <c r="E71" s="75"/>
      <c r="F71" s="109"/>
      <c r="G71" s="75"/>
      <c r="H71" s="96"/>
      <c r="I71" s="79"/>
      <c r="J71" s="62"/>
      <c r="K71" s="106"/>
      <c r="L71" s="106"/>
    </row>
    <row r="72" spans="1:12">
      <c r="A72" s="105"/>
      <c r="B72" s="77"/>
      <c r="C72" s="86"/>
      <c r="D72" s="83"/>
      <c r="E72" s="75"/>
      <c r="F72" s="109"/>
      <c r="G72" s="75"/>
      <c r="H72" s="96"/>
      <c r="I72" s="79"/>
      <c r="J72" s="62"/>
      <c r="K72" s="106"/>
      <c r="L72" s="106"/>
    </row>
    <row r="73" spans="1:12">
      <c r="A73" s="105"/>
      <c r="B73" s="77"/>
      <c r="C73" s="86"/>
      <c r="D73" s="83"/>
      <c r="E73" s="75"/>
      <c r="F73" s="109"/>
      <c r="G73" s="75"/>
      <c r="H73" s="96"/>
      <c r="I73" s="79"/>
      <c r="J73" s="62"/>
      <c r="K73" s="106"/>
      <c r="L73" s="106"/>
    </row>
    <row r="74" spans="1:12">
      <c r="A74" s="105"/>
      <c r="B74" s="77"/>
      <c r="C74" s="86"/>
      <c r="D74" s="83"/>
      <c r="E74" s="75"/>
      <c r="F74" s="109"/>
      <c r="G74" s="75"/>
      <c r="H74" s="96"/>
      <c r="I74" s="79"/>
      <c r="J74" s="62"/>
      <c r="K74" s="106"/>
      <c r="L74" s="106"/>
    </row>
    <row r="75" spans="1:12">
      <c r="A75" s="105"/>
      <c r="B75" s="77"/>
      <c r="C75" s="86"/>
      <c r="D75" s="83"/>
      <c r="E75" s="75"/>
      <c r="F75" s="109"/>
      <c r="G75" s="75"/>
      <c r="H75" s="96"/>
      <c r="I75" s="79"/>
      <c r="J75" s="62"/>
      <c r="K75" s="106"/>
      <c r="L75" s="106"/>
    </row>
    <row r="76" spans="1:12">
      <c r="A76" s="105"/>
      <c r="B76" s="77"/>
      <c r="C76" s="108"/>
      <c r="D76" s="83"/>
      <c r="E76" s="76"/>
      <c r="F76" s="112"/>
      <c r="G76" s="75"/>
      <c r="H76" s="96"/>
      <c r="I76" s="113"/>
      <c r="J76" s="62"/>
      <c r="K76" s="106"/>
      <c r="L76" s="106"/>
    </row>
    <row r="77" spans="1:12">
      <c r="A77" s="105"/>
      <c r="B77" s="77"/>
      <c r="C77" s="86"/>
      <c r="D77" s="83"/>
      <c r="E77" s="75"/>
      <c r="F77" s="109"/>
      <c r="G77" s="75"/>
      <c r="H77" s="96"/>
      <c r="I77" s="79"/>
      <c r="J77" s="62"/>
      <c r="K77" s="106"/>
      <c r="L77" s="106"/>
    </row>
    <row r="78" spans="1:12">
      <c r="A78" s="105"/>
      <c r="B78" s="77"/>
      <c r="C78" s="86"/>
      <c r="D78" s="83"/>
      <c r="E78" s="75"/>
      <c r="F78" s="109"/>
      <c r="G78" s="75"/>
      <c r="H78" s="114"/>
      <c r="I78" s="77"/>
      <c r="J78" s="62"/>
      <c r="K78" s="106"/>
      <c r="L78" s="106"/>
    </row>
    <row r="79" spans="1:12">
      <c r="A79" s="105"/>
      <c r="B79" s="77"/>
      <c r="C79" s="108"/>
      <c r="D79" s="85"/>
      <c r="E79" s="115"/>
      <c r="F79" s="116"/>
      <c r="G79" s="115"/>
      <c r="H79" s="96"/>
      <c r="I79" s="106"/>
      <c r="J79" s="62"/>
      <c r="K79" s="106"/>
      <c r="L79" s="106"/>
    </row>
    <row r="80" spans="1:12">
      <c r="A80" s="105"/>
      <c r="B80" s="77"/>
      <c r="C80" s="108"/>
      <c r="D80" s="83"/>
      <c r="E80" s="76"/>
      <c r="F80" s="112"/>
      <c r="G80" s="75"/>
      <c r="H80" s="96"/>
      <c r="I80" s="106"/>
      <c r="J80" s="62"/>
      <c r="K80" s="106"/>
      <c r="L80" s="106"/>
    </row>
    <row r="81" spans="1:12">
      <c r="A81" s="105"/>
      <c r="B81" s="77"/>
      <c r="C81" s="108"/>
      <c r="D81" s="83"/>
      <c r="E81" s="75"/>
      <c r="F81" s="109"/>
      <c r="G81" s="75"/>
      <c r="H81" s="96"/>
      <c r="I81" s="80"/>
      <c r="J81" s="62"/>
      <c r="K81" s="106"/>
      <c r="L81" s="106"/>
    </row>
    <row r="82" spans="1:12">
      <c r="A82" s="105"/>
      <c r="B82" s="77"/>
      <c r="C82" s="86"/>
      <c r="D82" s="83"/>
      <c r="E82" s="75"/>
      <c r="F82" s="109"/>
      <c r="G82" s="75"/>
      <c r="H82" s="96"/>
      <c r="I82" s="87"/>
      <c r="J82" s="62"/>
      <c r="K82" s="106"/>
      <c r="L82" s="106"/>
    </row>
    <row r="83" spans="1:12">
      <c r="A83" s="105"/>
      <c r="B83" s="77"/>
      <c r="C83" s="108"/>
      <c r="D83" s="83"/>
      <c r="E83" s="75"/>
      <c r="F83" s="109"/>
      <c r="G83" s="75"/>
      <c r="H83" s="96"/>
      <c r="I83" s="113"/>
      <c r="J83" s="62"/>
      <c r="K83" s="106"/>
      <c r="L83" s="106"/>
    </row>
    <row r="84" spans="1:12">
      <c r="A84" s="105"/>
      <c r="B84" s="77"/>
      <c r="C84" s="86"/>
      <c r="D84" s="83"/>
      <c r="E84" s="75"/>
      <c r="F84" s="109"/>
      <c r="G84" s="75"/>
      <c r="H84" s="101"/>
      <c r="I84" s="81"/>
      <c r="J84" s="62"/>
      <c r="K84" s="106"/>
      <c r="L84" s="106"/>
    </row>
    <row r="85" spans="1:12">
      <c r="A85" s="105"/>
      <c r="B85" s="77"/>
      <c r="C85" s="108"/>
      <c r="D85" s="83"/>
      <c r="E85" s="75"/>
      <c r="F85" s="109"/>
      <c r="G85" s="75"/>
      <c r="H85" s="96"/>
      <c r="I85" s="113"/>
      <c r="J85" s="62"/>
      <c r="K85" s="106"/>
      <c r="L85" s="106"/>
    </row>
    <row r="86" spans="1:12">
      <c r="A86" s="105"/>
      <c r="B86" s="77"/>
      <c r="C86" s="108"/>
      <c r="D86" s="83"/>
      <c r="E86" s="76"/>
      <c r="F86" s="112"/>
      <c r="G86" s="75"/>
      <c r="H86" s="96"/>
      <c r="I86" s="106"/>
      <c r="J86" s="62"/>
      <c r="K86" s="106"/>
      <c r="L86" s="106"/>
    </row>
    <row r="87" spans="1:12">
      <c r="A87" s="105"/>
      <c r="B87" s="77"/>
      <c r="C87" s="108"/>
      <c r="D87" s="83"/>
      <c r="E87" s="76"/>
      <c r="F87" s="112"/>
      <c r="G87" s="75"/>
      <c r="H87" s="96"/>
      <c r="I87" s="106"/>
      <c r="J87" s="62"/>
      <c r="K87" s="106"/>
      <c r="L87" s="106"/>
    </row>
    <row r="88" spans="1:12">
      <c r="A88" s="105"/>
      <c r="B88" s="77"/>
      <c r="C88" s="86"/>
      <c r="D88" s="83"/>
      <c r="E88" s="75"/>
      <c r="F88" s="109"/>
      <c r="G88" s="75"/>
      <c r="H88" s="101"/>
      <c r="I88" s="81"/>
      <c r="J88" s="62"/>
      <c r="K88" s="106"/>
      <c r="L88" s="106"/>
    </row>
    <row r="89" spans="1:12">
      <c r="A89" s="105"/>
      <c r="B89" s="77"/>
      <c r="C89" s="108"/>
      <c r="D89" s="83"/>
      <c r="E89" s="75"/>
      <c r="F89" s="109"/>
      <c r="G89" s="75"/>
      <c r="H89" s="88"/>
      <c r="I89" s="113"/>
      <c r="J89" s="62"/>
      <c r="K89" s="106"/>
      <c r="L89" s="106"/>
    </row>
    <row r="90" spans="1:12">
      <c r="A90" s="105"/>
      <c r="B90" s="77"/>
      <c r="C90" s="86"/>
      <c r="D90" s="83"/>
      <c r="E90" s="75"/>
      <c r="F90" s="109"/>
      <c r="G90" s="75"/>
      <c r="H90" s="96"/>
      <c r="I90" s="106"/>
      <c r="J90" s="62"/>
      <c r="K90" s="106"/>
      <c r="L90" s="106"/>
    </row>
    <row r="91" spans="1:12">
      <c r="A91" s="105"/>
      <c r="B91" s="77"/>
      <c r="C91" s="86"/>
      <c r="D91" s="83"/>
      <c r="E91" s="75"/>
      <c r="F91" s="109"/>
      <c r="G91" s="75"/>
      <c r="H91" s="96"/>
      <c r="I91" s="106"/>
      <c r="J91" s="62"/>
      <c r="K91" s="106"/>
      <c r="L91" s="106"/>
    </row>
    <row r="92" spans="1:12">
      <c r="A92" s="105"/>
      <c r="B92" s="77"/>
      <c r="C92" s="86"/>
      <c r="D92" s="83"/>
      <c r="E92" s="75"/>
      <c r="F92" s="109"/>
      <c r="G92" s="75"/>
      <c r="H92" s="96"/>
      <c r="I92" s="106"/>
      <c r="J92" s="62"/>
      <c r="K92" s="106"/>
      <c r="L92" s="106"/>
    </row>
    <row r="93" spans="1:12">
      <c r="A93" s="105"/>
      <c r="B93" s="77"/>
      <c r="C93" s="108"/>
      <c r="D93" s="83"/>
      <c r="E93" s="75"/>
      <c r="F93" s="109"/>
      <c r="G93" s="75"/>
      <c r="H93" s="96"/>
      <c r="I93" s="106"/>
      <c r="J93" s="62"/>
      <c r="K93" s="106"/>
      <c r="L93" s="106"/>
    </row>
    <row r="94" spans="1:12">
      <c r="A94" s="105"/>
      <c r="B94" s="77"/>
      <c r="C94" s="2"/>
      <c r="D94" s="83"/>
      <c r="E94" s="75"/>
      <c r="F94" s="109"/>
      <c r="G94" s="75"/>
      <c r="H94" s="89"/>
      <c r="I94" s="79"/>
      <c r="J94" s="106"/>
      <c r="K94" s="106"/>
      <c r="L94" s="106"/>
    </row>
    <row r="95" spans="1:12">
      <c r="A95" s="105"/>
      <c r="B95" s="77"/>
      <c r="C95" s="86"/>
      <c r="D95" s="83"/>
      <c r="E95" s="75"/>
      <c r="F95" s="109"/>
      <c r="G95" s="75"/>
      <c r="H95" s="101"/>
      <c r="I95" s="81"/>
      <c r="J95" s="62"/>
      <c r="K95" s="106"/>
      <c r="L95" s="106"/>
    </row>
    <row r="96" spans="1:12">
      <c r="A96" s="105"/>
      <c r="B96" s="77"/>
      <c r="C96" s="86"/>
      <c r="D96" s="83"/>
      <c r="E96" s="75"/>
      <c r="F96" s="109"/>
      <c r="G96" s="75"/>
      <c r="H96" s="101"/>
      <c r="I96" s="81"/>
      <c r="J96" s="62"/>
      <c r="K96" s="106"/>
      <c r="L96" s="106"/>
    </row>
    <row r="97" spans="1:12">
      <c r="A97" s="105"/>
      <c r="B97" s="77"/>
      <c r="C97" s="108"/>
      <c r="D97" s="83"/>
      <c r="E97" s="75"/>
      <c r="F97" s="109"/>
      <c r="G97" s="75"/>
      <c r="H97" s="114"/>
      <c r="I97" s="113"/>
      <c r="J97" s="62"/>
      <c r="K97" s="106"/>
      <c r="L97" s="106"/>
    </row>
    <row r="98" spans="1:12">
      <c r="A98" s="105"/>
      <c r="B98" s="77"/>
      <c r="C98" s="86"/>
      <c r="D98" s="85"/>
      <c r="E98" s="115"/>
      <c r="F98" s="116"/>
      <c r="G98" s="115"/>
      <c r="H98" s="96"/>
      <c r="I98" s="80"/>
      <c r="J98" s="62"/>
      <c r="K98" s="106"/>
      <c r="L98" s="106"/>
    </row>
    <row r="99" spans="1:12">
      <c r="A99" s="105"/>
      <c r="B99" s="77"/>
      <c r="C99" s="108"/>
      <c r="D99" s="83"/>
      <c r="E99" s="75"/>
      <c r="F99" s="109"/>
      <c r="G99" s="75"/>
      <c r="H99" s="96"/>
      <c r="I99" s="113"/>
      <c r="J99" s="62"/>
      <c r="K99" s="106"/>
      <c r="L99" s="106"/>
    </row>
    <row r="100" spans="1:12">
      <c r="A100" s="105"/>
      <c r="B100" s="77"/>
      <c r="C100" s="86"/>
      <c r="D100" s="83"/>
      <c r="E100" s="75"/>
      <c r="F100" s="109"/>
      <c r="G100" s="75"/>
      <c r="H100" s="96"/>
      <c r="I100" s="106"/>
      <c r="J100" s="62"/>
      <c r="K100" s="106"/>
      <c r="L100" s="106"/>
    </row>
    <row r="101" spans="1:12">
      <c r="A101" s="105"/>
      <c r="B101" s="77"/>
      <c r="C101" s="86"/>
      <c r="D101" s="83"/>
      <c r="E101" s="75"/>
      <c r="F101" s="109"/>
      <c r="G101" s="75"/>
      <c r="H101" s="96"/>
      <c r="I101" s="106"/>
      <c r="J101" s="62"/>
      <c r="K101" s="106"/>
      <c r="L101" s="106"/>
    </row>
    <row r="102" spans="1:12">
      <c r="A102" s="105"/>
      <c r="B102" s="77"/>
      <c r="C102" s="86"/>
      <c r="D102" s="83"/>
      <c r="E102" s="75"/>
      <c r="F102" s="109"/>
      <c r="G102" s="75"/>
      <c r="H102" s="96"/>
      <c r="I102" s="106"/>
      <c r="J102" s="62"/>
      <c r="K102" s="106"/>
      <c r="L102" s="106"/>
    </row>
    <row r="103" spans="1:12">
      <c r="A103" s="105"/>
      <c r="B103" s="77"/>
      <c r="C103" s="86"/>
      <c r="D103" s="83"/>
      <c r="E103" s="75"/>
      <c r="F103" s="109"/>
      <c r="G103" s="75"/>
      <c r="H103" s="96"/>
      <c r="I103" s="106"/>
      <c r="J103" s="62"/>
      <c r="K103" s="106"/>
      <c r="L103" s="106"/>
    </row>
    <row r="104" spans="1:12">
      <c r="A104" s="105"/>
      <c r="B104" s="77"/>
      <c r="C104" s="86"/>
      <c r="D104" s="83"/>
      <c r="E104" s="75"/>
      <c r="F104" s="109"/>
      <c r="G104" s="75"/>
      <c r="H104" s="96"/>
      <c r="I104" s="106"/>
      <c r="J104" s="62"/>
      <c r="K104" s="106"/>
      <c r="L104" s="106"/>
    </row>
    <row r="105" spans="1:12">
      <c r="A105" s="105"/>
      <c r="B105" s="77"/>
      <c r="C105" s="86"/>
      <c r="D105" s="83"/>
      <c r="E105" s="75"/>
      <c r="F105" s="109"/>
      <c r="G105" s="75"/>
      <c r="H105" s="96"/>
      <c r="I105" s="79"/>
      <c r="J105" s="62"/>
      <c r="K105" s="106"/>
      <c r="L105" s="106"/>
    </row>
    <row r="106" spans="1:12">
      <c r="A106" s="105"/>
      <c r="B106" s="77"/>
      <c r="C106" s="86"/>
      <c r="D106" s="83"/>
      <c r="E106" s="75"/>
      <c r="F106" s="109"/>
      <c r="G106" s="75"/>
      <c r="H106" s="96"/>
      <c r="I106" s="113"/>
      <c r="J106" s="62"/>
      <c r="K106" s="106"/>
      <c r="L106" s="106"/>
    </row>
    <row r="107" spans="1:12">
      <c r="A107" s="105"/>
      <c r="B107" s="77"/>
      <c r="C107" s="108"/>
      <c r="D107" s="83"/>
      <c r="E107" s="75"/>
      <c r="F107" s="109"/>
      <c r="G107" s="75"/>
      <c r="H107" s="96"/>
      <c r="I107" s="106"/>
      <c r="J107" s="62"/>
      <c r="K107" s="106"/>
      <c r="L107" s="106"/>
    </row>
    <row r="108" spans="1:12">
      <c r="A108" s="105"/>
      <c r="B108" s="77"/>
      <c r="C108" s="108"/>
      <c r="D108" s="83"/>
      <c r="E108" s="75"/>
      <c r="F108" s="109"/>
      <c r="G108" s="75"/>
      <c r="H108" s="96"/>
      <c r="I108" s="106"/>
      <c r="J108" s="62"/>
      <c r="K108" s="106"/>
      <c r="L108" s="106"/>
    </row>
    <row r="109" spans="1:12">
      <c r="A109" s="105"/>
      <c r="B109" s="77"/>
      <c r="C109" s="108"/>
      <c r="D109" s="83"/>
      <c r="E109" s="75"/>
      <c r="F109" s="109"/>
      <c r="G109" s="75"/>
      <c r="H109" s="96"/>
      <c r="I109" s="106"/>
      <c r="J109" s="62"/>
      <c r="K109" s="106"/>
      <c r="L109" s="106"/>
    </row>
    <row r="110" spans="1:12">
      <c r="A110" s="105"/>
      <c r="B110" s="77"/>
      <c r="C110" s="108"/>
      <c r="D110" s="83"/>
      <c r="E110" s="75"/>
      <c r="F110" s="109"/>
      <c r="G110" s="75"/>
      <c r="H110" s="96"/>
      <c r="I110" s="106"/>
      <c r="J110" s="62"/>
      <c r="K110" s="106"/>
      <c r="L110" s="106"/>
    </row>
    <row r="111" spans="1:12">
      <c r="A111" s="105"/>
      <c r="B111" s="77"/>
      <c r="C111" s="108"/>
      <c r="D111" s="83"/>
      <c r="E111" s="75"/>
      <c r="F111" s="109"/>
      <c r="G111" s="75"/>
      <c r="H111" s="96"/>
      <c r="I111" s="106"/>
      <c r="J111" s="62"/>
      <c r="K111" s="106"/>
      <c r="L111" s="106"/>
    </row>
    <row r="112" spans="1:12">
      <c r="A112" s="105"/>
      <c r="B112" s="77"/>
      <c r="C112" s="108"/>
      <c r="D112" s="83"/>
      <c r="E112" s="75"/>
      <c r="F112" s="109"/>
      <c r="G112" s="75"/>
      <c r="H112" s="96"/>
      <c r="I112" s="80"/>
      <c r="J112" s="62"/>
      <c r="K112" s="106"/>
      <c r="L112" s="106"/>
    </row>
    <row r="113" spans="1:12">
      <c r="A113" s="105"/>
      <c r="B113" s="77"/>
      <c r="C113" s="86"/>
      <c r="D113" s="83"/>
      <c r="E113" s="75"/>
      <c r="F113" s="109"/>
      <c r="G113" s="75"/>
      <c r="H113" s="96"/>
      <c r="I113" s="113"/>
      <c r="J113" s="62"/>
      <c r="K113" s="106"/>
      <c r="L113" s="106"/>
    </row>
    <row r="114" spans="1:12">
      <c r="A114" s="105"/>
      <c r="B114" s="77"/>
      <c r="C114" s="2"/>
      <c r="D114" s="83"/>
      <c r="E114" s="75"/>
      <c r="F114" s="109"/>
      <c r="G114" s="75"/>
      <c r="H114" s="96"/>
      <c r="I114" s="79"/>
      <c r="J114" s="62"/>
      <c r="K114" s="106"/>
      <c r="L114" s="106"/>
    </row>
    <row r="115" spans="1:12">
      <c r="A115" s="105"/>
      <c r="B115" s="77"/>
      <c r="C115" s="86"/>
      <c r="D115" s="83"/>
      <c r="E115" s="75"/>
      <c r="F115" s="109"/>
      <c r="G115" s="75"/>
      <c r="H115" s="96"/>
      <c r="I115" s="79"/>
      <c r="J115" s="62"/>
      <c r="K115" s="106"/>
      <c r="L115" s="106"/>
    </row>
    <row r="116" spans="1:12">
      <c r="A116" s="105"/>
      <c r="B116" s="77"/>
      <c r="C116" s="2"/>
      <c r="D116" s="83"/>
      <c r="E116" s="75"/>
      <c r="F116" s="109"/>
      <c r="G116" s="75"/>
      <c r="H116" s="96"/>
      <c r="I116" s="79"/>
      <c r="J116" s="62"/>
      <c r="K116" s="106"/>
      <c r="L116" s="106"/>
    </row>
    <row r="117" spans="1:12">
      <c r="A117" s="105"/>
      <c r="B117" s="77"/>
      <c r="C117" s="86"/>
      <c r="D117" s="83"/>
      <c r="E117" s="75"/>
      <c r="F117" s="109"/>
      <c r="G117" s="75"/>
      <c r="H117" s="96"/>
      <c r="I117" s="113"/>
      <c r="J117" s="62"/>
      <c r="K117" s="106"/>
      <c r="L117" s="106"/>
    </row>
    <row r="118" spans="1:12">
      <c r="A118" s="105"/>
      <c r="B118" s="77"/>
      <c r="C118" s="86"/>
      <c r="D118" s="83"/>
      <c r="E118" s="75"/>
      <c r="F118" s="109"/>
      <c r="G118" s="75"/>
      <c r="H118" s="96"/>
      <c r="I118" s="79"/>
      <c r="J118" s="62"/>
      <c r="K118" s="106"/>
      <c r="L118" s="106"/>
    </row>
    <row r="119" spans="1:12">
      <c r="A119" s="105"/>
      <c r="B119" s="77"/>
      <c r="C119" s="86"/>
      <c r="D119" s="83"/>
      <c r="E119" s="75"/>
      <c r="F119" s="109"/>
      <c r="G119" s="75"/>
      <c r="H119" s="96"/>
      <c r="I119" s="79"/>
      <c r="J119" s="106"/>
      <c r="K119" s="106"/>
      <c r="L119" s="106"/>
    </row>
    <row r="120" spans="1:12">
      <c r="A120" s="105"/>
      <c r="B120" s="77"/>
      <c r="C120" s="86"/>
      <c r="D120" s="83"/>
      <c r="E120" s="75"/>
      <c r="F120" s="109"/>
      <c r="G120" s="75"/>
      <c r="H120" s="96"/>
      <c r="I120" s="113"/>
      <c r="J120" s="106"/>
      <c r="K120" s="106"/>
      <c r="L120" s="106"/>
    </row>
    <row r="121" spans="1:12">
      <c r="A121" s="105"/>
      <c r="B121" s="77"/>
      <c r="C121" s="86"/>
      <c r="D121" s="90"/>
      <c r="E121" s="76"/>
      <c r="F121" s="76"/>
      <c r="G121" s="91"/>
      <c r="H121" s="114"/>
      <c r="I121" s="106"/>
      <c r="J121" s="106"/>
      <c r="K121" s="106"/>
      <c r="L121" s="106"/>
    </row>
    <row r="122" spans="1:12">
      <c r="A122" s="105"/>
      <c r="B122" s="77"/>
      <c r="C122" s="86"/>
      <c r="D122" s="85"/>
      <c r="E122" s="115"/>
      <c r="F122" s="116"/>
      <c r="G122" s="115"/>
      <c r="H122" s="96"/>
      <c r="I122" s="106"/>
      <c r="J122" s="106"/>
      <c r="K122" s="106"/>
      <c r="L122" s="106"/>
    </row>
    <row r="123" spans="1:12">
      <c r="A123" s="105"/>
      <c r="B123" s="77"/>
      <c r="C123" s="86"/>
      <c r="D123" s="90"/>
      <c r="E123" s="76"/>
      <c r="F123" s="76"/>
      <c r="G123" s="91"/>
      <c r="H123" s="114"/>
      <c r="I123" s="106"/>
      <c r="J123" s="106"/>
      <c r="K123" s="106"/>
      <c r="L123" s="106"/>
    </row>
    <row r="124" spans="1:12">
      <c r="A124" s="105"/>
      <c r="B124" s="77"/>
      <c r="C124" s="86"/>
      <c r="D124" s="85"/>
      <c r="E124" s="115"/>
      <c r="F124" s="116"/>
      <c r="G124" s="115"/>
      <c r="H124" s="96"/>
      <c r="I124" s="106"/>
      <c r="J124" s="106"/>
      <c r="K124" s="106"/>
      <c r="L124" s="106"/>
    </row>
    <row r="125" spans="1:12">
      <c r="A125" s="105"/>
      <c r="B125" s="77"/>
      <c r="C125" s="86"/>
      <c r="D125" s="83"/>
      <c r="E125" s="75"/>
      <c r="F125" s="109"/>
      <c r="G125" s="75"/>
      <c r="H125" s="96"/>
      <c r="I125" s="106"/>
      <c r="J125" s="106"/>
      <c r="K125" s="106"/>
      <c r="L125" s="106"/>
    </row>
    <row r="126" spans="1:12">
      <c r="A126" s="105"/>
      <c r="B126" s="77"/>
      <c r="C126" s="86"/>
      <c r="D126" s="83"/>
      <c r="E126" s="75"/>
      <c r="F126" s="109"/>
      <c r="G126" s="75"/>
      <c r="H126" s="96"/>
      <c r="I126" s="106"/>
      <c r="J126" s="106"/>
      <c r="K126" s="106"/>
      <c r="L126" s="106"/>
    </row>
    <row r="127" spans="1:12">
      <c r="A127" s="105"/>
      <c r="B127" s="77"/>
      <c r="C127" s="86"/>
      <c r="D127" s="83"/>
      <c r="E127" s="75"/>
      <c r="F127" s="109"/>
      <c r="G127" s="75"/>
      <c r="H127" s="96"/>
      <c r="I127" s="106"/>
      <c r="J127" s="106"/>
      <c r="K127" s="106"/>
      <c r="L127" s="106"/>
    </row>
    <row r="128" spans="1:12">
      <c r="A128" s="105"/>
      <c r="B128" s="77"/>
      <c r="C128" s="86"/>
      <c r="D128" s="83"/>
      <c r="E128" s="75"/>
      <c r="F128" s="109"/>
      <c r="G128" s="75"/>
      <c r="H128" s="96"/>
      <c r="I128" s="106"/>
      <c r="J128" s="106"/>
      <c r="K128" s="106"/>
      <c r="L128" s="106"/>
    </row>
    <row r="129" spans="1:12">
      <c r="A129" s="105"/>
      <c r="B129" s="77"/>
      <c r="C129" s="86"/>
      <c r="D129" s="83"/>
      <c r="E129" s="75"/>
      <c r="F129" s="109"/>
      <c r="G129" s="75"/>
      <c r="H129" s="96"/>
      <c r="I129" s="106"/>
      <c r="J129" s="106"/>
      <c r="K129" s="106"/>
      <c r="L129" s="106"/>
    </row>
    <row r="130" spans="1:12">
      <c r="A130" s="105"/>
      <c r="B130" s="77"/>
      <c r="C130" s="2"/>
      <c r="D130" s="83"/>
      <c r="E130" s="75"/>
      <c r="F130" s="109"/>
      <c r="G130" s="75"/>
      <c r="H130" s="96"/>
      <c r="I130" s="87"/>
      <c r="J130" s="106"/>
      <c r="K130" s="106"/>
      <c r="L130" s="106"/>
    </row>
    <row r="131" spans="1:12">
      <c r="A131" s="105"/>
      <c r="B131" s="77"/>
      <c r="C131" s="86"/>
      <c r="D131" s="83"/>
      <c r="E131" s="75"/>
      <c r="F131" s="109"/>
      <c r="G131" s="75"/>
      <c r="H131" s="96"/>
      <c r="I131" s="113"/>
      <c r="J131" s="106"/>
      <c r="K131" s="106"/>
      <c r="L131" s="106"/>
    </row>
  </sheetData>
  <conditionalFormatting sqref="A38:A41">
    <cfRule type="expression" dxfId="53" priority="37" stopIfTrue="1">
      <formula>($G38="Fail")</formula>
    </cfRule>
    <cfRule type="expression" dxfId="52" priority="38" stopIfTrue="1">
      <formula>($G38="Pass")</formula>
    </cfRule>
  </conditionalFormatting>
  <conditionalFormatting sqref="A42:B43 B44:D52 A44:A58 D53:D56 C57:D58">
    <cfRule type="expression" dxfId="51" priority="55" stopIfTrue="1">
      <formula>($G42="Fail")</formula>
    </cfRule>
    <cfRule type="expression" dxfId="50" priority="56" stopIfTrue="1">
      <formula>($G42="Pass")</formula>
    </cfRule>
  </conditionalFormatting>
  <conditionalFormatting sqref="A60:D65 C66:D66 A66:A131 B67:D68 C69:D70">
    <cfRule type="expression" dxfId="49" priority="39" stopIfTrue="1">
      <formula>($G60="Fail")</formula>
    </cfRule>
    <cfRule type="expression" dxfId="48" priority="40" stopIfTrue="1">
      <formula>($G60="Pass")</formula>
    </cfRule>
  </conditionalFormatting>
  <conditionalFormatting sqref="A21:G37">
    <cfRule type="expression" dxfId="47" priority="1" stopIfTrue="1">
      <formula>($G21="Fail")</formula>
    </cfRule>
    <cfRule type="expression" dxfId="46" priority="2" stopIfTrue="1">
      <formula>($G21="Pass")</formula>
    </cfRule>
  </conditionalFormatting>
  <conditionalFormatting sqref="A59:G59">
    <cfRule type="expression" dxfId="45" priority="3" stopIfTrue="1">
      <formula>($G59="Fail")</formula>
    </cfRule>
    <cfRule type="expression" dxfId="44" priority="4" stopIfTrue="1">
      <formula>($G59="Pass")</formula>
    </cfRule>
  </conditionalFormatting>
  <conditionalFormatting sqref="B13">
    <cfRule type="expression" dxfId="43" priority="85" stopIfTrue="1">
      <formula>($G13="Fail")</formula>
    </cfRule>
    <cfRule type="expression" dxfId="42" priority="86" stopIfTrue="1">
      <formula>($G13="Pass")</formula>
    </cfRule>
    <cfRule type="expression" dxfId="41" priority="87" stopIfTrue="1">
      <formula>($G13="Fail")</formula>
    </cfRule>
    <cfRule type="expression" dxfId="40" priority="88" stopIfTrue="1">
      <formula>($G13="Pass")</formula>
    </cfRule>
  </conditionalFormatting>
  <conditionalFormatting sqref="B13:B15">
    <cfRule type="expression" dxfId="39" priority="79" stopIfTrue="1">
      <formula>($G13="Fail")</formula>
    </cfRule>
    <cfRule type="expression" dxfId="38" priority="80" stopIfTrue="1">
      <formula>($G13="Pass")</formula>
    </cfRule>
  </conditionalFormatting>
  <conditionalFormatting sqref="B13:B20">
    <cfRule type="expression" dxfId="37" priority="95" stopIfTrue="1">
      <formula>($G13="Fail")</formula>
    </cfRule>
    <cfRule type="expression" dxfId="36" priority="96" stopIfTrue="1">
      <formula>($G13="Pass")</formula>
    </cfRule>
  </conditionalFormatting>
  <conditionalFormatting sqref="B53:B58">
    <cfRule type="expression" dxfId="35" priority="45" stopIfTrue="1">
      <formula>($G53="Fail")</formula>
    </cfRule>
    <cfRule type="expression" dxfId="34" priority="46" stopIfTrue="1">
      <formula>($G53="Pass")</formula>
    </cfRule>
  </conditionalFormatting>
  <conditionalFormatting sqref="B66">
    <cfRule type="expression" dxfId="33" priority="41" stopIfTrue="1">
      <formula>($G69="Fail")</formula>
    </cfRule>
    <cfRule type="expression" dxfId="32" priority="42" stopIfTrue="1">
      <formula>($G69="Pass")</formula>
    </cfRule>
  </conditionalFormatting>
  <conditionalFormatting sqref="B69">
    <cfRule type="expression" dxfId="31" priority="9" stopIfTrue="1">
      <formula>($G69="Fail")</formula>
    </cfRule>
    <cfRule type="expression" dxfId="30" priority="10" stopIfTrue="1">
      <formula>($G69="Pass")</formula>
    </cfRule>
  </conditionalFormatting>
  <conditionalFormatting sqref="B38:C39">
    <cfRule type="expression" dxfId="29" priority="63" stopIfTrue="1">
      <formula>($G38="Fail")</formula>
    </cfRule>
    <cfRule type="expression" dxfId="28" priority="64" stopIfTrue="1">
      <formula>($G38="Pass")</formula>
    </cfRule>
  </conditionalFormatting>
  <conditionalFormatting sqref="B41:C41">
    <cfRule type="expression" dxfId="27" priority="31" stopIfTrue="1">
      <formula>($G41="Fail")</formula>
    </cfRule>
    <cfRule type="expression" dxfId="26" priority="32" stopIfTrue="1">
      <formula>($G41="Pass")</formula>
    </cfRule>
  </conditionalFormatting>
  <conditionalFormatting sqref="B40:F40">
    <cfRule type="expression" dxfId="25" priority="19" stopIfTrue="1">
      <formula>($G40="Fail")</formula>
    </cfRule>
    <cfRule type="expression" dxfId="24" priority="20" stopIfTrue="1">
      <formula>($G40="Pass")</formula>
    </cfRule>
  </conditionalFormatting>
  <conditionalFormatting sqref="C42">
    <cfRule type="expression" dxfId="23" priority="53" stopIfTrue="1">
      <formula>($G40="Fail")</formula>
    </cfRule>
    <cfRule type="expression" dxfId="22" priority="54" stopIfTrue="1">
      <formula>($G40="Pass")</formula>
    </cfRule>
  </conditionalFormatting>
  <conditionalFormatting sqref="C43">
    <cfRule type="expression" dxfId="21" priority="51" stopIfTrue="1">
      <formula>($G42="Fail")</formula>
    </cfRule>
    <cfRule type="expression" dxfId="20" priority="52" stopIfTrue="1">
      <formula>($G42="Pass")</formula>
    </cfRule>
  </conditionalFormatting>
  <conditionalFormatting sqref="C53">
    <cfRule type="expression" dxfId="19" priority="49" stopIfTrue="1">
      <formula>($G53="Fail")</formula>
    </cfRule>
    <cfRule type="expression" dxfId="18" priority="50" stopIfTrue="1">
      <formula>($G53="Pass")</formula>
    </cfRule>
  </conditionalFormatting>
  <conditionalFormatting sqref="C54">
    <cfRule type="expression" dxfId="17" priority="57" stopIfTrue="1">
      <formula>($G53="Fail")</formula>
    </cfRule>
    <cfRule type="expression" dxfId="16" priority="58" stopIfTrue="1">
      <formula>($G53="Pass")</formula>
    </cfRule>
  </conditionalFormatting>
  <conditionalFormatting sqref="C56">
    <cfRule type="expression" dxfId="15" priority="47" stopIfTrue="1">
      <formula>($G56="Fail")</formula>
    </cfRule>
    <cfRule type="expression" dxfId="14" priority="48" stopIfTrue="1">
      <formula>($G56="Pass")</formula>
    </cfRule>
  </conditionalFormatting>
  <conditionalFormatting sqref="D41:D43">
    <cfRule type="expression" dxfId="13" priority="17" stopIfTrue="1">
      <formula>($G41="Fail")</formula>
    </cfRule>
    <cfRule type="expression" dxfId="12" priority="18" stopIfTrue="1">
      <formula>($G41="Pass")</formula>
    </cfRule>
  </conditionalFormatting>
  <conditionalFormatting sqref="D38:F38">
    <cfRule type="expression" dxfId="11" priority="29" stopIfTrue="1">
      <formula>($G38="Fail")</formula>
    </cfRule>
    <cfRule type="expression" dxfId="10" priority="30" stopIfTrue="1">
      <formula>($G38="Pass")</formula>
    </cfRule>
  </conditionalFormatting>
  <conditionalFormatting sqref="E42:G58">
    <cfRule type="expression" dxfId="9" priority="5" stopIfTrue="1">
      <formula>($G42="Fail")</formula>
    </cfRule>
    <cfRule type="expression" dxfId="8" priority="6" stopIfTrue="1">
      <formula>($G42="Pass")</formula>
    </cfRule>
  </conditionalFormatting>
  <conditionalFormatting sqref="E60:G70">
    <cfRule type="expression" dxfId="7" priority="11" stopIfTrue="1">
      <formula>($G60="Fail")</formula>
    </cfRule>
    <cfRule type="expression" dxfId="6" priority="12" stopIfTrue="1">
      <formula>($G60="Pass")</formula>
    </cfRule>
  </conditionalFormatting>
  <conditionalFormatting sqref="G2:G6 A2:A20 D13:D20">
    <cfRule type="expression" dxfId="5" priority="103" stopIfTrue="1">
      <formula>($G2="Fail")</formula>
    </cfRule>
    <cfRule type="expression" dxfId="4" priority="104" stopIfTrue="1">
      <formula>($G2="Pass")</formula>
    </cfRule>
  </conditionalFormatting>
  <conditionalFormatting sqref="G38:G41">
    <cfRule type="expression" dxfId="3" priority="21" stopIfTrue="1">
      <formula>($G38="Fail")</formula>
    </cfRule>
    <cfRule type="expression" dxfId="2" priority="22" stopIfTrue="1">
      <formula>($G38="Pass")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59" stopIfTrue="1" id="{18021B9E-2512-4986-95CD-91ABA9A402B4}">
            <xm:f>(Sheet3!#REF!="Fail")</xm:f>
            <x14:dxf>
              <fill>
                <patternFill>
                  <bgColor rgb="FFFF0000"/>
                </patternFill>
              </fill>
            </x14:dxf>
          </x14:cfRule>
          <x14:cfRule type="expression" priority="60" stopIfTrue="1" id="{C9E56EB7-AAD6-4BF0-AD7D-EEBA03EAACB6}">
            <xm:f>(Sheet3!#REF!="Pass")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1c5625b-3a44-4de3-ad34-97e03664a27e">
      <Terms xmlns="http://schemas.microsoft.com/office/infopath/2007/PartnerControls"/>
    </lcf76f155ced4ddcb4097134ff3c332f>
    <TaxCatchAll xmlns="acd394c2-8f83-4a16-a5f5-44f1e7d9c709" xsi:nil="true"/>
    <Articleorder xmlns="51c5625b-3a44-4de3-ad34-97e03664a27e" xsi:nil="true"/>
    <Createddate xmlns="51c5625b-3a44-4de3-ad34-97e03664a27e" xsi:nil="true"/>
    <OfficialMarking xmlns="51c5625b-3a44-4de3-ad34-97e03664a27e" xsi:nil="true"/>
    <retainuntil xmlns="51c5625b-3a44-4de3-ad34-97e03664a27e" xsi:nil="true"/>
    <Internal_Version xmlns="51c5625b-3a44-4de3-ad34-97e03664a27e">1</Internal_Version>
    <_Flow_SignoffStatus xmlns="51c5625b-3a44-4de3-ad34-97e03664a27e" xsi:nil="true"/>
    <Synopsis xmlns="51c5625b-3a44-4de3-ad34-97e03664a27e" xsi:nil="true"/>
    <Descriptionofdocument xmlns="51c5625b-3a44-4de3-ad34-97e03664a27e" xsi:nil="true"/>
    <Current xmlns="51c5625b-3a44-4de3-ad34-97e03664a27e">false</Current>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90BF00E28681448C21099A1732BDD9" ma:contentTypeVersion="31" ma:contentTypeDescription="Create a new document." ma:contentTypeScope="" ma:versionID="5c61badb3d564545967a9acf1c31fb37">
  <xsd:schema xmlns:xsd="http://www.w3.org/2001/XMLSchema" xmlns:xs="http://www.w3.org/2001/XMLSchema" xmlns:p="http://schemas.microsoft.com/office/2006/metadata/properties" xmlns:ns2="51c5625b-3a44-4de3-ad34-97e03664a27e" xmlns:ns3="acd394c2-8f83-4a16-a5f5-44f1e7d9c709" targetNamespace="http://schemas.microsoft.com/office/2006/metadata/properties" ma:root="true" ma:fieldsID="3a368be5863852f9b98b4b493515ca61" ns2:_="" ns3:_="">
    <xsd:import namespace="51c5625b-3a44-4de3-ad34-97e03664a27e"/>
    <xsd:import namespace="acd394c2-8f83-4a16-a5f5-44f1e7d9c709"/>
    <xsd:element name="properties">
      <xsd:complexType>
        <xsd:sequence>
          <xsd:element name="documentManagement">
            <xsd:complexType>
              <xsd:all>
                <xsd:element ref="ns2:Synopsis" minOccurs="0"/>
                <xsd:element ref="ns2:_Flow_SignoffStatus" minOccurs="0"/>
                <xsd:element ref="ns2:Descriptionofdocument" minOccurs="0"/>
                <xsd:element ref="ns2:Createddate" minOccurs="0"/>
                <xsd:element ref="ns2:Articleorder" minOccurs="0"/>
                <xsd:element ref="ns2:OfficialMarking"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Metadata" minOccurs="0"/>
                <xsd:element ref="ns2:MediaServiceFastMetadata" minOccurs="0"/>
                <xsd:element ref="ns2:retainuntil" minOccurs="0"/>
                <xsd:element ref="ns2:MediaServiceBillingMetadata" minOccurs="0"/>
                <xsd:element ref="ns2:Internal_Version" minOccurs="0"/>
                <xsd:element ref="ns2:Curr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5625b-3a44-4de3-ad34-97e03664a27e" elementFormDefault="qualified">
    <xsd:import namespace="http://schemas.microsoft.com/office/2006/documentManagement/types"/>
    <xsd:import namespace="http://schemas.microsoft.com/office/infopath/2007/PartnerControls"/>
    <xsd:element name="Synopsis" ma:index="3" nillable="true" ma:displayName="Synopsis" ma:description="briefly describe the content of this file, author and date" ma:format="Dropdown" ma:internalName="Synopsis" ma:readOnly="false">
      <xsd:simpleType>
        <xsd:restriction base="dms:Note">
          <xsd:maxLength value="255"/>
        </xsd:restriction>
      </xsd:simpleType>
    </xsd:element>
    <xsd:element name="_Flow_SignoffStatus" ma:index="4" nillable="true" ma:displayName="Sign-off status" ma:internalName="Sign_x002d_off_x0020_status" ma:readOnly="false">
      <xsd:simpleType>
        <xsd:restriction base="dms:Text"/>
      </xsd:simpleType>
    </xsd:element>
    <xsd:element name="Descriptionofdocument" ma:index="5" nillable="true" ma:displayName="Description of document" ma:description="What is the document? " ma:format="Dropdown" ma:internalName="Descriptionofdocument" ma:readOnly="false">
      <xsd:simpleType>
        <xsd:restriction base="dms:Note">
          <xsd:maxLength value="255"/>
        </xsd:restriction>
      </xsd:simpleType>
    </xsd:element>
    <xsd:element name="Createddate" ma:index="6" nillable="true" ma:displayName="Created date" ma:format="DateOnly" ma:internalName="Createddate" ma:readOnly="false">
      <xsd:simpleType>
        <xsd:restriction base="dms:DateTime"/>
      </xsd:simpleType>
    </xsd:element>
    <xsd:element name="Articleorder" ma:index="7" nillable="true" ma:displayName="Article order" ma:description="Order articles should be displayed in " ma:format="Dropdown" ma:internalName="Articleorder" ma:readOnly="false">
      <xsd:simpleType>
        <xsd:restriction base="dms:Text">
          <xsd:maxLength value="255"/>
        </xsd:restriction>
      </xsd:simpleType>
    </xsd:element>
    <xsd:element name="OfficialMarking" ma:index="8" nillable="true" ma:displayName="Official Marking" ma:description="The sensitivity marking of the contents of the file" ma:format="Dropdown" ma:internalName="OfficialMarking" ma:readOnly="false">
      <xsd:simpleType>
        <xsd:restriction base="dms:Choice">
          <xsd:enumeration value="Official"/>
          <xsd:enumeration value="Official Sensitive"/>
          <xsd:enumeration value="Secret"/>
          <xsd:enumeration value="Top Secret"/>
        </xsd:restriction>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hidden="true" ma:internalName="MediaLengthInSeconds" ma:readOnly="true">
      <xsd:simpleType>
        <xsd:restriction base="dms:Unknown"/>
      </xsd:simpleType>
    </xsd:element>
    <xsd:element name="MediaServiceAutoTags" ma:index="15" nillable="true" ma:displayName="Tags" ma:hidden="true" ma:internalName="MediaServiceAutoTags"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hidden="true"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retainuntil" ma:index="32" nillable="true" ma:displayName="retain until" ma:format="DateOnly" ma:internalName="retainuntil">
      <xsd:simpleType>
        <xsd:restriction base="dms:DateTime"/>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Internal_Version" ma:index="34" nillable="true" ma:displayName="Internal_Version" ma:default="1.0" ma:description="Internal versioning of the document, if applicable" ma:format="Dropdown" ma:internalName="Internal_Version" ma:percentage="FALSE">
      <xsd:simpleType>
        <xsd:restriction base="dms:Number"/>
      </xsd:simpleType>
    </xsd:element>
    <xsd:element name="Current" ma:index="35" nillable="true" ma:displayName="Current" ma:default="0" ma:description="A marker indicating whether a file is the currently accepted draft of the file" ma:format="Dropdown" ma:internalName="Curr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d394c2-8f83-4a16-a5f5-44f1e7d9c709"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1" nillable="true" ma:displayName="Taxonomy Catch All Column" ma:hidden="true" ma:list="{415846f5-1ecc-43b7-b39c-ea04182118de}" ma:internalName="TaxCatchAll" ma:readOnly="false" ma:showField="CatchAllData" ma:web="acd394c2-8f83-4a16-a5f5-44f1e7d9c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E644B2-2559-4456-96E7-5EC72762DBD4}"/>
</file>

<file path=customXml/itemProps2.xml><?xml version="1.0" encoding="utf-8"?>
<ds:datastoreItem xmlns:ds="http://schemas.openxmlformats.org/officeDocument/2006/customXml" ds:itemID="{A3471746-E2B9-448A-A7C7-008C4FAC090E}"/>
</file>

<file path=customXml/itemProps3.xml><?xml version="1.0" encoding="utf-8"?>
<ds:datastoreItem xmlns:ds="http://schemas.openxmlformats.org/officeDocument/2006/customXml" ds:itemID="{8E8101D3-AA49-4B42-B1EF-353911782D22}"/>
</file>

<file path=docProps/app.xml><?xml version="1.0" encoding="utf-8"?>
<Properties xmlns="http://schemas.openxmlformats.org/officeDocument/2006/extended-properties" xmlns:vt="http://schemas.openxmlformats.org/officeDocument/2006/docPropsVTypes">
  <Application>Microsoft Excel Online</Application>
  <Manager/>
  <Company>Capgemini Energy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Watkin, David</cp:lastModifiedBy>
  <cp:revision/>
  <dcterms:created xsi:type="dcterms:W3CDTF">2011-01-31T16:58:54Z</dcterms:created>
  <dcterms:modified xsi:type="dcterms:W3CDTF">2026-02-03T14:34:00Z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0x0101004990BF00E28681448C21099A1732BDD9</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