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david.watkin/Documents/Traceability_Reconciler_GeneralPurposeV5/releases/2026.04/execution/"/>
    </mc:Choice>
  </mc:AlternateContent>
  <xr:revisionPtr revIDLastSave="0" documentId="13_ncr:1_{EE3461B6-7F77-D443-89B4-90CAE4B4ECA1}" xr6:coauthVersionLast="47" xr6:coauthVersionMax="47" xr10:uidLastSave="{00000000-0000-0000-0000-000000000000}"/>
  <bookViews>
    <workbookView xWindow="1940" yWindow="2280" windowWidth="35440" windowHeight="16400" activeTab="2" xr2:uid="{00000000-000D-0000-FFFF-FFFF00000000}"/>
  </bookViews>
  <sheets>
    <sheet name="Version Control" sheetId="4" r:id="rId1"/>
    <sheet name="Summary" sheetId="3" r:id="rId2"/>
    <sheet name="Phase A" sheetId="1" r:id="rId3"/>
    <sheet name="Phase B" sheetId="2" r:id="rId4"/>
    <sheet name="Defects" sheetId="5" r:id="rId5"/>
  </sheets>
  <externalReferences>
    <externalReference r:id="rId6"/>
  </externalReferences>
  <definedNames>
    <definedName name="_xlnm._FilterDatabase" localSheetId="4" hidden="1">Defects!$A$1:$L$100</definedName>
    <definedName name="defect">[1]Validation!$C$1:$C$6</definedName>
    <definedName name="Status">#N/A</definedName>
    <definedName name="statuslist">[1]Validation!$A$1:$A$9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9" i="3" l="1"/>
  <c r="C39" i="3"/>
  <c r="P38" i="3"/>
  <c r="Q38" i="3" s="1"/>
  <c r="C38" i="3"/>
  <c r="D38" i="3" s="1"/>
  <c r="P37" i="3"/>
  <c r="Q37" i="3" s="1"/>
  <c r="C37" i="3"/>
  <c r="D37" i="3" s="1"/>
  <c r="P36" i="3"/>
  <c r="Q36" i="3" s="1"/>
  <c r="C36" i="3"/>
  <c r="D36" i="3" s="1"/>
  <c r="P35" i="3"/>
  <c r="Q35" i="3" s="1"/>
  <c r="C35" i="3"/>
  <c r="D35" i="3" s="1"/>
  <c r="P34" i="3"/>
  <c r="Q34" i="3" s="1"/>
  <c r="C34" i="3"/>
  <c r="D34" i="3" s="1"/>
  <c r="P33" i="3"/>
  <c r="P40" i="3" s="1"/>
  <c r="C33" i="3"/>
  <c r="C40" i="3" s="1"/>
  <c r="P28" i="3"/>
  <c r="P30" i="3" s="1"/>
  <c r="C28" i="3"/>
  <c r="C27" i="3" s="1"/>
  <c r="P26" i="3"/>
  <c r="C26" i="3"/>
  <c r="C30" i="3" s="1"/>
  <c r="AD18" i="3"/>
  <c r="AE18" i="3" s="1"/>
  <c r="P18" i="3"/>
  <c r="Q18" i="3" s="1"/>
  <c r="C18" i="3"/>
  <c r="AD17" i="3"/>
  <c r="AE17" i="3" s="1"/>
  <c r="P17" i="3"/>
  <c r="C17" i="3"/>
  <c r="AD16" i="3"/>
  <c r="P16" i="3"/>
  <c r="C16" i="3"/>
  <c r="AD15" i="3"/>
  <c r="AE15" i="3" s="1"/>
  <c r="P15" i="3"/>
  <c r="C15" i="3"/>
  <c r="AD14" i="3"/>
  <c r="AE14" i="3" s="1"/>
  <c r="P14" i="3"/>
  <c r="Q14" i="3" s="1"/>
  <c r="C14" i="3"/>
  <c r="AD13" i="3"/>
  <c r="AE13" i="3" s="1"/>
  <c r="P13" i="3"/>
  <c r="C13" i="3"/>
  <c r="AD12" i="3"/>
  <c r="AD19" i="3" s="1"/>
  <c r="P12" i="3"/>
  <c r="P19" i="3" s="1"/>
  <c r="C12" i="3"/>
  <c r="AD7" i="3"/>
  <c r="P7" i="3"/>
  <c r="C7" i="3"/>
  <c r="C9" i="3" s="1"/>
  <c r="AD5" i="3"/>
  <c r="AD6" i="3" s="1"/>
  <c r="P5" i="3"/>
  <c r="P9" i="3" s="1"/>
  <c r="C5" i="3"/>
  <c r="Q17" i="3" l="1"/>
  <c r="Q13" i="3"/>
  <c r="Q15" i="3"/>
  <c r="D39" i="3"/>
  <c r="Q16" i="3"/>
  <c r="AE16" i="3"/>
  <c r="Q39" i="3"/>
  <c r="P6" i="3"/>
  <c r="AD9" i="3"/>
  <c r="P27" i="3"/>
  <c r="C6" i="3"/>
  <c r="Q12" i="3"/>
  <c r="AE12" i="3"/>
  <c r="C19" i="3"/>
  <c r="D33" i="3"/>
  <c r="Q33" i="3"/>
  <c r="D14" i="3" l="1"/>
  <c r="D18" i="3"/>
  <c r="D16" i="3"/>
  <c r="D12" i="3"/>
  <c r="D15" i="3"/>
  <c r="D17" i="3"/>
  <c r="D13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Barlow, Beverley</author>
  </authors>
  <commentList>
    <comment ref="J1" authorId="0" shapeId="0" xr:uid="{03B4499E-8B6D-A74C-A5DC-5E47EC09AD93}">
      <text>
        <r>
          <rPr>
            <sz val="10"/>
            <rFont val="Arial"/>
            <family val="2"/>
          </rPr>
          <t>Barlow, Beverley:
Open - Draft, WIP
Retest - BAT testing
Ready for Prod - retest passed
Training - workaround or info for training
Closed - test data or raised in error
On Hold - in future release</t>
        </r>
      </text>
    </comment>
  </commentList>
</comments>
</file>

<file path=xl/sharedStrings.xml><?xml version="1.0" encoding="utf-8"?>
<sst xmlns="http://schemas.openxmlformats.org/spreadsheetml/2006/main" count="320" uniqueCount="174">
  <si>
    <t>Test ID</t>
  </si>
  <si>
    <t>Story</t>
  </si>
  <si>
    <t>Requirements being tested</t>
  </si>
  <si>
    <t>Pre-Requisites</t>
  </si>
  <si>
    <t>Test Assurance Steps</t>
  </si>
  <si>
    <t>EX01</t>
  </si>
  <si>
    <t>STRY1000001</t>
  </si>
  <si>
    <t>Verify extraction of single Test IDs from specification</t>
  </si>
  <si>
    <t>Data seeded; user access configured</t>
  </si>
  <si>
    <t>1. Open spec
2. Parse IDs
3. Validate count</t>
  </si>
  <si>
    <t>EX01 detected and mapped to STRY1000001</t>
  </si>
  <si>
    <t>EX02</t>
  </si>
  <si>
    <t>Verify continued extraction across adjacent rows</t>
  </si>
  <si>
    <t>As above</t>
  </si>
  <si>
    <t>1. Continue parse
2. Validate sequence</t>
  </si>
  <si>
    <t>EX02 detected and ordered correctly</t>
  </si>
  <si>
    <t>EX03</t>
  </si>
  <si>
    <t>Verify termination of extraction at section boundary</t>
  </si>
  <si>
    <t>1. Detect boundary
2. Stop extraction</t>
  </si>
  <si>
    <t>No bleed into next section</t>
  </si>
  <si>
    <t>EX10</t>
  </si>
  <si>
    <t>STRY1000002</t>
  </si>
  <si>
    <t>Verify multi-sheet extraction capability</t>
  </si>
  <si>
    <t>Workbook available</t>
  </si>
  <si>
    <t>1. Load workbook
2. Iterate sheets
3. Aggregate IDs</t>
  </si>
  <si>
    <t>IDs collected from multiple sheets</t>
  </si>
  <si>
    <t>EX11</t>
  </si>
  <si>
    <t>Verify sheet filtering (ignore Summary/Validation)</t>
  </si>
  <si>
    <t>Workbook includes non-data sheets</t>
  </si>
  <si>
    <t>1. Apply filter
2. Skip ignored sheets</t>
  </si>
  <si>
    <t>Only data sheets processed</t>
  </si>
  <si>
    <t>EX12</t>
  </si>
  <si>
    <t>Verify consistent parsing across sheets</t>
  </si>
  <si>
    <t>1. Parse both sheets
2. Compare schemas</t>
  </si>
  <si>
    <t>Consistent column mapping</t>
  </si>
  <si>
    <t>EX20</t>
  </si>
  <si>
    <t>STRY1000003</t>
  </si>
  <si>
    <t>Verify cross-sheet reuse of Test IDs</t>
  </si>
  <si>
    <t>1. Identify duplicates
2. Map to stories</t>
  </si>
  <si>
    <t>Reuse correctly attributed</t>
  </si>
  <si>
    <t>EX21</t>
  </si>
  <si>
    <t>Verify deduplication rules</t>
  </si>
  <si>
    <t>1. Apply dedupe
2. Validate output</t>
  </si>
  <si>
    <t>No duplicate inflation</t>
  </si>
  <si>
    <t>Test Assurance Expected Outcome</t>
  </si>
  <si>
    <t>Test Scenario</t>
  </si>
  <si>
    <t>Test Steps</t>
  </si>
  <si>
    <t>Outcome Expected</t>
  </si>
  <si>
    <t># of Steps</t>
  </si>
  <si>
    <t>Completed Steps</t>
  </si>
  <si>
    <t>Status</t>
  </si>
  <si>
    <t>Execution Notes</t>
  </si>
  <si>
    <t>Data notes</t>
  </si>
  <si>
    <t>Reviewed by</t>
  </si>
  <si>
    <t>Pass</t>
  </si>
  <si>
    <t>Phase 6 DASHBOARD</t>
  </si>
  <si>
    <t>Variations DASHBOARD</t>
  </si>
  <si>
    <t>OVERALL DASHBOARD</t>
  </si>
  <si>
    <t>Execution Progress</t>
  </si>
  <si>
    <t>Steps Completed</t>
  </si>
  <si>
    <t>Steps Remaining</t>
  </si>
  <si>
    <t>Total Steps</t>
  </si>
  <si>
    <t>% Complete</t>
  </si>
  <si>
    <t>Script Status</t>
  </si>
  <si>
    <t>Fail</t>
  </si>
  <si>
    <t>No Run</t>
  </si>
  <si>
    <t>Not Completed</t>
  </si>
  <si>
    <t>In Progress</t>
  </si>
  <si>
    <t>Out of Scope</t>
  </si>
  <si>
    <t>Not Started</t>
  </si>
  <si>
    <t>TOTAL</t>
  </si>
  <si>
    <t>Acquisitive Crime DASHBOARD</t>
  </si>
  <si>
    <t>Phase 7 DASHBOARD</t>
  </si>
  <si>
    <t>on you</t>
  </si>
  <si>
    <t>Document Information</t>
  </si>
  <si>
    <t>Title</t>
  </si>
  <si>
    <t>Test Execution Log</t>
  </si>
  <si>
    <t>March Release</t>
  </si>
  <si>
    <t>Release Identifier</t>
  </si>
  <si>
    <t>RLSE0010182, RLSE0010184</t>
  </si>
  <si>
    <t>Author</t>
  </si>
  <si>
    <t>Document Version History</t>
  </si>
  <si>
    <t>Version</t>
  </si>
  <si>
    <t>Date</t>
  </si>
  <si>
    <t>Summary of Changes</t>
  </si>
  <si>
    <t>Draft RLSE0010182</t>
  </si>
  <si>
    <t>Working Copy - RLSE0010184 added</t>
  </si>
  <si>
    <t>Post peer review</t>
  </si>
  <si>
    <t>Post MoJ Test Assurance review</t>
  </si>
  <si>
    <t>Test Evidence Repository</t>
  </si>
  <si>
    <t>Test Execution Evidence is stored at this link</t>
  </si>
  <si>
    <t>Scope of Release</t>
  </si>
  <si>
    <t>This release implements a Servicenow upgrade</t>
  </si>
  <si>
    <t>Defect/Story ID</t>
  </si>
  <si>
    <t>Type</t>
  </si>
  <si>
    <t>Details</t>
  </si>
  <si>
    <t xml:space="preserve"> </t>
  </si>
  <si>
    <t>Incident / JIRA ref</t>
  </si>
  <si>
    <t>Issue</t>
  </si>
  <si>
    <t>Description</t>
  </si>
  <si>
    <t>Category</t>
  </si>
  <si>
    <t>Impact Rating
(H-M-L)</t>
  </si>
  <si>
    <t>Date Opened</t>
  </si>
  <si>
    <t>Date Resolved</t>
  </si>
  <si>
    <t>Target Release Date</t>
  </si>
  <si>
    <t>Resolution</t>
  </si>
  <si>
    <t>Notes</t>
  </si>
  <si>
    <t>ALL</t>
  </si>
  <si>
    <t>CEMO MoJ are receiving error messages when trying to send payloads</t>
  </si>
  <si>
    <t xml:space="preserve">So far we are only looked at changes to historic orders that previously submitted correctly from prisons and probation.
Bing has done an investigation and thinks it is the offence question:
•	We have changed what we send in this when it is empty which we thought fixed it but looks like that hasn't worked.
•	We have also tried trying to send it with an offence date and its still failing.
</t>
  </si>
  <si>
    <t>H</t>
  </si>
  <si>
    <t>Closed</t>
  </si>
  <si>
    <t>Fixed by MoJ CEMO team - now working</t>
  </si>
  <si>
    <t>DFCT0011610</t>
  </si>
  <si>
    <t>CEMO610</t>
  </si>
  <si>
    <t>Single Offence sent</t>
  </si>
  <si>
    <t>Committed Offences not updated on Mon Order</t>
  </si>
  <si>
    <t>Ready for Prod</t>
  </si>
  <si>
    <t>Single offence retested - now ok</t>
  </si>
  <si>
    <t>DFCT0011622</t>
  </si>
  <si>
    <t>Both IAS and TAS flags being sent</t>
  </si>
  <si>
    <t>When requesting an IAS order, CEMO team has sent both IAS and TAS flags when only IAS is needed. CEMO team will fix it on their end</t>
  </si>
  <si>
    <t>01/04 - in progress. Lisa is hoping today
02/04 - retested and now ok</t>
  </si>
  <si>
    <t>CEMO MoJ Team Issue</t>
  </si>
  <si>
    <t>NO to responsible officer details received</t>
  </si>
  <si>
    <t>CEMO team at the moment will always send No but this only applies to court orders. Prison orders will need yes. CEMO Team to fix</t>
  </si>
  <si>
    <t>01/04 - in review. should be able to test today
07/04 - retested and now ok</t>
  </si>
  <si>
    <t>CEMO608</t>
  </si>
  <si>
    <t>Unable to receive risk categories and details in CEMO</t>
  </si>
  <si>
    <t>CEMO team unable to send risk categories and details. CEMO team to fix</t>
  </si>
  <si>
    <t>Retested and now ok</t>
  </si>
  <si>
    <t>Order type for DAPO should be Pre Trial and not sending DAPO in Pilot</t>
  </si>
  <si>
    <t>gone up to policy team as they were the ones who wanted Civil</t>
  </si>
  <si>
    <r>
      <rPr>
        <sz val="10"/>
        <color rgb="FF000000"/>
        <rFont val="Arial"/>
        <family val="2"/>
      </rPr>
      <t xml:space="preserve">01/04 - blocked. Lisa is waiting on approval to send as Pretrial or Civil. She understands that the issue with Civil
02/04 - Lisa confirmed will be sending over as Pretrial and should be sending DAPO in pilot
07/04 - sending pre-trial but </t>
    </r>
    <r>
      <rPr>
        <b/>
        <sz val="10"/>
        <color rgb="FF000000"/>
        <rFont val="Arial"/>
        <family val="2"/>
      </rPr>
      <t xml:space="preserve">NO DAPO in pilot field
</t>
    </r>
    <r>
      <rPr>
        <sz val="10"/>
        <color rgb="FF000000"/>
        <rFont val="Arial"/>
        <family val="2"/>
      </rPr>
      <t>10/04 - DAPO in pilot field on CEMO MO form now being received</t>
    </r>
  </si>
  <si>
    <t>Exclusion zone enforceable condition end date</t>
  </si>
  <si>
    <t>01/04 - not in this sprint but in the next one</t>
  </si>
  <si>
    <t>CEMO702</t>
  </si>
  <si>
    <t>MAPPA category is not reading in SNOW</t>
  </si>
  <si>
    <t>CEMO selecting Mappa category, however system reads it as Mappa case type and hence SNOW is unable to add the category. CEMO team has found field</t>
  </si>
  <si>
    <t>30/03/2026</t>
  </si>
  <si>
    <t>01/04 - in progress. should be quick - 07/04 - MOJ team currently working on this, awaiting update
08/04 - restested and now receiving mappa category</t>
  </si>
  <si>
    <t>CEMO703</t>
  </si>
  <si>
    <t>Tag at Source not ticked for install at Immigration removal centre</t>
  </si>
  <si>
    <t>Selecting "at another address" for install location does not tick the TAS checbox and no date/time for install is provided. This option is used for Install at Immigration removal centres and require a daytime appoitment. CEMO team to fix</t>
  </si>
  <si>
    <r>
      <rPr>
        <sz val="10"/>
        <color rgb="FF000000"/>
        <rFont val="Arial"/>
        <family val="2"/>
      </rPr>
      <t xml:space="preserve">01/04 - bundled with IAS and TAS flags - 07/04 - </t>
    </r>
    <r>
      <rPr>
        <b/>
        <sz val="10"/>
        <color rgb="FF000000"/>
        <rFont val="Arial"/>
        <family val="2"/>
      </rPr>
      <t>MOJ fixed, retested and now okay</t>
    </r>
  </si>
  <si>
    <t>All cases</t>
  </si>
  <si>
    <t>EMS Case does not update to awaiting validation</t>
  </si>
  <si>
    <t>fixed in previous phase - added step back in flow</t>
  </si>
  <si>
    <t>31/03/2026</t>
  </si>
  <si>
    <t>01/04 need to send emails to ML from preprod - requested - This is now corrected and working as expected</t>
  </si>
  <si>
    <t>DFCT0011639</t>
  </si>
  <si>
    <t>EMS case receied with empty field under "Account"</t>
  </si>
  <si>
    <t>For both New order and Variations received, Account is empty on the EMS page. Reason is, there is nothing filled in in the "no_name" field</t>
  </si>
  <si>
    <r>
      <rPr>
        <sz val="10"/>
        <color rgb="FF000000"/>
        <rFont val="Arial"/>
        <family val="2"/>
      </rPr>
      <t xml:space="preserve">MOJ has raised a bug ticket for it - 07/04 - </t>
    </r>
    <r>
      <rPr>
        <b/>
        <sz val="10"/>
        <color rgb="FF000000"/>
        <rFont val="Arial"/>
        <family val="2"/>
      </rPr>
      <t>MOJ team fixed it, retested and now its okay</t>
    </r>
  </si>
  <si>
    <t>CEMOVAR11
CEMOVAR13</t>
  </si>
  <si>
    <t>Home Office Variations not restricted to CTC users</t>
  </si>
  <si>
    <t>Order type = Immigration on both full and partial variation forms</t>
  </si>
  <si>
    <t>07/04 - Retested and now working as expected</t>
  </si>
  <si>
    <t>DFCT0011644</t>
  </si>
  <si>
    <t>Mon Reqs and Mon Cons for HO are not being flagged as CTC anymore</t>
  </si>
  <si>
    <t>DFCT655 cancelled and added to DFCT635</t>
  </si>
  <si>
    <t>DFCT0011655
DFCT0011635</t>
  </si>
  <si>
    <t>CEMO702 RETEST</t>
  </si>
  <si>
    <t>MAPPA not captured correctly</t>
  </si>
  <si>
    <t>MAPPA Level si reading in SNOW, MAPPA category is not reading in SNOW (screenshots in defects folder)</t>
  </si>
  <si>
    <t>L</t>
  </si>
  <si>
    <t>Open</t>
  </si>
  <si>
    <t>TRAINING: workaround will manually update MAPPA category</t>
  </si>
  <si>
    <t>DFCT0011656</t>
  </si>
  <si>
    <t>PREPROD -  CEMO PHASE 6 - Police Organisation</t>
  </si>
  <si>
    <t>CEMO New Monitoring Order received with Greater Manchester Police Responsible Organisation however Mon was populated with Police</t>
  </si>
  <si>
    <t>TRAINING: workaround will manually update mon order</t>
  </si>
  <si>
    <t>DFCT0011678</t>
  </si>
  <si>
    <t>6.1.25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</si>
</sst>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7" formatCode="dd/mm/yyyy;@"/>
    <numFmt numFmtId="168" formatCode="0.0"/>
    <numFmt numFmtId="169" formatCode="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sz val="11"/>
      <color rgb="FF6D8693"/>
      <name val="Arial"/>
      <family val="2"/>
    </font>
    <font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  <font>
      <u/>
      <sz val="10"/>
      <color theme="10"/>
      <name val="Arial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Avenir Next LT Pro"/>
      <family val="2"/>
      <charset val="1"/>
    </font>
    <font>
      <sz val="11"/>
      <color rgb="FF16191F"/>
      <name val="Calibri"/>
      <family val="2"/>
      <scheme val="minor"/>
    </font>
    <font>
      <sz val="10"/>
      <color rgb="FF000000"/>
      <name val="Arial"/>
      <family val="2"/>
    </font>
    <font>
      <b/>
      <sz val="10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DE9D9"/>
        <bgColor rgb="FF000000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215C98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2F3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0" fontId="3" fillId="0" borderId="0"/>
    <xf numFmtId="0" fontId="1" fillId="0" borderId="0"/>
    <xf numFmtId="0" fontId="10" fillId="0" borderId="0" applyNumberFormat="0" applyFill="0" applyBorder="0" applyAlignment="0" applyProtection="0"/>
  </cellStyleXfs>
  <cellXfs count="134">
    <xf numFmtId="0" fontId="0" fillId="0" borderId="0" xfId="0"/>
    <xf numFmtId="0" fontId="2" fillId="0" borderId="1" xfId="0" applyFont="1" applyBorder="1" applyAlignment="1" applyProtection="1">
      <alignment horizontal="center"/>
      <protection locked="0"/>
    </xf>
    <xf numFmtId="0" fontId="2" fillId="0" borderId="2" xfId="0" applyFont="1" applyBorder="1" applyAlignment="1" applyProtection="1">
      <alignment horizontal="center" wrapText="1"/>
      <protection locked="0"/>
    </xf>
    <xf numFmtId="0" fontId="2" fillId="2" borderId="3" xfId="0" applyFont="1" applyFill="1" applyBorder="1" applyAlignment="1" applyProtection="1">
      <alignment horizontal="center" wrapText="1"/>
      <protection locked="0"/>
    </xf>
    <xf numFmtId="0" fontId="2" fillId="0" borderId="2" xfId="0" applyFont="1" applyBorder="1" applyAlignment="1" applyProtection="1">
      <alignment horizontal="center"/>
      <protection locked="0"/>
    </xf>
    <xf numFmtId="1" fontId="2" fillId="0" borderId="2" xfId="0" applyNumberFormat="1" applyFont="1" applyBorder="1" applyAlignment="1" applyProtection="1">
      <alignment horizontal="center" wrapText="1"/>
      <protection locked="0"/>
    </xf>
    <xf numFmtId="0" fontId="2" fillId="0" borderId="4" xfId="0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0" fontId="3" fillId="0" borderId="5" xfId="1" applyBorder="1"/>
    <xf numFmtId="0" fontId="3" fillId="0" borderId="0" xfId="1"/>
    <xf numFmtId="0" fontId="3" fillId="3" borderId="0" xfId="1" applyFill="1"/>
    <xf numFmtId="0" fontId="2" fillId="3" borderId="6" xfId="1" applyFont="1" applyFill="1" applyBorder="1" applyAlignment="1">
      <alignment horizontal="center"/>
    </xf>
    <xf numFmtId="0" fontId="3" fillId="0" borderId="7" xfId="1" applyBorder="1"/>
    <xf numFmtId="0" fontId="3" fillId="4" borderId="8" xfId="1" applyFill="1" applyBorder="1"/>
    <xf numFmtId="0" fontId="3" fillId="4" borderId="6" xfId="1" applyFill="1" applyBorder="1"/>
    <xf numFmtId="0" fontId="2" fillId="4" borderId="6" xfId="1" applyFont="1" applyFill="1" applyBorder="1" applyAlignment="1">
      <alignment horizontal="center"/>
    </xf>
    <xf numFmtId="0" fontId="3" fillId="4" borderId="9" xfId="1" applyFill="1" applyBorder="1"/>
    <xf numFmtId="0" fontId="3" fillId="3" borderId="5" xfId="1" applyFill="1" applyBorder="1"/>
    <xf numFmtId="0" fontId="3" fillId="4" borderId="7" xfId="1" applyFill="1" applyBorder="1"/>
    <xf numFmtId="0" fontId="3" fillId="4" borderId="5" xfId="1" applyFill="1" applyBorder="1"/>
    <xf numFmtId="0" fontId="3" fillId="4" borderId="0" xfId="1" applyFill="1"/>
    <xf numFmtId="0" fontId="3" fillId="4" borderId="10" xfId="1" applyFill="1" applyBorder="1"/>
    <xf numFmtId="0" fontId="3" fillId="3" borderId="7" xfId="1" applyFill="1" applyBorder="1"/>
    <xf numFmtId="0" fontId="2" fillId="5" borderId="7" xfId="1" applyFont="1" applyFill="1" applyBorder="1"/>
    <xf numFmtId="0" fontId="3" fillId="5" borderId="10" xfId="1" applyFill="1" applyBorder="1"/>
    <xf numFmtId="0" fontId="2" fillId="5" borderId="8" xfId="1" applyFont="1" applyFill="1" applyBorder="1"/>
    <xf numFmtId="0" fontId="3" fillId="5" borderId="9" xfId="1" applyFill="1" applyBorder="1"/>
    <xf numFmtId="0" fontId="3" fillId="5" borderId="7" xfId="1" applyFill="1" applyBorder="1"/>
    <xf numFmtId="1" fontId="3" fillId="5" borderId="10" xfId="1" applyNumberFormat="1" applyFill="1" applyBorder="1"/>
    <xf numFmtId="0" fontId="3" fillId="5" borderId="11" xfId="1" applyFill="1" applyBorder="1"/>
    <xf numFmtId="9" fontId="3" fillId="5" borderId="12" xfId="1" applyNumberFormat="1" applyFill="1" applyBorder="1"/>
    <xf numFmtId="0" fontId="3" fillId="5" borderId="6" xfId="1" applyFill="1" applyBorder="1"/>
    <xf numFmtId="0" fontId="3" fillId="5" borderId="0" xfId="1" applyFill="1"/>
    <xf numFmtId="9" fontId="3" fillId="5" borderId="10" xfId="1" applyNumberFormat="1" applyFill="1" applyBorder="1"/>
    <xf numFmtId="0" fontId="3" fillId="5" borderId="13" xfId="1" applyFill="1" applyBorder="1"/>
    <xf numFmtId="0" fontId="3" fillId="5" borderId="14" xfId="1" applyFill="1" applyBorder="1"/>
    <xf numFmtId="0" fontId="3" fillId="5" borderId="15" xfId="1" applyFill="1" applyBorder="1"/>
    <xf numFmtId="0" fontId="3" fillId="3" borderId="11" xfId="1" applyFill="1" applyBorder="1"/>
    <xf numFmtId="0" fontId="3" fillId="4" borderId="11" xfId="1" applyFill="1" applyBorder="1"/>
    <xf numFmtId="0" fontId="3" fillId="4" borderId="12" xfId="1" applyFill="1" applyBorder="1"/>
    <xf numFmtId="0" fontId="3" fillId="0" borderId="6" xfId="1" applyBorder="1"/>
    <xf numFmtId="0" fontId="3" fillId="6" borderId="0" xfId="1" applyFill="1"/>
    <xf numFmtId="0" fontId="2" fillId="6" borderId="0" xfId="1" applyFont="1" applyFill="1" applyAlignment="1">
      <alignment horizontal="center"/>
    </xf>
    <xf numFmtId="0" fontId="3" fillId="7" borderId="8" xfId="1" applyFill="1" applyBorder="1"/>
    <xf numFmtId="0" fontId="3" fillId="7" borderId="6" xfId="1" applyFill="1" applyBorder="1"/>
    <xf numFmtId="0" fontId="2" fillId="7" borderId="6" xfId="1" applyFont="1" applyFill="1" applyBorder="1" applyAlignment="1">
      <alignment horizontal="center"/>
    </xf>
    <xf numFmtId="0" fontId="3" fillId="0" borderId="6" xfId="1" applyBorder="1"/>
    <xf numFmtId="0" fontId="3" fillId="7" borderId="9" xfId="1" applyFill="1" applyBorder="1"/>
    <xf numFmtId="0" fontId="3" fillId="6" borderId="5" xfId="1" applyFill="1" applyBorder="1"/>
    <xf numFmtId="0" fontId="3" fillId="7" borderId="7" xfId="1" applyFill="1" applyBorder="1"/>
    <xf numFmtId="0" fontId="3" fillId="7" borderId="5" xfId="1" applyFill="1" applyBorder="1"/>
    <xf numFmtId="0" fontId="3" fillId="7" borderId="0" xfId="1" applyFill="1"/>
    <xf numFmtId="0" fontId="3" fillId="7" borderId="10" xfId="1" applyFill="1" applyBorder="1"/>
    <xf numFmtId="0" fontId="3" fillId="6" borderId="7" xfId="1" applyFill="1" applyBorder="1"/>
    <xf numFmtId="0" fontId="3" fillId="6" borderId="11" xfId="1" applyFill="1" applyBorder="1"/>
    <xf numFmtId="0" fontId="3" fillId="7" borderId="11" xfId="1" applyFill="1" applyBorder="1"/>
    <xf numFmtId="0" fontId="3" fillId="7" borderId="12" xfId="1" applyFill="1" applyBorder="1"/>
    <xf numFmtId="0" fontId="4" fillId="8" borderId="16" xfId="2" applyFont="1" applyFill="1" applyBorder="1"/>
    <xf numFmtId="0" fontId="1" fillId="0" borderId="0" xfId="2"/>
    <xf numFmtId="0" fontId="5" fillId="8" borderId="16" xfId="2" applyFont="1" applyFill="1" applyBorder="1"/>
    <xf numFmtId="0" fontId="6" fillId="0" borderId="16" xfId="2" applyFont="1" applyBorder="1" applyAlignment="1">
      <alignment vertical="center"/>
    </xf>
    <xf numFmtId="0" fontId="6" fillId="0" borderId="17" xfId="2" applyFont="1" applyBorder="1" applyAlignment="1">
      <alignment vertical="center"/>
    </xf>
    <xf numFmtId="0" fontId="6" fillId="0" borderId="3" xfId="2" applyFont="1" applyBorder="1" applyAlignment="1">
      <alignment vertical="center"/>
    </xf>
    <xf numFmtId="0" fontId="7" fillId="0" borderId="0" xfId="2" applyFont="1"/>
    <xf numFmtId="0" fontId="8" fillId="0" borderId="0" xfId="2" applyFont="1"/>
    <xf numFmtId="0" fontId="4" fillId="8" borderId="17" xfId="2" applyFont="1" applyFill="1" applyBorder="1"/>
    <xf numFmtId="0" fontId="4" fillId="8" borderId="18" xfId="2" applyFont="1" applyFill="1" applyBorder="1"/>
    <xf numFmtId="0" fontId="5" fillId="8" borderId="0" xfId="2" applyFont="1" applyFill="1"/>
    <xf numFmtId="0" fontId="6" fillId="0" borderId="16" xfId="2" applyFont="1" applyBorder="1" applyAlignment="1">
      <alignment horizontal="center" vertical="center"/>
    </xf>
    <xf numFmtId="167" fontId="6" fillId="0" borderId="3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vertical="center"/>
    </xf>
    <xf numFmtId="0" fontId="6" fillId="0" borderId="19" xfId="2" applyFont="1" applyBorder="1" applyAlignment="1">
      <alignment horizontal="center" vertical="center"/>
    </xf>
    <xf numFmtId="167" fontId="6" fillId="0" borderId="20" xfId="2" applyNumberFormat="1" applyFont="1" applyBorder="1" applyAlignment="1">
      <alignment horizontal="center" vertical="center"/>
    </xf>
    <xf numFmtId="0" fontId="6" fillId="0" borderId="20" xfId="2" applyFont="1" applyBorder="1" applyAlignment="1">
      <alignment vertical="center"/>
    </xf>
    <xf numFmtId="168" fontId="6" fillId="0" borderId="19" xfId="2" applyNumberFormat="1" applyFont="1" applyBorder="1" applyAlignment="1">
      <alignment horizontal="center"/>
    </xf>
    <xf numFmtId="167" fontId="6" fillId="0" borderId="20" xfId="2" applyNumberFormat="1" applyFont="1" applyBorder="1" applyAlignment="1">
      <alignment horizontal="center"/>
    </xf>
    <xf numFmtId="0" fontId="6" fillId="0" borderId="20" xfId="2" applyFont="1" applyBorder="1"/>
    <xf numFmtId="0" fontId="6" fillId="0" borderId="19" xfId="2" applyFont="1" applyBorder="1" applyAlignment="1">
      <alignment horizontal="center"/>
    </xf>
    <xf numFmtId="0" fontId="9" fillId="0" borderId="17" xfId="2" applyFont="1" applyBorder="1"/>
    <xf numFmtId="0" fontId="9" fillId="0" borderId="18" xfId="2" applyFont="1" applyBorder="1"/>
    <xf numFmtId="0" fontId="10" fillId="0" borderId="20" xfId="3" applyBorder="1"/>
    <xf numFmtId="0" fontId="11" fillId="9" borderId="17" xfId="2" applyFont="1" applyFill="1" applyBorder="1"/>
    <xf numFmtId="0" fontId="11" fillId="9" borderId="18" xfId="2" applyFont="1" applyFill="1" applyBorder="1"/>
    <xf numFmtId="0" fontId="11" fillId="9" borderId="16" xfId="2" applyFont="1" applyFill="1" applyBorder="1"/>
    <xf numFmtId="0" fontId="3" fillId="0" borderId="16" xfId="1" applyBorder="1"/>
    <xf numFmtId="0" fontId="8" fillId="0" borderId="16" xfId="2" applyFont="1" applyBorder="1" applyAlignment="1">
      <alignment vertical="center"/>
    </xf>
    <xf numFmtId="0" fontId="3" fillId="0" borderId="1" xfId="1" applyBorder="1"/>
    <xf numFmtId="0" fontId="12" fillId="0" borderId="0" xfId="1" applyFont="1"/>
    <xf numFmtId="0" fontId="3" fillId="0" borderId="21" xfId="1" applyBorder="1"/>
    <xf numFmtId="0" fontId="13" fillId="10" borderId="1" xfId="1" applyFont="1" applyFill="1" applyBorder="1" applyAlignment="1">
      <alignment wrapText="1"/>
    </xf>
    <xf numFmtId="0" fontId="13" fillId="11" borderId="1" xfId="1" applyFont="1" applyFill="1" applyBorder="1" applyAlignment="1">
      <alignment wrapText="1"/>
    </xf>
    <xf numFmtId="0" fontId="13" fillId="11" borderId="1" xfId="1" quotePrefix="1" applyFont="1" applyFill="1" applyBorder="1" applyAlignment="1">
      <alignment wrapText="1"/>
    </xf>
    <xf numFmtId="0" fontId="2" fillId="0" borderId="16" xfId="1" applyFont="1" applyBorder="1" applyAlignment="1">
      <alignment wrapText="1"/>
    </xf>
    <xf numFmtId="0" fontId="2" fillId="0" borderId="16" xfId="1" applyFont="1" applyBorder="1"/>
    <xf numFmtId="167" fontId="2" fillId="0" borderId="16" xfId="1" applyNumberFormat="1" applyFont="1" applyBorder="1" applyAlignment="1">
      <alignment wrapText="1"/>
    </xf>
    <xf numFmtId="0" fontId="2" fillId="0" borderId="0" xfId="1" applyFont="1"/>
    <xf numFmtId="169" fontId="3" fillId="12" borderId="16" xfId="1" quotePrefix="1" applyNumberFormat="1" applyFill="1" applyBorder="1" applyAlignment="1">
      <alignment horizontal="left"/>
    </xf>
    <xf numFmtId="0" fontId="3" fillId="12" borderId="16" xfId="1" applyFill="1" applyBorder="1" applyAlignment="1" applyProtection="1">
      <alignment wrapText="1"/>
      <protection locked="0"/>
    </xf>
    <xf numFmtId="0" fontId="3" fillId="12" borderId="16" xfId="1" applyFill="1" applyBorder="1" applyProtection="1">
      <protection locked="0"/>
    </xf>
    <xf numFmtId="167" fontId="3" fillId="12" borderId="16" xfId="1" applyNumberFormat="1" applyFill="1" applyBorder="1" applyProtection="1">
      <protection locked="0"/>
    </xf>
    <xf numFmtId="169" fontId="3" fillId="13" borderId="16" xfId="1" quotePrefix="1" applyNumberFormat="1" applyFill="1" applyBorder="1" applyAlignment="1">
      <alignment horizontal="left"/>
    </xf>
    <xf numFmtId="0" fontId="3" fillId="13" borderId="16" xfId="1" applyFill="1" applyBorder="1" applyAlignment="1">
      <alignment horizontal="left" vertical="center" wrapText="1"/>
    </xf>
    <xf numFmtId="0" fontId="3" fillId="13" borderId="16" xfId="1" applyFill="1" applyBorder="1" applyAlignment="1" applyProtection="1">
      <alignment wrapText="1"/>
      <protection locked="0"/>
    </xf>
    <xf numFmtId="0" fontId="3" fillId="13" borderId="16" xfId="1" applyFill="1" applyBorder="1" applyProtection="1">
      <protection locked="0"/>
    </xf>
    <xf numFmtId="167" fontId="3" fillId="13" borderId="16" xfId="1" applyNumberFormat="1" applyFill="1" applyBorder="1" applyProtection="1">
      <protection locked="0"/>
    </xf>
    <xf numFmtId="0" fontId="3" fillId="13" borderId="3" xfId="1" applyFill="1" applyBorder="1" applyAlignment="1" applyProtection="1">
      <alignment wrapText="1"/>
      <protection locked="0"/>
    </xf>
    <xf numFmtId="0" fontId="3" fillId="12" borderId="16" xfId="1" applyFill="1" applyBorder="1" applyAlignment="1">
      <alignment horizontal="left" vertical="center" wrapText="1"/>
    </xf>
    <xf numFmtId="0" fontId="3" fillId="12" borderId="3" xfId="1" applyFill="1" applyBorder="1" applyAlignment="1" applyProtection="1">
      <alignment wrapText="1"/>
      <protection locked="0"/>
    </xf>
    <xf numFmtId="0" fontId="3" fillId="12" borderId="1" xfId="1" applyFill="1" applyBorder="1" applyAlignment="1">
      <alignment horizontal="left" vertical="center" wrapText="1"/>
    </xf>
    <xf numFmtId="0" fontId="3" fillId="12" borderId="16" xfId="1" applyFill="1" applyBorder="1" applyAlignment="1">
      <alignment wrapText="1"/>
    </xf>
    <xf numFmtId="167" fontId="3" fillId="12" borderId="16" xfId="1" applyNumberFormat="1" applyFill="1" applyBorder="1" applyAlignment="1" applyProtection="1">
      <alignment horizontal="right"/>
      <protection locked="0"/>
    </xf>
    <xf numFmtId="16" fontId="3" fillId="12" borderId="3" xfId="1" applyNumberFormat="1" applyFill="1" applyBorder="1" applyAlignment="1" applyProtection="1">
      <alignment wrapText="1"/>
      <protection locked="0"/>
    </xf>
    <xf numFmtId="0" fontId="3" fillId="12" borderId="16" xfId="1" applyFill="1" applyBorder="1" applyAlignment="1" applyProtection="1">
      <alignment horizontal="left" vertical="center" wrapText="1"/>
      <protection locked="0"/>
    </xf>
    <xf numFmtId="0" fontId="3" fillId="12" borderId="16" xfId="1" quotePrefix="1" applyFill="1" applyBorder="1" applyAlignment="1" applyProtection="1">
      <alignment wrapText="1"/>
      <protection locked="0"/>
    </xf>
    <xf numFmtId="0" fontId="14" fillId="12" borderId="16" xfId="1" applyFont="1" applyFill="1" applyBorder="1" applyAlignment="1" applyProtection="1">
      <alignment wrapText="1"/>
      <protection locked="0"/>
    </xf>
    <xf numFmtId="0" fontId="3" fillId="13" borderId="16" xfId="1" applyFill="1" applyBorder="1" applyAlignment="1">
      <alignment horizontal="left" wrapText="1"/>
    </xf>
    <xf numFmtId="167" fontId="3" fillId="13" borderId="16" xfId="1" applyNumberFormat="1" applyFill="1" applyBorder="1" applyAlignment="1" applyProtection="1">
      <alignment horizontal="right"/>
      <protection locked="0"/>
    </xf>
    <xf numFmtId="0" fontId="3" fillId="13" borderId="16" xfId="1" quotePrefix="1" applyFill="1" applyBorder="1" applyAlignment="1">
      <alignment horizontal="left" wrapText="1"/>
    </xf>
    <xf numFmtId="169" fontId="3" fillId="0" borderId="16" xfId="1" quotePrefix="1" applyNumberFormat="1" applyBorder="1" applyAlignment="1">
      <alignment horizontal="left"/>
    </xf>
    <xf numFmtId="169" fontId="3" fillId="0" borderId="16" xfId="1" quotePrefix="1" applyNumberFormat="1" applyBorder="1" applyAlignment="1">
      <alignment horizontal="left" wrapText="1"/>
    </xf>
    <xf numFmtId="0" fontId="3" fillId="0" borderId="16" xfId="1" applyBorder="1" applyAlignment="1" applyProtection="1">
      <alignment wrapText="1"/>
      <protection locked="0"/>
    </xf>
    <xf numFmtId="0" fontId="3" fillId="0" borderId="16" xfId="1" applyBorder="1" applyProtection="1">
      <protection locked="0"/>
    </xf>
    <xf numFmtId="167" fontId="3" fillId="0" borderId="16" xfId="1" applyNumberFormat="1" applyBorder="1" applyProtection="1">
      <protection locked="0"/>
    </xf>
    <xf numFmtId="167" fontId="3" fillId="0" borderId="16" xfId="1" applyNumberFormat="1" applyBorder="1" applyAlignment="1" applyProtection="1">
      <alignment horizontal="right"/>
      <protection locked="0"/>
    </xf>
    <xf numFmtId="0" fontId="3" fillId="0" borderId="16" xfId="1" quotePrefix="1" applyBorder="1" applyAlignment="1">
      <alignment horizontal="left" wrapText="1"/>
    </xf>
    <xf numFmtId="169" fontId="3" fillId="0" borderId="22" xfId="1" applyNumberFormat="1" applyBorder="1" applyAlignment="1">
      <alignment horizontal="left"/>
    </xf>
    <xf numFmtId="0" fontId="14" fillId="0" borderId="0" xfId="1" applyFont="1" applyAlignment="1">
      <alignment wrapText="1"/>
    </xf>
    <xf numFmtId="0" fontId="3" fillId="0" borderId="1" xfId="1" applyBorder="1" applyProtection="1">
      <protection locked="0"/>
    </xf>
    <xf numFmtId="0" fontId="14" fillId="0" borderId="1" xfId="1" applyFont="1" applyBorder="1"/>
    <xf numFmtId="0" fontId="3" fillId="0" borderId="16" xfId="1" quotePrefix="1" applyBorder="1" applyAlignment="1" applyProtection="1">
      <alignment horizontal="left" wrapText="1"/>
      <protection locked="0"/>
    </xf>
    <xf numFmtId="0" fontId="3" fillId="0" borderId="0" xfId="1" applyAlignment="1">
      <alignment wrapText="1"/>
    </xf>
    <xf numFmtId="0" fontId="10" fillId="0" borderId="0" xfId="3" applyFill="1"/>
    <xf numFmtId="0" fontId="14" fillId="0" borderId="0" xfId="1" applyFont="1"/>
    <xf numFmtId="167" fontId="3" fillId="0" borderId="0" xfId="1" applyNumberFormat="1"/>
  </cellXfs>
  <cellStyles count="4">
    <cellStyle name="Hyperlink 2" xfId="3" xr:uid="{D50CE1A2-801C-8640-9C87-E3E9BC52E82D}"/>
    <cellStyle name="Normal" xfId="0" builtinId="0"/>
    <cellStyle name="Normal 2" xfId="1" xr:uid="{BA6E0C55-F9A2-8648-ABEB-913D5BCFB899}"/>
    <cellStyle name="Normal 3" xfId="2" xr:uid="{3134A63A-2B01-134F-BEF1-8197C930BAAB}"/>
  </cellStyles>
  <dxfs count="6"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347864598630323"/>
          <c:y val="3.30326549276805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13058246707549"/>
          <c:y val="0.18318372039144729"/>
          <c:w val="0.60434846759135907"/>
          <c:h val="0.6846866926106554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CBE-C441-A027-3FA4DC090314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CCBE-C441-A027-3FA4DC090314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CCBE-C441-A027-3FA4DC090314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CCBE-C441-A027-3FA4DC090314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CCBE-C441-A027-3FA4DC090314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CCBE-C441-A027-3FA4DC090314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Lit>
              <c:formatCode>General</c:formatCode>
              <c:ptCount val="1"/>
              <c:pt idx="0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6-CCBE-C441-A027-3FA4DC090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666431"/>
        <c:axId val="1"/>
      </c:barChart>
      <c:catAx>
        <c:axId val="116966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8249721449117E-2"/>
              <c:y val="0.366367867501049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66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5988450047744444"/>
          <c:y val="0.93731343283582091"/>
          <c:w val="0.48200800515902087"/>
          <c:h val="3.88059701492537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35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490209741481426"/>
          <c:y val="4.132217847769029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82863340563992"/>
          <c:y val="0.23553719008264462"/>
          <c:w val="0.60520607375271152"/>
          <c:h val="0.5826446280991735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83-3E4E-BD1B-D7484287C7D5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B83-3E4E-BD1B-D7484287C7D5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1B83-3E4E-BD1B-D7484287C7D5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1B83-3E4E-BD1B-D7484287C7D5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1B83-3E4E-BD1B-D7484287C7D5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B83-3E4E-BD1B-D7484287C7D5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1B83-3E4E-BD1B-D7484287C7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69815871"/>
        <c:axId val="1"/>
      </c:barChart>
      <c:catAx>
        <c:axId val="116981587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07221331846796E-2"/>
              <c:y val="0.3057844852726742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6981587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3894558175268604"/>
          <c:y val="0.91639231430138413"/>
          <c:w val="0.48010362259567474"/>
          <c:h val="6.54565938786702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810253287759069"/>
          <c:y val="3.5713973253343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5050218902911"/>
          <c:y val="0.18154814670569053"/>
          <c:w val="0.60970589750193149"/>
          <c:h val="0.68750199818056579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FE67-444D-BC34-D76D12C9FBC2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FE67-444D-BC34-D76D12C9FBC2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FE67-444D-BC34-D76D12C9FBC2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FE67-444D-BC34-D76D12C9FBC2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FE67-444D-BC34-D76D12C9FBC2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FE67-444D-BC34-D76D12C9FBC2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FE67-444D-BC34-D76D12C9FB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5039"/>
        <c:axId val="1"/>
      </c:barChart>
      <c:catAx>
        <c:axId val="117027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6607236595425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5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208791208791209"/>
          <c:y val="0.94103636535813084"/>
          <c:w val="0.3802197802197802"/>
          <c:h val="3.5735558178156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5232092034189927"/>
          <c:y val="4.149460484106153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80195724954932"/>
          <c:y val="0.20746930001397987"/>
          <c:w val="0.62658356940509918"/>
          <c:h val="0.62240790004193958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8FBC-4545-9B1E-4FFDE1CDA23A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8FBC-4545-9B1E-4FFDE1CDA23A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8FBC-4545-9B1E-4FFDE1CDA23A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8FBC-4545-9B1E-4FFDE1CDA23A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8FBC-4545-9B1E-4FFDE1CDA23A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8FBC-4545-9B1E-4FFDE1CDA23A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8FBC-4545-9B1E-4FFDE1CDA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0719"/>
        <c:axId val="1"/>
      </c:barChart>
      <c:catAx>
        <c:axId val="11702707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112040682414697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071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725360272995348"/>
          <c:y val="0.90548288198827243"/>
          <c:w val="0.468146563022588"/>
          <c:h val="6.5456593878670297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490238611713664"/>
          <c:y val="4.1322314049586778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366-5648-9DC4-1B5110BA7C1E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0366-5648-9DC4-1B5110BA7C1E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0366-5648-9DC4-1B5110BA7C1E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0366-5648-9DC4-1B5110BA7C1E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0366-5648-9DC4-1B5110BA7C1E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0366-5648-9DC4-1B5110BA7C1E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0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0366-5648-9DC4-1B5110BA7C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496431"/>
        <c:axId val="1"/>
      </c:barChart>
      <c:catAx>
        <c:axId val="117049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4707158351409979E-2"/>
              <c:y val="0.3057851239669421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49643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1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Summary of Test Scripts</a:t>
            </a:r>
          </a:p>
        </c:rich>
      </c:tx>
      <c:layout>
        <c:manualLayout>
          <c:xMode val="edge"/>
          <c:yMode val="edge"/>
          <c:x val="0.34810253287759069"/>
          <c:y val="3.571397325334332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4135050218902911"/>
          <c:y val="0.18154814670569053"/>
          <c:w val="0.60970589750193149"/>
          <c:h val="0.68750199818056579"/>
        </c:manualLayout>
      </c:layout>
      <c:barChart>
        <c:barDir val="col"/>
        <c:grouping val="stacked"/>
        <c:varyColors val="0"/>
        <c:ser>
          <c:idx val="0"/>
          <c:order val="0"/>
          <c:tx>
            <c:v>Pass</c:v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25E1-4444-8F3D-7FA6771B4B2E}"/>
            </c:ext>
          </c:extLst>
        </c:ser>
        <c:ser>
          <c:idx val="1"/>
          <c:order val="1"/>
          <c:tx>
            <c:v>Fail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25E1-4444-8F3D-7FA6771B4B2E}"/>
            </c:ext>
          </c:extLst>
        </c:ser>
        <c:ser>
          <c:idx val="2"/>
          <c:order val="2"/>
          <c:tx>
            <c:v>No Run</c:v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25E1-4444-8F3D-7FA6771B4B2E}"/>
            </c:ext>
          </c:extLst>
        </c:ser>
        <c:ser>
          <c:idx val="3"/>
          <c:order val="3"/>
          <c:tx>
            <c:v>Not Completed</c:v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25E1-4444-8F3D-7FA6771B4B2E}"/>
            </c:ext>
          </c:extLst>
        </c:ser>
        <c:ser>
          <c:idx val="4"/>
          <c:order val="4"/>
          <c:tx>
            <c:v>In Progress</c:v>
          </c:tx>
          <c:spPr>
            <a:solidFill>
              <a:srgbClr val="6600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25E1-4444-8F3D-7FA6771B4B2E}"/>
            </c:ext>
          </c:extLst>
        </c:ser>
        <c:ser>
          <c:idx val="5"/>
          <c:order val="5"/>
          <c:tx>
            <c:v>Out of Scope</c:v>
          </c:tx>
          <c:spPr>
            <a:solidFill>
              <a:srgbClr val="FF808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25E1-4444-8F3D-7FA6771B4B2E}"/>
            </c:ext>
          </c:extLst>
        </c:ser>
        <c:ser>
          <c:idx val="6"/>
          <c:order val="6"/>
          <c:tx>
            <c:v>Not Started</c:v>
          </c:tx>
          <c:spPr>
            <a:solidFill>
              <a:srgbClr val="0066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8"/>
              <c:pt idx="0">
                <c:v>Script Status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25E1-4444-8F3D-7FA6771B4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70275039"/>
        <c:axId val="1"/>
      </c:barChart>
      <c:catAx>
        <c:axId val="117027503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Number of scripts</a:t>
                </a:r>
              </a:p>
            </c:rich>
          </c:tx>
          <c:layout>
            <c:manualLayout>
              <c:xMode val="edge"/>
              <c:yMode val="edge"/>
              <c:x val="3.3755863996789502E-2"/>
              <c:y val="0.3660723659542557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70275039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31208791208791209"/>
          <c:y val="0.94103636535813084"/>
          <c:w val="0.3802197802197802"/>
          <c:h val="3.573555817815686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8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1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66675</xdr:colOff>
      <xdr:row>4</xdr:row>
      <xdr:rowOff>9525</xdr:rowOff>
    </xdr:from>
    <xdr:to>
      <xdr:col>11</xdr:col>
      <xdr:colOff>85725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70063-064B-8C45-8DED-08FBA87B6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66675</xdr:colOff>
      <xdr:row>25</xdr:row>
      <xdr:rowOff>9525</xdr:rowOff>
    </xdr:from>
    <xdr:to>
      <xdr:col>11</xdr:col>
      <xdr:colOff>104775</xdr:colOff>
      <xdr:row>39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24514A-4E2E-F540-90E2-5D19BE3F7C6D}"/>
            </a:ext>
            <a:ext uri="{147F2762-F138-4A5C-976F-8EAC2B608ADB}">
              <a16:predDERef xmlns:a16="http://schemas.microsoft.com/office/drawing/2014/main" pred="{80262BCC-A3AF-83D4-94E4-A44A9BBD9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66675</xdr:colOff>
      <xdr:row>4</xdr:row>
      <xdr:rowOff>9525</xdr:rowOff>
    </xdr:from>
    <xdr:to>
      <xdr:col>24</xdr:col>
      <xdr:colOff>133350</xdr:colOff>
      <xdr:row>18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DEE99DC-F589-2049-ACA0-A070582BE3EC}"/>
            </a:ext>
            <a:ext uri="{147F2762-F138-4A5C-976F-8EAC2B608ADB}">
              <a16:predDERef xmlns:a16="http://schemas.microsoft.com/office/drawing/2014/main" pred="{A0A14BBF-6B28-1F68-6728-B522A6FBD7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66675</xdr:colOff>
      <xdr:row>25</xdr:row>
      <xdr:rowOff>9525</xdr:rowOff>
    </xdr:from>
    <xdr:to>
      <xdr:col>24</xdr:col>
      <xdr:colOff>133350</xdr:colOff>
      <xdr:row>39</xdr:row>
      <xdr:rowOff>9525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0CBD9B-35C2-1D49-AC07-B693FEDF808D}"/>
            </a:ext>
            <a:ext uri="{147F2762-F138-4A5C-976F-8EAC2B608ADB}">
              <a16:predDERef xmlns:a16="http://schemas.microsoft.com/office/drawing/2014/main" pred="{05837711-61BE-FFDF-2AAF-FDDFC857DE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66675</xdr:colOff>
      <xdr:row>41</xdr:row>
      <xdr:rowOff>0</xdr:rowOff>
    </xdr:from>
    <xdr:to>
      <xdr:col>11</xdr:col>
      <xdr:colOff>104775</xdr:colOff>
      <xdr:row>41</xdr:row>
      <xdr:rowOff>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id="{626C082E-9FE7-4B4F-9BAE-1B57D1DED259}"/>
            </a:ext>
            <a:ext uri="{147F2762-F138-4A5C-976F-8EAC2B608ADB}">
              <a16:predDERef xmlns:a16="http://schemas.microsoft.com/office/drawing/2014/main" pred="{A0F24AB5-FFFF-7CB0-969C-A21159DEB0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66675</xdr:colOff>
      <xdr:row>4</xdr:row>
      <xdr:rowOff>9525</xdr:rowOff>
    </xdr:from>
    <xdr:to>
      <xdr:col>38</xdr:col>
      <xdr:colOff>133350</xdr:colOff>
      <xdr:row>18</xdr:row>
      <xdr:rowOff>9525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id="{95508A6E-CF37-C448-AD18-B4ED192ACFDE}"/>
            </a:ext>
            <a:ext uri="{147F2762-F138-4A5C-976F-8EAC2B608ADB}">
              <a16:predDERef xmlns:a16="http://schemas.microsoft.com/office/drawing/2014/main" pred="{506D8168-D810-27DC-7787-C8D8F1A836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avid.watkin/Downloads/2026-03-A%20-%20March%20Upgrade%205/CEMO%20PH6_7%20BAT%20Execution%20Scripts%20v1.0%20Final.xlsx" TargetMode="External"/><Relationship Id="rId1" Type="http://schemas.openxmlformats.org/officeDocument/2006/relationships/externalLinkPath" Target="/Users/david.watkin/Downloads/2026-03-A%20-%20March%20Upgrade%205/CEMO%20PH6_7%20BAT%20Execution%20Scripts%20v1.0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ersion Control"/>
      <sheetName val="Summary"/>
      <sheetName val="Phase 6"/>
      <sheetName val="Phase 7"/>
      <sheetName val="Acquisitive Crime"/>
      <sheetName val="Variations"/>
      <sheetName val="Validation"/>
      <sheetName val="Defects"/>
      <sheetName val="Sheet1"/>
      <sheetName val="OVERALL"/>
    </sheetNames>
    <sheetDataSet>
      <sheetData sheetId="0"/>
      <sheetData sheetId="1"/>
      <sheetData sheetId="2">
        <row r="2">
          <cell r="L2" t="str">
            <v>Pass</v>
          </cell>
        </row>
        <row r="3">
          <cell r="L3" t="str">
            <v>Pass</v>
          </cell>
        </row>
        <row r="4">
          <cell r="L4" t="str">
            <v>Pass</v>
          </cell>
        </row>
        <row r="5">
          <cell r="L5" t="str">
            <v>Pass</v>
          </cell>
        </row>
        <row r="6">
          <cell r="L6" t="str">
            <v>Pass</v>
          </cell>
        </row>
        <row r="7">
          <cell r="L7" t="str">
            <v>Pass</v>
          </cell>
        </row>
        <row r="8">
          <cell r="L8" t="str">
            <v>Pass</v>
          </cell>
        </row>
        <row r="9">
          <cell r="J9">
            <v>9</v>
          </cell>
          <cell r="K9">
            <v>9</v>
          </cell>
          <cell r="L9" t="str">
            <v>Pass</v>
          </cell>
        </row>
        <row r="10">
          <cell r="J10">
            <v>9</v>
          </cell>
          <cell r="K10">
            <v>9</v>
          </cell>
          <cell r="L10" t="str">
            <v>Pass</v>
          </cell>
        </row>
        <row r="11">
          <cell r="J11">
            <v>12</v>
          </cell>
          <cell r="K11">
            <v>12</v>
          </cell>
          <cell r="L11" t="str">
            <v>Pass</v>
          </cell>
        </row>
        <row r="12">
          <cell r="J12">
            <v>15</v>
          </cell>
          <cell r="K12">
            <v>15</v>
          </cell>
          <cell r="L12" t="str">
            <v>Pass</v>
          </cell>
        </row>
        <row r="13">
          <cell r="J13">
            <v>9</v>
          </cell>
          <cell r="K13">
            <v>9</v>
          </cell>
          <cell r="L13" t="str">
            <v>Pass</v>
          </cell>
        </row>
        <row r="14">
          <cell r="J14">
            <v>9</v>
          </cell>
          <cell r="K14">
            <v>9</v>
          </cell>
          <cell r="L14" t="str">
            <v>Pass</v>
          </cell>
        </row>
        <row r="15">
          <cell r="J15">
            <v>9</v>
          </cell>
          <cell r="K15">
            <v>9</v>
          </cell>
          <cell r="L15" t="str">
            <v>Pass</v>
          </cell>
        </row>
        <row r="16">
          <cell r="J16">
            <v>12</v>
          </cell>
          <cell r="K16">
            <v>12</v>
          </cell>
          <cell r="L16" t="str">
            <v>Pass</v>
          </cell>
        </row>
        <row r="17">
          <cell r="J17">
            <v>9</v>
          </cell>
          <cell r="K17">
            <v>9</v>
          </cell>
          <cell r="L17" t="str">
            <v>Pass</v>
          </cell>
        </row>
        <row r="18">
          <cell r="J18">
            <v>9</v>
          </cell>
          <cell r="K18">
            <v>9</v>
          </cell>
          <cell r="L18" t="str">
            <v>Pass</v>
          </cell>
        </row>
        <row r="19">
          <cell r="J19">
            <v>12</v>
          </cell>
          <cell r="K19">
            <v>12</v>
          </cell>
          <cell r="L19" t="str">
            <v>Pass</v>
          </cell>
        </row>
        <row r="20">
          <cell r="J20">
            <v>11</v>
          </cell>
          <cell r="K20">
            <v>11</v>
          </cell>
          <cell r="L20" t="str">
            <v>Pass</v>
          </cell>
        </row>
        <row r="21">
          <cell r="J21">
            <v>9</v>
          </cell>
          <cell r="K21">
            <v>9</v>
          </cell>
          <cell r="L21" t="str">
            <v>Pass</v>
          </cell>
        </row>
        <row r="22">
          <cell r="J22">
            <v>9</v>
          </cell>
          <cell r="K22">
            <v>9</v>
          </cell>
          <cell r="L22" t="str">
            <v>Pass</v>
          </cell>
        </row>
        <row r="23">
          <cell r="J23">
            <v>9</v>
          </cell>
          <cell r="K23">
            <v>9</v>
          </cell>
          <cell r="L23" t="str">
            <v>Pass</v>
          </cell>
        </row>
        <row r="24">
          <cell r="J24">
            <v>12</v>
          </cell>
          <cell r="K24">
            <v>12</v>
          </cell>
          <cell r="L24" t="str">
            <v>Pass</v>
          </cell>
        </row>
      </sheetData>
      <sheetData sheetId="3">
        <row r="2">
          <cell r="J2">
            <v>9</v>
          </cell>
          <cell r="K2">
            <v>9</v>
          </cell>
          <cell r="L2" t="str">
            <v>Pass</v>
          </cell>
        </row>
        <row r="3">
          <cell r="J3">
            <v>9</v>
          </cell>
          <cell r="K3">
            <v>9</v>
          </cell>
          <cell r="L3" t="str">
            <v>Pass</v>
          </cell>
        </row>
        <row r="4">
          <cell r="J4">
            <v>9</v>
          </cell>
          <cell r="K4">
            <v>9</v>
          </cell>
          <cell r="L4" t="str">
            <v>Pass</v>
          </cell>
        </row>
        <row r="5">
          <cell r="J5">
            <v>9</v>
          </cell>
          <cell r="K5">
            <v>9</v>
          </cell>
          <cell r="L5" t="str">
            <v>Pass</v>
          </cell>
        </row>
        <row r="6">
          <cell r="J6">
            <v>9</v>
          </cell>
          <cell r="K6">
            <v>9</v>
          </cell>
          <cell r="L6" t="str">
            <v>Pass</v>
          </cell>
        </row>
        <row r="7">
          <cell r="J7">
            <v>9</v>
          </cell>
          <cell r="K7">
            <v>9</v>
          </cell>
          <cell r="L7" t="str">
            <v>Pass</v>
          </cell>
        </row>
        <row r="8">
          <cell r="J8">
            <v>9</v>
          </cell>
          <cell r="K8">
            <v>9</v>
          </cell>
          <cell r="L8" t="str">
            <v>Pass</v>
          </cell>
        </row>
        <row r="9">
          <cell r="J9">
            <v>10</v>
          </cell>
          <cell r="K9">
            <v>10</v>
          </cell>
          <cell r="L9" t="str">
            <v>Pass</v>
          </cell>
        </row>
        <row r="10">
          <cell r="J10">
            <v>19</v>
          </cell>
          <cell r="K10">
            <v>19</v>
          </cell>
          <cell r="L10" t="str">
            <v>Pass</v>
          </cell>
        </row>
        <row r="11">
          <cell r="J11">
            <v>11</v>
          </cell>
          <cell r="K11">
            <v>11</v>
          </cell>
          <cell r="L11" t="str">
            <v>Pass</v>
          </cell>
        </row>
        <row r="12">
          <cell r="J12">
            <v>19</v>
          </cell>
          <cell r="K12">
            <v>19</v>
          </cell>
          <cell r="L12" t="str">
            <v>Pass</v>
          </cell>
        </row>
      </sheetData>
      <sheetData sheetId="4">
        <row r="2">
          <cell r="J2">
            <v>10</v>
          </cell>
          <cell r="K2">
            <v>10</v>
          </cell>
          <cell r="L2" t="str">
            <v>Pass</v>
          </cell>
        </row>
        <row r="3">
          <cell r="J3">
            <v>10</v>
          </cell>
          <cell r="K3">
            <v>10</v>
          </cell>
          <cell r="L3" t="str">
            <v>Pass</v>
          </cell>
        </row>
        <row r="4">
          <cell r="J4">
            <v>10</v>
          </cell>
          <cell r="K4">
            <v>10</v>
          </cell>
          <cell r="L4" t="str">
            <v>Pass</v>
          </cell>
        </row>
        <row r="5">
          <cell r="J5">
            <v>10</v>
          </cell>
          <cell r="K5">
            <v>10</v>
          </cell>
          <cell r="L5" t="str">
            <v>Pass</v>
          </cell>
        </row>
        <row r="6">
          <cell r="J6">
            <v>11</v>
          </cell>
          <cell r="K6">
            <v>11</v>
          </cell>
          <cell r="L6" t="str">
            <v>Pass</v>
          </cell>
        </row>
        <row r="7">
          <cell r="J7">
            <v>11</v>
          </cell>
          <cell r="K7">
            <v>11</v>
          </cell>
          <cell r="L7" t="str">
            <v>Pass</v>
          </cell>
        </row>
        <row r="8">
          <cell r="J8">
            <v>9</v>
          </cell>
          <cell r="K8">
            <v>9</v>
          </cell>
          <cell r="L8" t="str">
            <v>Pass</v>
          </cell>
        </row>
        <row r="9">
          <cell r="J9">
            <v>9</v>
          </cell>
          <cell r="K9">
            <v>9</v>
          </cell>
          <cell r="L9" t="str">
            <v>Pass</v>
          </cell>
        </row>
        <row r="10">
          <cell r="J10">
            <v>9</v>
          </cell>
          <cell r="K10">
            <v>9</v>
          </cell>
          <cell r="L10" t="str">
            <v>Pass</v>
          </cell>
        </row>
        <row r="11">
          <cell r="J11">
            <v>9</v>
          </cell>
          <cell r="K11">
            <v>9</v>
          </cell>
          <cell r="L11" t="str">
            <v>Pass</v>
          </cell>
        </row>
        <row r="12">
          <cell r="J12">
            <v>9</v>
          </cell>
          <cell r="K12">
            <v>9</v>
          </cell>
          <cell r="L12" t="str">
            <v>Pass</v>
          </cell>
        </row>
        <row r="13">
          <cell r="J13">
            <v>9</v>
          </cell>
          <cell r="K13">
            <v>9</v>
          </cell>
          <cell r="L13" t="str">
            <v>Pass</v>
          </cell>
        </row>
        <row r="14">
          <cell r="J14">
            <v>9</v>
          </cell>
          <cell r="K14">
            <v>9</v>
          </cell>
          <cell r="L14" t="str">
            <v>Pass</v>
          </cell>
        </row>
      </sheetData>
      <sheetData sheetId="5">
        <row r="2">
          <cell r="E2">
            <v>7</v>
          </cell>
          <cell r="F2">
            <v>7</v>
          </cell>
          <cell r="G2" t="str">
            <v>Pass</v>
          </cell>
        </row>
        <row r="3">
          <cell r="E3">
            <v>7</v>
          </cell>
          <cell r="F3">
            <v>7</v>
          </cell>
          <cell r="G3" t="str">
            <v>Pass</v>
          </cell>
        </row>
        <row r="4">
          <cell r="E4">
            <v>12</v>
          </cell>
          <cell r="F4">
            <v>12</v>
          </cell>
          <cell r="G4" t="str">
            <v>Pass</v>
          </cell>
        </row>
        <row r="5">
          <cell r="E5">
            <v>4</v>
          </cell>
          <cell r="F5">
            <v>4</v>
          </cell>
          <cell r="G5" t="str">
            <v>Pass</v>
          </cell>
        </row>
        <row r="6">
          <cell r="E6">
            <v>8</v>
          </cell>
          <cell r="F6">
            <v>8</v>
          </cell>
          <cell r="G6" t="str">
            <v>Pass</v>
          </cell>
        </row>
        <row r="7">
          <cell r="E7">
            <v>6</v>
          </cell>
          <cell r="F7">
            <v>6</v>
          </cell>
          <cell r="G7" t="str">
            <v>pass</v>
          </cell>
        </row>
        <row r="8">
          <cell r="E8">
            <v>4</v>
          </cell>
          <cell r="F8">
            <v>4</v>
          </cell>
          <cell r="G8" t="str">
            <v>Pass</v>
          </cell>
        </row>
        <row r="9">
          <cell r="E9">
            <v>6</v>
          </cell>
          <cell r="F9">
            <v>6</v>
          </cell>
          <cell r="G9" t="str">
            <v>Pass</v>
          </cell>
        </row>
        <row r="10">
          <cell r="E10">
            <v>6</v>
          </cell>
          <cell r="F10">
            <v>6</v>
          </cell>
          <cell r="G10" t="str">
            <v>Pass</v>
          </cell>
        </row>
        <row r="11">
          <cell r="E11">
            <v>7</v>
          </cell>
          <cell r="F11">
            <v>7</v>
          </cell>
          <cell r="G11" t="str">
            <v>Pass</v>
          </cell>
        </row>
        <row r="12">
          <cell r="E12">
            <v>12</v>
          </cell>
          <cell r="F12">
            <v>12</v>
          </cell>
          <cell r="G12" t="str">
            <v>Pass</v>
          </cell>
        </row>
        <row r="13">
          <cell r="E13">
            <v>2</v>
          </cell>
          <cell r="F13">
            <v>2</v>
          </cell>
          <cell r="G13" t="str">
            <v>Pass</v>
          </cell>
        </row>
        <row r="14">
          <cell r="E14">
            <v>2</v>
          </cell>
          <cell r="F14">
            <v>2</v>
          </cell>
          <cell r="G14" t="str">
            <v>Pass</v>
          </cell>
        </row>
        <row r="15">
          <cell r="E15">
            <v>2</v>
          </cell>
          <cell r="F15">
            <v>2</v>
          </cell>
          <cell r="G15" t="str">
            <v>Pass</v>
          </cell>
        </row>
        <row r="16">
          <cell r="E16">
            <v>2</v>
          </cell>
          <cell r="F16">
            <v>2</v>
          </cell>
          <cell r="G16" t="str">
            <v>Pass</v>
          </cell>
        </row>
        <row r="17">
          <cell r="E17">
            <v>2</v>
          </cell>
          <cell r="F17">
            <v>2</v>
          </cell>
          <cell r="G17" t="str">
            <v>Pass</v>
          </cell>
        </row>
        <row r="18">
          <cell r="E18">
            <v>2</v>
          </cell>
          <cell r="F18">
            <v>2</v>
          </cell>
          <cell r="G18" t="str">
            <v>Pass</v>
          </cell>
        </row>
        <row r="19">
          <cell r="E19">
            <v>2</v>
          </cell>
          <cell r="F19">
            <v>2</v>
          </cell>
          <cell r="G19" t="str">
            <v>Pass</v>
          </cell>
        </row>
        <row r="20">
          <cell r="E20">
            <v>2</v>
          </cell>
          <cell r="F20">
            <v>2</v>
          </cell>
          <cell r="G20" t="str">
            <v>Pass</v>
          </cell>
        </row>
      </sheetData>
      <sheetData sheetId="6">
        <row r="1">
          <cell r="A1" t="str">
            <v>Pass</v>
          </cell>
          <cell r="C1" t="str">
            <v>Open</v>
          </cell>
        </row>
        <row r="2">
          <cell r="A2" t="str">
            <v>Fail</v>
          </cell>
          <cell r="C2" t="str">
            <v>Retest</v>
          </cell>
        </row>
        <row r="3">
          <cell r="A3" t="str">
            <v>No Run</v>
          </cell>
          <cell r="C3" t="str">
            <v>Ready for Prod</v>
          </cell>
        </row>
        <row r="4">
          <cell r="A4" t="str">
            <v>Not Completed</v>
          </cell>
          <cell r="C4" t="str">
            <v>Training</v>
          </cell>
        </row>
        <row r="5">
          <cell r="A5" t="str">
            <v>In Progress</v>
          </cell>
          <cell r="C5" t="str">
            <v>Closed</v>
          </cell>
        </row>
        <row r="6">
          <cell r="A6" t="str">
            <v>Out of Scope</v>
          </cell>
          <cell r="C6" t="str">
            <v>On Hold</v>
          </cell>
        </row>
        <row r="7">
          <cell r="A7" t="str">
            <v>Development</v>
          </cell>
        </row>
        <row r="8">
          <cell r="A8" t="str">
            <v>Blocked</v>
          </cell>
        </row>
        <row r="9">
          <cell r="A9" t="str">
            <v>Not Started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brserco.sharepoint.com/sites/SercoTestEvidenceRepository/Shared%20Documents/Forms/AllItems.aspx?id=%2Fsites%2FSercoTestEvidenceRepository%2FShared%20Documents%2FSerco%20Test%20Evidence%20Repository%2F2026%2D03%2DA%20%2D%20March%20Upgrade%2FTest%20Evidence%20Screenshots&amp;viewid=c9881c02%2D3a11%2D47cf%2Da090%2D08b1e89356f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DB90D-5487-3047-9732-2FB52570DFC7}">
  <dimension ref="C4:H55"/>
  <sheetViews>
    <sheetView workbookViewId="0">
      <selection activeCell="E19" sqref="E19"/>
    </sheetView>
  </sheetViews>
  <sheetFormatPr baseColWidth="10" defaultColWidth="8.83203125" defaultRowHeight="15" x14ac:dyDescent="0.2"/>
  <cols>
    <col min="1" max="2" width="8.83203125" style="58"/>
    <col min="3" max="3" width="16.33203125" style="58" customWidth="1"/>
    <col min="4" max="4" width="24.5" style="58" customWidth="1"/>
    <col min="5" max="5" width="67.33203125" style="58" customWidth="1"/>
    <col min="6" max="12" width="27.1640625" style="58" customWidth="1"/>
    <col min="13" max="16384" width="8.83203125" style="58"/>
  </cols>
  <sheetData>
    <row r="4" spans="3:5" ht="16" x14ac:dyDescent="0.2">
      <c r="C4" s="57" t="s">
        <v>74</v>
      </c>
      <c r="D4" s="57"/>
      <c r="E4" s="57"/>
    </row>
    <row r="5" spans="3:5" x14ac:dyDescent="0.2">
      <c r="C5" s="59" t="s">
        <v>75</v>
      </c>
      <c r="D5" s="60" t="s">
        <v>76</v>
      </c>
      <c r="E5" s="60"/>
    </row>
    <row r="6" spans="3:5" ht="14.5" customHeight="1" x14ac:dyDescent="0.2">
      <c r="C6" s="59" t="s">
        <v>75</v>
      </c>
      <c r="D6" s="61" t="s">
        <v>77</v>
      </c>
      <c r="E6" s="62"/>
    </row>
    <row r="7" spans="3:5" x14ac:dyDescent="0.2">
      <c r="C7" s="59" t="s">
        <v>78</v>
      </c>
      <c r="D7" s="60" t="s">
        <v>79</v>
      </c>
      <c r="E7" s="60"/>
    </row>
    <row r="8" spans="3:5" x14ac:dyDescent="0.2">
      <c r="C8" s="59" t="s">
        <v>80</v>
      </c>
      <c r="D8" s="60" t="s">
        <v>96</v>
      </c>
      <c r="E8" s="60"/>
    </row>
    <row r="9" spans="3:5" x14ac:dyDescent="0.2">
      <c r="C9" s="63"/>
      <c r="D9" s="64"/>
      <c r="E9" s="64"/>
    </row>
    <row r="10" spans="3:5" ht="16" x14ac:dyDescent="0.2">
      <c r="C10" s="65" t="s">
        <v>81</v>
      </c>
      <c r="D10" s="66"/>
      <c r="E10" s="66"/>
    </row>
    <row r="11" spans="3:5" x14ac:dyDescent="0.2">
      <c r="C11" s="67" t="s">
        <v>82</v>
      </c>
      <c r="D11" s="67" t="s">
        <v>83</v>
      </c>
      <c r="E11" s="67" t="s">
        <v>84</v>
      </c>
    </row>
    <row r="12" spans="3:5" x14ac:dyDescent="0.2">
      <c r="C12" s="68">
        <v>0.1</v>
      </c>
      <c r="D12" s="69">
        <v>46056</v>
      </c>
      <c r="E12" s="70" t="s">
        <v>85</v>
      </c>
    </row>
    <row r="13" spans="3:5" x14ac:dyDescent="0.2">
      <c r="C13" s="71">
        <v>0.2</v>
      </c>
      <c r="D13" s="72">
        <v>46058</v>
      </c>
      <c r="E13" s="73" t="s">
        <v>86</v>
      </c>
    </row>
    <row r="14" spans="3:5" x14ac:dyDescent="0.2">
      <c r="C14" s="74">
        <v>0.3</v>
      </c>
      <c r="D14" s="75">
        <v>46065</v>
      </c>
      <c r="E14" s="76" t="s">
        <v>87</v>
      </c>
    </row>
    <row r="15" spans="3:5" x14ac:dyDescent="0.2">
      <c r="C15" s="74">
        <v>0.4</v>
      </c>
      <c r="D15" s="75">
        <v>46094</v>
      </c>
      <c r="E15" s="76" t="s">
        <v>88</v>
      </c>
    </row>
    <row r="16" spans="3:5" x14ac:dyDescent="0.2">
      <c r="C16" s="77"/>
      <c r="D16" s="75"/>
      <c r="E16" s="76"/>
    </row>
    <row r="17" spans="3:8" x14ac:dyDescent="0.2">
      <c r="C17" s="64"/>
      <c r="D17" s="64"/>
      <c r="E17" s="64"/>
    </row>
    <row r="18" spans="3:8" ht="16" x14ac:dyDescent="0.2">
      <c r="C18" s="65" t="s">
        <v>89</v>
      </c>
      <c r="D18" s="66"/>
      <c r="E18" s="66"/>
    </row>
    <row r="19" spans="3:8" x14ac:dyDescent="0.2">
      <c r="C19" s="78" t="s">
        <v>90</v>
      </c>
      <c r="D19" s="79"/>
      <c r="E19" s="80" t="s">
        <v>96</v>
      </c>
    </row>
    <row r="20" spans="3:8" x14ac:dyDescent="0.2">
      <c r="C20" s="64"/>
      <c r="D20" s="64"/>
      <c r="E20" s="64"/>
    </row>
    <row r="21" spans="3:8" ht="16" x14ac:dyDescent="0.2">
      <c r="C21" s="65" t="s">
        <v>91</v>
      </c>
      <c r="D21" s="66"/>
      <c r="E21" s="66"/>
    </row>
    <row r="22" spans="3:8" x14ac:dyDescent="0.2">
      <c r="C22" s="81" t="s">
        <v>92</v>
      </c>
      <c r="D22" s="82"/>
      <c r="E22" s="82"/>
    </row>
    <row r="23" spans="3:8" x14ac:dyDescent="0.2">
      <c r="C23" s="83" t="s">
        <v>93</v>
      </c>
      <c r="D23" s="83" t="s">
        <v>94</v>
      </c>
      <c r="E23" s="83" t="s">
        <v>95</v>
      </c>
    </row>
    <row r="24" spans="3:8" x14ac:dyDescent="0.2">
      <c r="C24" s="84" t="s">
        <v>96</v>
      </c>
      <c r="D24" s="85" t="s">
        <v>96</v>
      </c>
      <c r="E24" s="86" t="s">
        <v>96</v>
      </c>
      <c r="G24" s="87"/>
      <c r="H24" s="87"/>
    </row>
    <row r="25" spans="3:8" x14ac:dyDescent="0.2">
      <c r="C25" s="84" t="s">
        <v>96</v>
      </c>
      <c r="D25" s="85" t="s">
        <v>96</v>
      </c>
      <c r="E25" s="86" t="s">
        <v>96</v>
      </c>
      <c r="G25" s="87"/>
      <c r="H25" s="87"/>
    </row>
    <row r="26" spans="3:8" x14ac:dyDescent="0.2">
      <c r="C26" s="84" t="s">
        <v>96</v>
      </c>
      <c r="D26" s="85" t="s">
        <v>96</v>
      </c>
      <c r="E26" s="86" t="s">
        <v>96</v>
      </c>
      <c r="G26" s="87"/>
      <c r="H26" s="87"/>
    </row>
    <row r="27" spans="3:8" x14ac:dyDescent="0.2">
      <c r="C27" s="88" t="s">
        <v>96</v>
      </c>
      <c r="D27" s="85" t="s">
        <v>96</v>
      </c>
      <c r="E27" s="86" t="s">
        <v>96</v>
      </c>
      <c r="G27" s="87"/>
      <c r="H27" s="87"/>
    </row>
    <row r="28" spans="3:8" x14ac:dyDescent="0.2">
      <c r="C28" s="86" t="s">
        <v>96</v>
      </c>
      <c r="D28" s="85" t="s">
        <v>96</v>
      </c>
      <c r="E28" s="86" t="s">
        <v>96</v>
      </c>
      <c r="G28" s="87"/>
      <c r="H28" s="87"/>
    </row>
    <row r="29" spans="3:8" x14ac:dyDescent="0.2">
      <c r="C29" s="86"/>
      <c r="D29" s="85"/>
      <c r="E29" s="89"/>
    </row>
    <row r="30" spans="3:8" x14ac:dyDescent="0.2">
      <c r="C30" s="86"/>
      <c r="D30" s="85"/>
      <c r="E30" s="90"/>
      <c r="G30" s="87"/>
      <c r="H30" s="87"/>
    </row>
    <row r="31" spans="3:8" x14ac:dyDescent="0.2">
      <c r="C31" s="86"/>
      <c r="D31" s="85"/>
      <c r="E31" s="89"/>
      <c r="G31" s="87"/>
      <c r="H31" s="87"/>
    </row>
    <row r="32" spans="3:8" x14ac:dyDescent="0.2">
      <c r="C32" s="86"/>
      <c r="D32" s="85"/>
      <c r="E32" s="90"/>
    </row>
    <row r="33" spans="3:6" x14ac:dyDescent="0.2">
      <c r="C33" s="86"/>
      <c r="D33" s="85"/>
      <c r="E33" s="89"/>
    </row>
    <row r="34" spans="3:6" x14ac:dyDescent="0.2">
      <c r="C34" s="86"/>
      <c r="D34" s="85"/>
      <c r="E34" s="91"/>
    </row>
    <row r="35" spans="3:6" x14ac:dyDescent="0.2">
      <c r="C35" s="86"/>
      <c r="D35" s="85"/>
      <c r="E35" s="89"/>
    </row>
    <row r="36" spans="3:6" x14ac:dyDescent="0.2">
      <c r="C36" s="86"/>
      <c r="D36" s="85"/>
      <c r="E36" s="90"/>
    </row>
    <row r="37" spans="3:6" x14ac:dyDescent="0.2">
      <c r="C37" s="86"/>
      <c r="D37" s="85"/>
      <c r="E37" s="89"/>
    </row>
    <row r="38" spans="3:6" x14ac:dyDescent="0.2">
      <c r="C38" s="86"/>
      <c r="D38" s="85"/>
      <c r="E38" s="90"/>
    </row>
    <row r="39" spans="3:6" x14ac:dyDescent="0.2">
      <c r="C39" s="86"/>
      <c r="D39" s="85"/>
      <c r="E39" s="89"/>
    </row>
    <row r="40" spans="3:6" x14ac:dyDescent="0.2">
      <c r="C40" s="86"/>
      <c r="D40" s="85"/>
      <c r="E40" s="90"/>
      <c r="F40" s="9"/>
    </row>
    <row r="41" spans="3:6" x14ac:dyDescent="0.2">
      <c r="C41" s="86"/>
      <c r="D41" s="85"/>
      <c r="E41" s="89"/>
      <c r="F41" s="9"/>
    </row>
    <row r="42" spans="3:6" x14ac:dyDescent="0.2">
      <c r="C42" s="86"/>
      <c r="D42" s="85"/>
      <c r="E42" s="90"/>
      <c r="F42" s="9"/>
    </row>
    <row r="43" spans="3:6" x14ac:dyDescent="0.2">
      <c r="C43" s="86"/>
      <c r="D43" s="85"/>
      <c r="E43" s="89"/>
      <c r="F43" s="9"/>
    </row>
    <row r="44" spans="3:6" x14ac:dyDescent="0.2">
      <c r="C44" s="86"/>
      <c r="D44" s="85"/>
      <c r="E44" s="90"/>
      <c r="F44" s="9"/>
    </row>
    <row r="45" spans="3:6" x14ac:dyDescent="0.2">
      <c r="C45" s="86"/>
      <c r="D45" s="85"/>
      <c r="E45" s="89"/>
      <c r="F45" s="9"/>
    </row>
    <row r="46" spans="3:6" x14ac:dyDescent="0.2">
      <c r="C46" s="86"/>
      <c r="D46" s="85"/>
      <c r="E46" s="90"/>
      <c r="F46" s="9"/>
    </row>
    <row r="47" spans="3:6" x14ac:dyDescent="0.2">
      <c r="C47" s="86"/>
      <c r="D47" s="85"/>
      <c r="E47" s="89"/>
      <c r="F47" s="9"/>
    </row>
    <row r="48" spans="3:6" x14ac:dyDescent="0.2">
      <c r="C48" s="86"/>
      <c r="D48" s="85"/>
      <c r="E48" s="90"/>
      <c r="F48" s="9"/>
    </row>
    <row r="49" spans="3:6" x14ac:dyDescent="0.2">
      <c r="C49" s="86"/>
      <c r="D49" s="85"/>
      <c r="E49" s="89"/>
      <c r="F49" s="9"/>
    </row>
    <row r="50" spans="3:6" x14ac:dyDescent="0.2">
      <c r="C50" s="86"/>
      <c r="D50" s="85"/>
      <c r="E50" s="90"/>
    </row>
    <row r="51" spans="3:6" x14ac:dyDescent="0.2">
      <c r="C51" s="86"/>
      <c r="D51" s="85"/>
      <c r="E51" s="89"/>
    </row>
    <row r="52" spans="3:6" x14ac:dyDescent="0.2">
      <c r="C52" s="86"/>
      <c r="D52" s="85"/>
      <c r="E52" s="90"/>
    </row>
    <row r="53" spans="3:6" x14ac:dyDescent="0.2">
      <c r="C53" s="86"/>
      <c r="D53" s="85"/>
      <c r="E53" s="89"/>
    </row>
    <row r="54" spans="3:6" x14ac:dyDescent="0.2">
      <c r="C54" s="84"/>
      <c r="D54" s="85"/>
      <c r="E54" s="89"/>
    </row>
    <row r="55" spans="3:6" x14ac:dyDescent="0.2">
      <c r="C55" s="84"/>
      <c r="D55" s="85"/>
      <c r="E55" s="89"/>
    </row>
  </sheetData>
  <mergeCells count="10">
    <mergeCell ref="C18:E18"/>
    <mergeCell ref="C19:D19"/>
    <mergeCell ref="C21:E21"/>
    <mergeCell ref="C22:E22"/>
    <mergeCell ref="C4:E4"/>
    <mergeCell ref="D5:E5"/>
    <mergeCell ref="D6:E6"/>
    <mergeCell ref="D7:E7"/>
    <mergeCell ref="D8:E8"/>
    <mergeCell ref="C10:E10"/>
  </mergeCells>
  <hyperlinks>
    <hyperlink ref="E19" r:id="rId1" display="Link to Test Evidence Repository" xr:uid="{05BB5972-C648-4C4F-839E-7BC412C18FA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BF721-0C8D-9E4E-ACBE-64346A8936F3}">
  <dimension ref="A1:AM41"/>
  <sheetViews>
    <sheetView topLeftCell="A5" zoomScale="70" zoomScaleNormal="70" workbookViewId="0">
      <selection activeCell="Q33" sqref="Q33"/>
    </sheetView>
  </sheetViews>
  <sheetFormatPr baseColWidth="10" defaultColWidth="8.83203125" defaultRowHeight="13" x14ac:dyDescent="0.15"/>
  <cols>
    <col min="1" max="1" width="1.83203125" style="9" customWidth="1"/>
    <col min="2" max="2" width="18.1640625" style="9" customWidth="1"/>
    <col min="3" max="3" width="9.83203125" style="9" customWidth="1"/>
    <col min="4" max="11" width="8.83203125" style="9"/>
    <col min="12" max="12" width="7.33203125" style="9" customWidth="1"/>
    <col min="13" max="13" width="2.5" style="9" customWidth="1"/>
    <col min="14" max="14" width="1.83203125" style="9" customWidth="1"/>
    <col min="15" max="15" width="15.5" style="9" customWidth="1"/>
    <col min="16" max="16" width="10" style="9" customWidth="1"/>
    <col min="17" max="24" width="8.83203125" style="9"/>
    <col min="25" max="25" width="7.6640625" style="9" customWidth="1"/>
    <col min="26" max="28" width="8.83203125" style="9"/>
    <col min="29" max="29" width="13.83203125" style="9" customWidth="1"/>
    <col min="30" max="16384" width="8.83203125" style="9"/>
  </cols>
  <sheetData>
    <row r="1" spans="1:39" ht="14" thickBot="1" x14ac:dyDescent="0.2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</row>
    <row r="2" spans="1:39" x14ac:dyDescent="0.15">
      <c r="A2" s="10"/>
      <c r="B2" s="10"/>
      <c r="C2" s="10"/>
      <c r="D2" s="10"/>
      <c r="E2" s="11" t="s">
        <v>55</v>
      </c>
      <c r="F2" s="11"/>
      <c r="G2" s="11"/>
      <c r="H2" s="11"/>
      <c r="I2" s="10"/>
      <c r="J2" s="10"/>
      <c r="K2" s="10"/>
      <c r="L2" s="10"/>
      <c r="M2" s="12"/>
      <c r="N2" s="13"/>
      <c r="O2" s="14"/>
      <c r="P2" s="14"/>
      <c r="Q2" s="14"/>
      <c r="R2" s="15" t="s">
        <v>56</v>
      </c>
      <c r="S2" s="15"/>
      <c r="T2" s="15"/>
      <c r="U2" s="15"/>
      <c r="V2" s="14"/>
      <c r="W2" s="14"/>
      <c r="X2" s="14"/>
      <c r="Y2" s="16"/>
      <c r="AB2" s="13"/>
      <c r="AC2" s="14"/>
      <c r="AD2" s="14"/>
      <c r="AE2" s="14"/>
      <c r="AF2" s="15" t="s">
        <v>57</v>
      </c>
      <c r="AG2" s="15"/>
      <c r="AH2" s="15"/>
      <c r="AI2" s="15"/>
      <c r="AJ2" s="14"/>
      <c r="AK2" s="14"/>
      <c r="AL2" s="14"/>
      <c r="AM2" s="16"/>
    </row>
    <row r="3" spans="1:39" ht="14" thickBot="1" x14ac:dyDescent="0.2">
      <c r="A3" s="10"/>
      <c r="B3" s="17"/>
      <c r="C3" s="17"/>
      <c r="D3" s="10"/>
      <c r="E3" s="10"/>
      <c r="F3" s="10"/>
      <c r="G3" s="10"/>
      <c r="H3" s="10"/>
      <c r="I3" s="10"/>
      <c r="J3" s="10"/>
      <c r="K3" s="10"/>
      <c r="L3" s="10"/>
      <c r="M3" s="12"/>
      <c r="N3" s="18"/>
      <c r="O3" s="19"/>
      <c r="P3" s="19"/>
      <c r="Q3" s="20"/>
      <c r="R3" s="20"/>
      <c r="S3" s="20"/>
      <c r="T3" s="20"/>
      <c r="U3" s="20"/>
      <c r="V3" s="20"/>
      <c r="W3" s="20"/>
      <c r="X3" s="20"/>
      <c r="Y3" s="21"/>
      <c r="AB3" s="18"/>
      <c r="AC3" s="19"/>
      <c r="AD3" s="19"/>
      <c r="AE3" s="20"/>
      <c r="AF3" s="20"/>
      <c r="AG3" s="20"/>
      <c r="AH3" s="20"/>
      <c r="AI3" s="20"/>
      <c r="AJ3" s="20"/>
      <c r="AK3" s="20"/>
      <c r="AL3" s="20"/>
      <c r="AM3" s="21"/>
    </row>
    <row r="4" spans="1:39" ht="18" customHeight="1" x14ac:dyDescent="0.15">
      <c r="A4" s="22"/>
      <c r="B4" s="23" t="s">
        <v>58</v>
      </c>
      <c r="C4" s="24"/>
      <c r="D4" s="10"/>
      <c r="E4" s="10"/>
      <c r="F4" s="10"/>
      <c r="G4" s="10"/>
      <c r="H4" s="10"/>
      <c r="I4" s="10"/>
      <c r="J4" s="10"/>
      <c r="K4" s="10"/>
      <c r="L4" s="10"/>
      <c r="M4" s="12"/>
      <c r="N4" s="18"/>
      <c r="O4" s="25" t="s">
        <v>58</v>
      </c>
      <c r="P4" s="26"/>
      <c r="Q4" s="20"/>
      <c r="R4" s="20"/>
      <c r="S4" s="20"/>
      <c r="T4" s="20"/>
      <c r="U4" s="20"/>
      <c r="V4" s="20"/>
      <c r="W4" s="20"/>
      <c r="X4" s="20"/>
      <c r="Y4" s="21"/>
      <c r="AB4" s="18"/>
      <c r="AC4" s="25" t="s">
        <v>58</v>
      </c>
      <c r="AD4" s="26"/>
      <c r="AE4" s="20"/>
      <c r="AF4" s="20"/>
      <c r="AG4" s="20"/>
      <c r="AH4" s="20"/>
      <c r="AI4" s="20"/>
      <c r="AJ4" s="20"/>
      <c r="AK4" s="20"/>
      <c r="AL4" s="20"/>
      <c r="AM4" s="21"/>
    </row>
    <row r="5" spans="1:39" ht="18" customHeight="1" x14ac:dyDescent="0.15">
      <c r="A5" s="22"/>
      <c r="B5" s="27" t="s">
        <v>59</v>
      </c>
      <c r="C5" s="28">
        <f>SUM('[1]Phase 6'!K9:K150)</f>
        <v>164</v>
      </c>
      <c r="D5" s="10"/>
      <c r="E5" s="10"/>
      <c r="F5" s="10"/>
      <c r="G5" s="10"/>
      <c r="H5" s="10"/>
      <c r="I5" s="10"/>
      <c r="J5" s="10"/>
      <c r="K5" s="10"/>
      <c r="L5" s="10"/>
      <c r="M5" s="12"/>
      <c r="N5" s="18"/>
      <c r="O5" s="27" t="s">
        <v>59</v>
      </c>
      <c r="P5" s="28">
        <f>SUM([1]Variations!F2:F41)</f>
        <v>95</v>
      </c>
      <c r="Q5" s="20"/>
      <c r="R5" s="20"/>
      <c r="S5" s="20"/>
      <c r="T5" s="20"/>
      <c r="U5" s="20"/>
      <c r="V5" s="20"/>
      <c r="W5" s="20"/>
      <c r="X5" s="20"/>
      <c r="Y5" s="21"/>
      <c r="AB5" s="18"/>
      <c r="AC5" s="27" t="s">
        <v>59</v>
      </c>
      <c r="AD5" s="28">
        <f>SUM([1]OVERALL!F2:F82)</f>
        <v>0</v>
      </c>
      <c r="AE5" s="20"/>
      <c r="AF5" s="20"/>
      <c r="AG5" s="20"/>
      <c r="AH5" s="20"/>
      <c r="AI5" s="20"/>
      <c r="AJ5" s="20"/>
      <c r="AK5" s="20"/>
      <c r="AL5" s="20"/>
      <c r="AM5" s="21"/>
    </row>
    <row r="6" spans="1:39" ht="18" customHeight="1" x14ac:dyDescent="0.15">
      <c r="A6" s="22"/>
      <c r="B6" s="27" t="s">
        <v>60</v>
      </c>
      <c r="C6" s="24">
        <f>C7-C5</f>
        <v>0</v>
      </c>
      <c r="D6" s="10"/>
      <c r="E6" s="10"/>
      <c r="F6" s="10"/>
      <c r="G6" s="10"/>
      <c r="H6" s="10"/>
      <c r="I6" s="10"/>
      <c r="J6" s="10"/>
      <c r="K6" s="10"/>
      <c r="L6" s="10"/>
      <c r="M6" s="12"/>
      <c r="N6" s="18"/>
      <c r="O6" s="27" t="s">
        <v>60</v>
      </c>
      <c r="P6" s="28">
        <f>SUM(P7-P5)</f>
        <v>0</v>
      </c>
      <c r="Q6" s="20"/>
      <c r="R6" s="20"/>
      <c r="S6" s="20"/>
      <c r="T6" s="20"/>
      <c r="U6" s="20"/>
      <c r="V6" s="20"/>
      <c r="W6" s="20"/>
      <c r="X6" s="20"/>
      <c r="Y6" s="21"/>
      <c r="AB6" s="18"/>
      <c r="AC6" s="27" t="s">
        <v>60</v>
      </c>
      <c r="AD6" s="24">
        <f>SUM(AD7-AD5)</f>
        <v>0</v>
      </c>
      <c r="AE6" s="20"/>
      <c r="AF6" s="20"/>
      <c r="AG6" s="20"/>
      <c r="AH6" s="20"/>
      <c r="AI6" s="20"/>
      <c r="AJ6" s="20"/>
      <c r="AK6" s="20"/>
      <c r="AL6" s="20"/>
      <c r="AM6" s="21"/>
    </row>
    <row r="7" spans="1:39" ht="18" customHeight="1" x14ac:dyDescent="0.15">
      <c r="A7" s="22"/>
      <c r="B7" s="27" t="s">
        <v>61</v>
      </c>
      <c r="C7" s="24">
        <f>SUM('[1]Phase 6'!J9:J150)</f>
        <v>164</v>
      </c>
      <c r="D7" s="10"/>
      <c r="E7" s="10"/>
      <c r="F7" s="10"/>
      <c r="G7" s="10"/>
      <c r="H7" s="10"/>
      <c r="I7" s="10"/>
      <c r="J7" s="10"/>
      <c r="K7" s="10"/>
      <c r="L7" s="10"/>
      <c r="M7" s="12"/>
      <c r="N7" s="18"/>
      <c r="O7" s="27" t="s">
        <v>61</v>
      </c>
      <c r="P7" s="24">
        <f>SUM([1]Variations!E2:E41)</f>
        <v>95</v>
      </c>
      <c r="Q7" s="20"/>
      <c r="R7" s="20"/>
      <c r="S7" s="20"/>
      <c r="T7" s="20"/>
      <c r="U7" s="20"/>
      <c r="V7" s="20"/>
      <c r="W7" s="20"/>
      <c r="X7" s="20"/>
      <c r="Y7" s="21"/>
      <c r="AB7" s="18"/>
      <c r="AC7" s="27" t="s">
        <v>61</v>
      </c>
      <c r="AD7" s="24">
        <f>SUM([1]OVERALL!E2:E82)</f>
        <v>0</v>
      </c>
      <c r="AE7" s="20"/>
      <c r="AF7" s="20"/>
      <c r="AG7" s="20"/>
      <c r="AH7" s="20"/>
      <c r="AI7" s="20"/>
      <c r="AJ7" s="20"/>
      <c r="AK7" s="20"/>
      <c r="AL7" s="20"/>
      <c r="AM7" s="21"/>
    </row>
    <row r="8" spans="1:39" ht="18" customHeight="1" x14ac:dyDescent="0.15">
      <c r="A8" s="22"/>
      <c r="B8" s="27"/>
      <c r="C8" s="24"/>
      <c r="D8" s="10"/>
      <c r="E8" s="10"/>
      <c r="F8" s="10"/>
      <c r="G8" s="10"/>
      <c r="H8" s="10"/>
      <c r="I8" s="10"/>
      <c r="J8" s="10"/>
      <c r="K8" s="10"/>
      <c r="L8" s="10"/>
      <c r="M8" s="12"/>
      <c r="N8" s="18"/>
      <c r="O8" s="27"/>
      <c r="P8" s="24"/>
      <c r="Q8" s="20"/>
      <c r="R8" s="20"/>
      <c r="S8" s="20"/>
      <c r="T8" s="20"/>
      <c r="U8" s="20"/>
      <c r="V8" s="20"/>
      <c r="W8" s="20"/>
      <c r="X8" s="20"/>
      <c r="Y8" s="21"/>
      <c r="AB8" s="18"/>
      <c r="AC8" s="27"/>
      <c r="AD8" s="24"/>
      <c r="AE8" s="20"/>
      <c r="AF8" s="20"/>
      <c r="AG8" s="20"/>
      <c r="AH8" s="20"/>
      <c r="AI8" s="20"/>
      <c r="AJ8" s="20"/>
      <c r="AK8" s="20"/>
      <c r="AL8" s="20"/>
      <c r="AM8" s="21"/>
    </row>
    <row r="9" spans="1:39" ht="18" customHeight="1" thickBot="1" x14ac:dyDescent="0.2">
      <c r="A9" s="22"/>
      <c r="B9" s="29" t="s">
        <v>62</v>
      </c>
      <c r="C9" s="30">
        <f>C5/C7</f>
        <v>1</v>
      </c>
      <c r="D9" s="10"/>
      <c r="E9" s="10"/>
      <c r="F9" s="10"/>
      <c r="G9" s="10"/>
      <c r="H9" s="10"/>
      <c r="I9" s="10"/>
      <c r="J9" s="10"/>
      <c r="K9" s="10"/>
      <c r="L9" s="10"/>
      <c r="M9" s="12"/>
      <c r="N9" s="18"/>
      <c r="O9" s="29" t="s">
        <v>62</v>
      </c>
      <c r="P9" s="30">
        <f>P5/P7</f>
        <v>1</v>
      </c>
      <c r="Q9" s="20"/>
      <c r="R9" s="20"/>
      <c r="S9" s="20"/>
      <c r="T9" s="20"/>
      <c r="U9" s="20"/>
      <c r="V9" s="20"/>
      <c r="W9" s="20"/>
      <c r="X9" s="20"/>
      <c r="Y9" s="21"/>
      <c r="AB9" s="18"/>
      <c r="AC9" s="29" t="s">
        <v>62</v>
      </c>
      <c r="AD9" s="30" t="e">
        <f>AD5/AD7</f>
        <v>#DIV/0!</v>
      </c>
      <c r="AE9" s="20"/>
      <c r="AF9" s="20"/>
      <c r="AG9" s="20"/>
      <c r="AH9" s="20"/>
      <c r="AI9" s="20"/>
      <c r="AJ9" s="20"/>
      <c r="AK9" s="20"/>
      <c r="AL9" s="20"/>
      <c r="AM9" s="21"/>
    </row>
    <row r="10" spans="1:39" ht="18" customHeight="1" thickBot="1" x14ac:dyDescent="0.2">
      <c r="A10" s="22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2"/>
      <c r="N10" s="18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1"/>
      <c r="AB10" s="18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1"/>
    </row>
    <row r="11" spans="1:39" ht="18" customHeight="1" x14ac:dyDescent="0.15">
      <c r="A11" s="22"/>
      <c r="B11" s="25" t="s">
        <v>63</v>
      </c>
      <c r="C11" s="31"/>
      <c r="D11" s="26"/>
      <c r="E11" s="10"/>
      <c r="F11" s="10"/>
      <c r="G11" s="10"/>
      <c r="H11" s="10"/>
      <c r="I11" s="10"/>
      <c r="J11" s="10"/>
      <c r="K11" s="10"/>
      <c r="L11" s="10"/>
      <c r="M11" s="12"/>
      <c r="N11" s="18"/>
      <c r="O11" s="25" t="s">
        <v>63</v>
      </c>
      <c r="P11" s="31"/>
      <c r="Q11" s="26"/>
      <c r="R11" s="20"/>
      <c r="S11" s="20"/>
      <c r="T11" s="20"/>
      <c r="U11" s="20"/>
      <c r="V11" s="20"/>
      <c r="W11" s="20"/>
      <c r="X11" s="20"/>
      <c r="Y11" s="21"/>
      <c r="AB11" s="18"/>
      <c r="AC11" s="25" t="s">
        <v>63</v>
      </c>
      <c r="AD11" s="31"/>
      <c r="AE11" s="26"/>
      <c r="AF11" s="20"/>
      <c r="AG11" s="20"/>
      <c r="AH11" s="20"/>
      <c r="AI11" s="20"/>
      <c r="AJ11" s="20"/>
      <c r="AK11" s="20"/>
      <c r="AL11" s="20"/>
      <c r="AM11" s="21"/>
    </row>
    <row r="12" spans="1:39" ht="18" customHeight="1" x14ac:dyDescent="0.15">
      <c r="A12" s="22"/>
      <c r="B12" s="27" t="s">
        <v>54</v>
      </c>
      <c r="C12" s="32">
        <f>COUNTIF('[1]Phase 6'!$L$2:$L$148,Summary!B12)</f>
        <v>23</v>
      </c>
      <c r="D12" s="33">
        <f>C12/$C$19</f>
        <v>1</v>
      </c>
      <c r="E12" s="10"/>
      <c r="F12" s="10"/>
      <c r="G12" s="10"/>
      <c r="H12" s="10"/>
      <c r="I12" s="10"/>
      <c r="J12" s="10"/>
      <c r="K12" s="10"/>
      <c r="L12" s="10"/>
      <c r="M12" s="12"/>
      <c r="N12" s="18"/>
      <c r="O12" s="27" t="s">
        <v>54</v>
      </c>
      <c r="P12" s="32">
        <f>COUNTIF([1]Variations!$G$2:$G$148,Summary!O12)</f>
        <v>19</v>
      </c>
      <c r="Q12" s="33">
        <f t="shared" ref="Q12:Q18" si="0">P12/$P$19</f>
        <v>1</v>
      </c>
      <c r="R12" s="20"/>
      <c r="S12" s="20"/>
      <c r="T12" s="20"/>
      <c r="U12" s="20"/>
      <c r="V12" s="20"/>
      <c r="W12" s="20"/>
      <c r="X12" s="20"/>
      <c r="Y12" s="21"/>
      <c r="AB12" s="18"/>
      <c r="AC12" s="27" t="s">
        <v>54</v>
      </c>
      <c r="AD12" s="32">
        <f>COUNTIF([1]OVERALL!$G$2:$G$150,Summary!AC12)</f>
        <v>0</v>
      </c>
      <c r="AE12" s="33" t="e">
        <f t="shared" ref="AE12:AE18" si="1">AD12/$AD$19</f>
        <v>#DIV/0!</v>
      </c>
      <c r="AF12" s="20"/>
      <c r="AG12" s="20"/>
      <c r="AH12" s="20"/>
      <c r="AI12" s="20"/>
      <c r="AJ12" s="20"/>
      <c r="AK12" s="20"/>
      <c r="AL12" s="20"/>
      <c r="AM12" s="21"/>
    </row>
    <row r="13" spans="1:39" ht="18" customHeight="1" x14ac:dyDescent="0.15">
      <c r="A13" s="22"/>
      <c r="B13" s="27" t="s">
        <v>64</v>
      </c>
      <c r="C13" s="32">
        <f>COUNTIF('[1]Phase 6'!$L$2:$L$148,Summary!B13)</f>
        <v>0</v>
      </c>
      <c r="D13" s="33">
        <f t="shared" ref="D13:D18" si="2">C13/$C$19</f>
        <v>0</v>
      </c>
      <c r="E13" s="10"/>
      <c r="F13" s="10"/>
      <c r="G13" s="10"/>
      <c r="H13" s="10"/>
      <c r="I13" s="10"/>
      <c r="J13" s="10"/>
      <c r="K13" s="10"/>
      <c r="L13" s="10"/>
      <c r="M13" s="12"/>
      <c r="N13" s="18"/>
      <c r="O13" s="27" t="s">
        <v>64</v>
      </c>
      <c r="P13" s="32">
        <f>COUNTIF([1]Variations!$G$2:$G$148,Summary!O13)</f>
        <v>0</v>
      </c>
      <c r="Q13" s="33">
        <f t="shared" si="0"/>
        <v>0</v>
      </c>
      <c r="R13" s="20"/>
      <c r="S13" s="20"/>
      <c r="T13" s="20"/>
      <c r="U13" s="20"/>
      <c r="V13" s="20"/>
      <c r="W13" s="20"/>
      <c r="X13" s="20"/>
      <c r="Y13" s="21"/>
      <c r="AB13" s="18"/>
      <c r="AC13" s="27" t="s">
        <v>64</v>
      </c>
      <c r="AD13" s="32">
        <f>COUNTIF([1]OVERALL!$G$2:$G$150,Summary!AC13)</f>
        <v>0</v>
      </c>
      <c r="AE13" s="33" t="e">
        <f t="shared" si="1"/>
        <v>#DIV/0!</v>
      </c>
      <c r="AF13" s="20"/>
      <c r="AG13" s="20"/>
      <c r="AH13" s="20"/>
      <c r="AI13" s="20"/>
      <c r="AJ13" s="20"/>
      <c r="AK13" s="20"/>
      <c r="AL13" s="20"/>
      <c r="AM13" s="21"/>
    </row>
    <row r="14" spans="1:39" ht="18" customHeight="1" x14ac:dyDescent="0.15">
      <c r="A14" s="22"/>
      <c r="B14" s="27" t="s">
        <v>65</v>
      </c>
      <c r="C14" s="32">
        <f>COUNTIF('[1]Phase 6'!$L$2:$L$148,Summary!B14)</f>
        <v>0</v>
      </c>
      <c r="D14" s="33">
        <f t="shared" si="2"/>
        <v>0</v>
      </c>
      <c r="E14" s="10"/>
      <c r="F14" s="10"/>
      <c r="G14" s="10"/>
      <c r="H14" s="10"/>
      <c r="I14" s="10"/>
      <c r="J14" s="10"/>
      <c r="K14" s="10"/>
      <c r="L14" s="10"/>
      <c r="M14" s="12"/>
      <c r="N14" s="18"/>
      <c r="O14" s="27" t="s">
        <v>65</v>
      </c>
      <c r="P14" s="32">
        <f>COUNTIF([1]Variations!$G$2:$G$148,Summary!O14)</f>
        <v>0</v>
      </c>
      <c r="Q14" s="33">
        <f t="shared" si="0"/>
        <v>0</v>
      </c>
      <c r="R14" s="20"/>
      <c r="S14" s="20"/>
      <c r="T14" s="20"/>
      <c r="U14" s="20"/>
      <c r="V14" s="20"/>
      <c r="W14" s="20"/>
      <c r="X14" s="20"/>
      <c r="Y14" s="21"/>
      <c r="AB14" s="18"/>
      <c r="AC14" s="27" t="s">
        <v>65</v>
      </c>
      <c r="AD14" s="32">
        <f>COUNTIF([1]OVERALL!$G$2:$G$150,Summary!AC14)</f>
        <v>0</v>
      </c>
      <c r="AE14" s="33" t="e">
        <f t="shared" si="1"/>
        <v>#DIV/0!</v>
      </c>
      <c r="AF14" s="20"/>
      <c r="AG14" s="20"/>
      <c r="AH14" s="20"/>
      <c r="AI14" s="20"/>
      <c r="AJ14" s="20"/>
      <c r="AK14" s="20"/>
      <c r="AL14" s="20"/>
      <c r="AM14" s="21"/>
    </row>
    <row r="15" spans="1:39" ht="18" customHeight="1" x14ac:dyDescent="0.15">
      <c r="A15" s="22"/>
      <c r="B15" s="27" t="s">
        <v>66</v>
      </c>
      <c r="C15" s="32">
        <f>COUNTIF('[1]Phase 6'!$L$2:$L$148,Summary!B15)</f>
        <v>0</v>
      </c>
      <c r="D15" s="33">
        <f t="shared" si="2"/>
        <v>0</v>
      </c>
      <c r="E15" s="10"/>
      <c r="F15" s="10"/>
      <c r="G15" s="10"/>
      <c r="H15" s="10"/>
      <c r="I15" s="10"/>
      <c r="J15" s="10"/>
      <c r="K15" s="10"/>
      <c r="L15" s="10"/>
      <c r="M15" s="12"/>
      <c r="N15" s="18"/>
      <c r="O15" s="27" t="s">
        <v>66</v>
      </c>
      <c r="P15" s="32">
        <f>COUNTIF([1]Variations!$G$2:$G$148,Summary!O15)</f>
        <v>0</v>
      </c>
      <c r="Q15" s="33">
        <f t="shared" si="0"/>
        <v>0</v>
      </c>
      <c r="R15" s="20"/>
      <c r="S15" s="20"/>
      <c r="T15" s="20"/>
      <c r="U15" s="20"/>
      <c r="V15" s="20"/>
      <c r="W15" s="20"/>
      <c r="X15" s="20"/>
      <c r="Y15" s="21"/>
      <c r="AB15" s="18"/>
      <c r="AC15" s="27" t="s">
        <v>66</v>
      </c>
      <c r="AD15" s="32">
        <f>COUNTIF([1]OVERALL!$G$2:$G$150,Summary!AC15)</f>
        <v>0</v>
      </c>
      <c r="AE15" s="33" t="e">
        <f t="shared" si="1"/>
        <v>#DIV/0!</v>
      </c>
      <c r="AF15" s="20"/>
      <c r="AG15" s="20"/>
      <c r="AH15" s="20"/>
      <c r="AI15" s="20"/>
      <c r="AJ15" s="20"/>
      <c r="AK15" s="20"/>
      <c r="AL15" s="20"/>
      <c r="AM15" s="21"/>
    </row>
    <row r="16" spans="1:39" ht="18" customHeight="1" x14ac:dyDescent="0.15">
      <c r="A16" s="22"/>
      <c r="B16" s="27" t="s">
        <v>67</v>
      </c>
      <c r="C16" s="32">
        <f>COUNTIF('[1]Phase 6'!$L$2:$L$148,Summary!B16)</f>
        <v>0</v>
      </c>
      <c r="D16" s="33">
        <f t="shared" si="2"/>
        <v>0</v>
      </c>
      <c r="E16" s="10"/>
      <c r="F16" s="10"/>
      <c r="G16" s="10"/>
      <c r="H16" s="10"/>
      <c r="I16" s="10"/>
      <c r="J16" s="10"/>
      <c r="K16" s="10"/>
      <c r="L16" s="10"/>
      <c r="M16" s="12"/>
      <c r="N16" s="18"/>
      <c r="O16" s="27" t="s">
        <v>67</v>
      </c>
      <c r="P16" s="32">
        <f>COUNTIF([1]Variations!$G$2:$G$148,Summary!O16)</f>
        <v>0</v>
      </c>
      <c r="Q16" s="33">
        <f t="shared" si="0"/>
        <v>0</v>
      </c>
      <c r="R16" s="20"/>
      <c r="S16" s="20"/>
      <c r="T16" s="20"/>
      <c r="U16" s="20"/>
      <c r="V16" s="20"/>
      <c r="W16" s="20"/>
      <c r="X16" s="20"/>
      <c r="Y16" s="21"/>
      <c r="AB16" s="18"/>
      <c r="AC16" s="27" t="s">
        <v>67</v>
      </c>
      <c r="AD16" s="32">
        <f>COUNTIF([1]OVERALL!$G$2:$G$150,Summary!AC16)</f>
        <v>0</v>
      </c>
      <c r="AE16" s="33" t="e">
        <f t="shared" si="1"/>
        <v>#DIV/0!</v>
      </c>
      <c r="AF16" s="20"/>
      <c r="AG16" s="20"/>
      <c r="AH16" s="20"/>
      <c r="AI16" s="20"/>
      <c r="AJ16" s="20"/>
      <c r="AK16" s="20"/>
      <c r="AL16" s="20"/>
      <c r="AM16" s="21"/>
    </row>
    <row r="17" spans="1:39" ht="18" customHeight="1" x14ac:dyDescent="0.15">
      <c r="A17" s="22"/>
      <c r="B17" s="27" t="s">
        <v>68</v>
      </c>
      <c r="C17" s="32">
        <f>COUNTIF('[1]Phase 6'!$L$2:$L$148,Summary!B17)</f>
        <v>0</v>
      </c>
      <c r="D17" s="33">
        <f t="shared" si="2"/>
        <v>0</v>
      </c>
      <c r="E17" s="10"/>
      <c r="F17" s="10"/>
      <c r="G17" s="10"/>
      <c r="H17" s="10"/>
      <c r="I17" s="10"/>
      <c r="J17" s="10"/>
      <c r="K17" s="10"/>
      <c r="L17" s="10"/>
      <c r="M17" s="12"/>
      <c r="N17" s="18"/>
      <c r="O17" s="27" t="s">
        <v>68</v>
      </c>
      <c r="P17" s="32">
        <f>COUNTIF([1]Variations!$G$2:$G$148,Summary!O17)</f>
        <v>0</v>
      </c>
      <c r="Q17" s="33">
        <f t="shared" si="0"/>
        <v>0</v>
      </c>
      <c r="R17" s="20"/>
      <c r="S17" s="20"/>
      <c r="T17" s="20"/>
      <c r="U17" s="20"/>
      <c r="V17" s="20"/>
      <c r="W17" s="20"/>
      <c r="X17" s="20"/>
      <c r="Y17" s="21"/>
      <c r="AB17" s="18"/>
      <c r="AC17" s="27" t="s">
        <v>68</v>
      </c>
      <c r="AD17" s="32">
        <f>COUNTIF([1]OVERALL!$G$2:$G$150,Summary!AC17)</f>
        <v>0</v>
      </c>
      <c r="AE17" s="33" t="e">
        <f t="shared" si="1"/>
        <v>#DIV/0!</v>
      </c>
      <c r="AF17" s="20"/>
      <c r="AG17" s="20"/>
      <c r="AH17" s="20"/>
      <c r="AI17" s="20"/>
      <c r="AJ17" s="20"/>
      <c r="AK17" s="20"/>
      <c r="AL17" s="20"/>
      <c r="AM17" s="21"/>
    </row>
    <row r="18" spans="1:39" ht="18" customHeight="1" thickBot="1" x14ac:dyDescent="0.2">
      <c r="A18" s="22"/>
      <c r="B18" s="29" t="s">
        <v>69</v>
      </c>
      <c r="C18" s="32">
        <f>COUNTIF('[1]Phase 6'!$L$2:$L$148,Summary!B18)</f>
        <v>0</v>
      </c>
      <c r="D18" s="30">
        <f t="shared" si="2"/>
        <v>0</v>
      </c>
      <c r="E18" s="10"/>
      <c r="F18" s="10"/>
      <c r="G18" s="10"/>
      <c r="H18" s="10"/>
      <c r="I18" s="10"/>
      <c r="J18" s="10"/>
      <c r="K18" s="10"/>
      <c r="L18" s="10"/>
      <c r="M18" s="12"/>
      <c r="N18" s="18"/>
      <c r="O18" s="29" t="s">
        <v>69</v>
      </c>
      <c r="P18" s="32">
        <f>COUNTIF([1]Variations!$G$2:$G$148,Summary!O18)</f>
        <v>0</v>
      </c>
      <c r="Q18" s="30">
        <f t="shared" si="0"/>
        <v>0</v>
      </c>
      <c r="R18" s="20"/>
      <c r="S18" s="20"/>
      <c r="T18" s="20"/>
      <c r="U18" s="20"/>
      <c r="V18" s="20"/>
      <c r="W18" s="20"/>
      <c r="X18" s="20"/>
      <c r="Y18" s="21"/>
      <c r="AB18" s="18"/>
      <c r="AC18" s="29" t="s">
        <v>69</v>
      </c>
      <c r="AD18" s="32">
        <f>COUNTIF([1]OVERALL!$G$2:$G$150,Summary!AC18)</f>
        <v>0</v>
      </c>
      <c r="AE18" s="33" t="e">
        <f t="shared" si="1"/>
        <v>#DIV/0!</v>
      </c>
      <c r="AF18" s="20"/>
      <c r="AG18" s="20"/>
      <c r="AH18" s="20"/>
      <c r="AI18" s="20"/>
      <c r="AJ18" s="20"/>
      <c r="AK18" s="20"/>
      <c r="AL18" s="20"/>
      <c r="AM18" s="21"/>
    </row>
    <row r="19" spans="1:39" ht="14" thickBot="1" x14ac:dyDescent="0.2">
      <c r="A19" s="22"/>
      <c r="B19" s="34" t="s">
        <v>70</v>
      </c>
      <c r="C19" s="35">
        <f>SUM(C12:C18)</f>
        <v>23</v>
      </c>
      <c r="D19" s="36"/>
      <c r="E19" s="10"/>
      <c r="F19" s="10"/>
      <c r="G19" s="10"/>
      <c r="H19" s="10"/>
      <c r="I19" s="10"/>
      <c r="J19" s="10"/>
      <c r="K19" s="10"/>
      <c r="L19" s="10"/>
      <c r="M19" s="12"/>
      <c r="N19" s="18"/>
      <c r="O19" s="34" t="s">
        <v>70</v>
      </c>
      <c r="P19" s="35">
        <f>SUM(P12:P18)</f>
        <v>19</v>
      </c>
      <c r="Q19" s="36"/>
      <c r="R19" s="20"/>
      <c r="S19" s="20"/>
      <c r="T19" s="20"/>
      <c r="U19" s="20"/>
      <c r="V19" s="20"/>
      <c r="W19" s="20"/>
      <c r="X19" s="20"/>
      <c r="Y19" s="21"/>
      <c r="AB19" s="18"/>
      <c r="AC19" s="34" t="s">
        <v>70</v>
      </c>
      <c r="AD19" s="35">
        <f>SUM(AD12:AD18)</f>
        <v>0</v>
      </c>
      <c r="AE19" s="36"/>
      <c r="AF19" s="20"/>
      <c r="AG19" s="20"/>
      <c r="AH19" s="20"/>
      <c r="AI19" s="20"/>
      <c r="AJ19" s="20"/>
      <c r="AK19" s="20"/>
      <c r="AL19" s="20"/>
      <c r="AM19" s="21"/>
    </row>
    <row r="20" spans="1:39" ht="14" thickBot="1" x14ac:dyDescent="0.2">
      <c r="A20" s="3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2"/>
      <c r="N20" s="38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39"/>
      <c r="AB20" s="38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39"/>
    </row>
    <row r="21" spans="1:39" x14ac:dyDescent="0.15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</row>
    <row r="22" spans="1:39" ht="14" thickBot="1" x14ac:dyDescent="0.2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</row>
    <row r="23" spans="1:39" x14ac:dyDescent="0.15">
      <c r="A23" s="41"/>
      <c r="B23" s="41"/>
      <c r="C23" s="41"/>
      <c r="D23" s="41"/>
      <c r="E23" s="42" t="s">
        <v>71</v>
      </c>
      <c r="F23" s="42"/>
      <c r="G23" s="42"/>
      <c r="H23" s="42"/>
      <c r="I23" s="41"/>
      <c r="J23" s="41"/>
      <c r="K23" s="41"/>
      <c r="L23" s="41"/>
      <c r="M23" s="12"/>
      <c r="N23" s="43"/>
      <c r="O23" s="44"/>
      <c r="P23" s="44"/>
      <c r="Q23" s="45" t="s">
        <v>72</v>
      </c>
      <c r="R23" s="46"/>
      <c r="S23" s="46"/>
      <c r="T23" s="46"/>
      <c r="U23" s="46"/>
      <c r="V23" s="46"/>
      <c r="W23" s="44"/>
      <c r="X23" s="44"/>
      <c r="Y23" s="47"/>
    </row>
    <row r="24" spans="1:39" ht="14" thickBot="1" x14ac:dyDescent="0.2">
      <c r="A24" s="41"/>
      <c r="B24" s="48"/>
      <c r="C24" s="48"/>
      <c r="D24" s="41"/>
      <c r="E24" s="41"/>
      <c r="F24" s="41"/>
      <c r="G24" s="41"/>
      <c r="H24" s="41"/>
      <c r="I24" s="41"/>
      <c r="J24" s="41"/>
      <c r="K24" s="41"/>
      <c r="L24" s="41"/>
      <c r="M24" s="12"/>
      <c r="N24" s="49"/>
      <c r="O24" s="50"/>
      <c r="P24" s="50"/>
      <c r="Q24" s="51"/>
      <c r="R24" s="51"/>
      <c r="S24" s="51"/>
      <c r="T24" s="51"/>
      <c r="U24" s="51"/>
      <c r="V24" s="51"/>
      <c r="W24" s="51"/>
      <c r="X24" s="51"/>
      <c r="Y24" s="52"/>
    </row>
    <row r="25" spans="1:39" x14ac:dyDescent="0.15">
      <c r="A25" s="53"/>
      <c r="B25" s="23" t="s">
        <v>58</v>
      </c>
      <c r="C25" s="24"/>
      <c r="D25" s="41"/>
      <c r="E25" s="41"/>
      <c r="F25" s="41"/>
      <c r="G25" s="41"/>
      <c r="H25" s="41"/>
      <c r="I25" s="41"/>
      <c r="J25" s="41"/>
      <c r="K25" s="41"/>
      <c r="L25" s="41"/>
      <c r="M25" s="12"/>
      <c r="N25" s="49"/>
      <c r="O25" s="25" t="s">
        <v>58</v>
      </c>
      <c r="P25" s="26"/>
      <c r="Q25" s="51"/>
      <c r="R25" s="51"/>
      <c r="S25" s="51"/>
      <c r="T25" s="51"/>
      <c r="U25" s="51"/>
      <c r="V25" s="51"/>
      <c r="W25" s="51"/>
      <c r="X25" s="51"/>
      <c r="Y25" s="52"/>
    </row>
    <row r="26" spans="1:39" x14ac:dyDescent="0.15">
      <c r="A26" s="53"/>
      <c r="B26" s="27" t="s">
        <v>59</v>
      </c>
      <c r="C26" s="28">
        <f>SUM('[1]Acquisitive Crime'!K2:K59)</f>
        <v>125</v>
      </c>
      <c r="D26" s="41"/>
      <c r="E26" s="41"/>
      <c r="F26" s="41"/>
      <c r="G26" s="41"/>
      <c r="H26" s="41"/>
      <c r="I26" s="41"/>
      <c r="J26" s="41"/>
      <c r="K26" s="41"/>
      <c r="L26" s="41"/>
      <c r="M26" s="12"/>
      <c r="N26" s="49"/>
      <c r="O26" s="27" t="s">
        <v>59</v>
      </c>
      <c r="P26" s="28">
        <f>SUM('[1]Phase 7'!K2:K100)</f>
        <v>122</v>
      </c>
      <c r="Q26" s="51"/>
      <c r="R26" s="51"/>
      <c r="S26" s="51"/>
      <c r="T26" s="51"/>
      <c r="U26" s="51"/>
      <c r="V26" s="51"/>
      <c r="W26" s="51"/>
      <c r="X26" s="51"/>
      <c r="Y26" s="52"/>
    </row>
    <row r="27" spans="1:39" x14ac:dyDescent="0.15">
      <c r="A27" s="53"/>
      <c r="B27" s="27" t="s">
        <v>60</v>
      </c>
      <c r="C27" s="24">
        <f>SUM(C28-C26)</f>
        <v>0</v>
      </c>
      <c r="D27" s="41"/>
      <c r="E27" s="41"/>
      <c r="F27" s="41"/>
      <c r="G27" s="41"/>
      <c r="H27" s="41"/>
      <c r="I27" s="41"/>
      <c r="J27" s="41"/>
      <c r="K27" s="41"/>
      <c r="L27" s="41"/>
      <c r="M27" s="12"/>
      <c r="N27" s="49"/>
      <c r="O27" s="27" t="s">
        <v>60</v>
      </c>
      <c r="P27" s="24">
        <f>P28-P26</f>
        <v>0</v>
      </c>
      <c r="Q27" s="51"/>
      <c r="R27" s="51"/>
      <c r="S27" s="51"/>
      <c r="T27" s="51"/>
      <c r="U27" s="51"/>
      <c r="V27" s="51"/>
      <c r="W27" s="51"/>
      <c r="X27" s="51"/>
      <c r="Y27" s="52"/>
    </row>
    <row r="28" spans="1:39" x14ac:dyDescent="0.15">
      <c r="A28" s="53"/>
      <c r="B28" s="27" t="s">
        <v>61</v>
      </c>
      <c r="C28" s="24">
        <f>SUM('[1]Acquisitive Crime'!J2:J59)</f>
        <v>125</v>
      </c>
      <c r="D28" s="41"/>
      <c r="E28" s="41"/>
      <c r="F28" s="41"/>
      <c r="G28" s="41"/>
      <c r="H28" s="41"/>
      <c r="I28" s="41"/>
      <c r="J28" s="41"/>
      <c r="K28" s="41"/>
      <c r="L28" s="41"/>
      <c r="M28" s="12"/>
      <c r="N28" s="49"/>
      <c r="O28" s="27" t="s">
        <v>61</v>
      </c>
      <c r="P28" s="24">
        <f>SUM('[1]Phase 7'!J2:J100)</f>
        <v>122</v>
      </c>
      <c r="Q28" s="51"/>
      <c r="R28" s="51"/>
      <c r="S28" s="51"/>
      <c r="T28" s="51"/>
      <c r="U28" s="51"/>
      <c r="V28" s="51"/>
      <c r="W28" s="51"/>
      <c r="X28" s="51"/>
      <c r="Y28" s="52"/>
    </row>
    <row r="29" spans="1:39" x14ac:dyDescent="0.15">
      <c r="A29" s="53"/>
      <c r="B29" s="27"/>
      <c r="C29" s="24"/>
      <c r="D29" s="41"/>
      <c r="E29" s="41"/>
      <c r="F29" s="41"/>
      <c r="G29" s="41"/>
      <c r="H29" s="41"/>
      <c r="I29" s="41"/>
      <c r="J29" s="41"/>
      <c r="K29" s="41"/>
      <c r="L29" s="41"/>
      <c r="M29" s="12"/>
      <c r="N29" s="49"/>
      <c r="O29" s="27"/>
      <c r="P29" s="24"/>
      <c r="Q29" s="51"/>
      <c r="R29" s="51"/>
      <c r="S29" s="51"/>
      <c r="T29" s="51"/>
      <c r="U29" s="51"/>
      <c r="V29" s="51"/>
      <c r="W29" s="51"/>
      <c r="X29" s="51"/>
      <c r="Y29" s="52"/>
    </row>
    <row r="30" spans="1:39" ht="14" thickBot="1" x14ac:dyDescent="0.2">
      <c r="A30" s="53"/>
      <c r="B30" s="29" t="s">
        <v>62</v>
      </c>
      <c r="C30" s="30">
        <f>C26/C28</f>
        <v>1</v>
      </c>
      <c r="D30" s="41"/>
      <c r="E30" s="41"/>
      <c r="F30" s="41"/>
      <c r="G30" s="41"/>
      <c r="H30" s="41"/>
      <c r="I30" s="41"/>
      <c r="J30" s="41"/>
      <c r="K30" s="41"/>
      <c r="L30" s="41"/>
      <c r="M30" s="12"/>
      <c r="N30" s="49"/>
      <c r="O30" s="29" t="s">
        <v>62</v>
      </c>
      <c r="P30" s="30">
        <f>P26/P28</f>
        <v>1</v>
      </c>
      <c r="Q30" s="51"/>
      <c r="R30" s="51"/>
      <c r="S30" s="51"/>
      <c r="T30" s="51"/>
      <c r="U30" s="51"/>
      <c r="V30" s="51"/>
      <c r="W30" s="51"/>
      <c r="X30" s="51"/>
      <c r="Y30" s="52"/>
    </row>
    <row r="31" spans="1:39" ht="14" thickBot="1" x14ac:dyDescent="0.2">
      <c r="A31" s="53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12"/>
      <c r="N31" s="49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2"/>
    </row>
    <row r="32" spans="1:39" x14ac:dyDescent="0.15">
      <c r="A32" s="53"/>
      <c r="B32" s="25" t="s">
        <v>63</v>
      </c>
      <c r="C32" s="31"/>
      <c r="D32" s="26"/>
      <c r="E32" s="41"/>
      <c r="F32" s="41"/>
      <c r="G32" s="41"/>
      <c r="H32" s="41"/>
      <c r="I32" s="41"/>
      <c r="J32" s="41"/>
      <c r="K32" s="41"/>
      <c r="L32" s="41"/>
      <c r="M32" s="12"/>
      <c r="N32" s="49"/>
      <c r="O32" s="25" t="s">
        <v>63</v>
      </c>
      <c r="P32" s="31"/>
      <c r="Q32" s="26"/>
      <c r="R32" s="51"/>
      <c r="S32" s="51"/>
      <c r="T32" s="51"/>
      <c r="U32" s="51"/>
      <c r="V32" s="51"/>
      <c r="W32" s="51"/>
      <c r="X32" s="51"/>
      <c r="Y32" s="52"/>
    </row>
    <row r="33" spans="1:31" x14ac:dyDescent="0.15">
      <c r="A33" s="53"/>
      <c r="B33" s="27" t="s">
        <v>54</v>
      </c>
      <c r="C33" s="32">
        <f>COUNTIF('[1]Acquisitive Crime'!$L$2:$L$149,Summary!B33)</f>
        <v>13</v>
      </c>
      <c r="D33" s="33">
        <f t="shared" ref="D33:D39" si="3">C33/$C$40</f>
        <v>1</v>
      </c>
      <c r="E33" s="41"/>
      <c r="F33" s="41"/>
      <c r="G33" s="41"/>
      <c r="H33" s="41"/>
      <c r="I33" s="41"/>
      <c r="J33" s="41"/>
      <c r="K33" s="41"/>
      <c r="L33" s="41"/>
      <c r="M33" s="12"/>
      <c r="N33" s="49"/>
      <c r="O33" s="27" t="s">
        <v>54</v>
      </c>
      <c r="P33" s="32">
        <f>COUNTIF('[1]Phase 7'!$L$2:$L$113,Summary!O33)</f>
        <v>11</v>
      </c>
      <c r="Q33" s="33">
        <f t="shared" ref="Q33:Q39" si="4">P33/$P$40</f>
        <v>1</v>
      </c>
      <c r="R33" s="51"/>
      <c r="S33" s="51"/>
      <c r="T33" s="51"/>
      <c r="U33" s="51"/>
      <c r="V33" s="51"/>
      <c r="W33" s="51"/>
      <c r="X33" s="51"/>
      <c r="Y33" s="52"/>
      <c r="AE33" s="9" t="s">
        <v>73</v>
      </c>
    </row>
    <row r="34" spans="1:31" x14ac:dyDescent="0.15">
      <c r="A34" s="53"/>
      <c r="B34" s="27" t="s">
        <v>64</v>
      </c>
      <c r="C34" s="32">
        <f>COUNTIF('[1]Acquisitive Crime'!$L$2:$L$149,Summary!B34)</f>
        <v>0</v>
      </c>
      <c r="D34" s="33">
        <f t="shared" si="3"/>
        <v>0</v>
      </c>
      <c r="E34" s="41"/>
      <c r="F34" s="41"/>
      <c r="G34" s="41"/>
      <c r="H34" s="41"/>
      <c r="I34" s="41"/>
      <c r="J34" s="41"/>
      <c r="K34" s="41"/>
      <c r="L34" s="41"/>
      <c r="M34" s="12"/>
      <c r="N34" s="49"/>
      <c r="O34" s="27" t="s">
        <v>64</v>
      </c>
      <c r="P34" s="32">
        <f>COUNTIF('[1]Phase 7'!$L$2:$L$113,Summary!O34)</f>
        <v>0</v>
      </c>
      <c r="Q34" s="33">
        <f t="shared" si="4"/>
        <v>0</v>
      </c>
      <c r="R34" s="51"/>
      <c r="S34" s="51"/>
      <c r="T34" s="51"/>
      <c r="U34" s="51"/>
      <c r="V34" s="51"/>
      <c r="W34" s="51"/>
      <c r="X34" s="51"/>
      <c r="Y34" s="52"/>
    </row>
    <row r="35" spans="1:31" x14ac:dyDescent="0.15">
      <c r="A35" s="53"/>
      <c r="B35" s="27" t="s">
        <v>65</v>
      </c>
      <c r="C35" s="32">
        <f>COUNTIF('[1]Acquisitive Crime'!$L$2:$L$149,Summary!B35)</f>
        <v>0</v>
      </c>
      <c r="D35" s="33">
        <f t="shared" si="3"/>
        <v>0</v>
      </c>
      <c r="E35" s="41"/>
      <c r="F35" s="41"/>
      <c r="G35" s="41"/>
      <c r="H35" s="41"/>
      <c r="I35" s="41"/>
      <c r="J35" s="41"/>
      <c r="K35" s="41"/>
      <c r="L35" s="41"/>
      <c r="M35" s="12"/>
      <c r="N35" s="49"/>
      <c r="O35" s="27" t="s">
        <v>65</v>
      </c>
      <c r="P35" s="32">
        <f>COUNTIF('[1]Phase 7'!$L$2:$L$113,Summary!O35)</f>
        <v>0</v>
      </c>
      <c r="Q35" s="33">
        <f t="shared" si="4"/>
        <v>0</v>
      </c>
      <c r="R35" s="51"/>
      <c r="S35" s="51"/>
      <c r="T35" s="51"/>
      <c r="U35" s="51"/>
      <c r="V35" s="51"/>
      <c r="W35" s="51"/>
      <c r="X35" s="51"/>
      <c r="Y35" s="52"/>
    </row>
    <row r="36" spans="1:31" x14ac:dyDescent="0.15">
      <c r="A36" s="53"/>
      <c r="B36" s="27" t="s">
        <v>66</v>
      </c>
      <c r="C36" s="32">
        <f>COUNTIF('[1]Acquisitive Crime'!$L$2:$L$149,Summary!B36)</f>
        <v>0</v>
      </c>
      <c r="D36" s="33">
        <f t="shared" si="3"/>
        <v>0</v>
      </c>
      <c r="E36" s="41"/>
      <c r="F36" s="41"/>
      <c r="G36" s="41"/>
      <c r="H36" s="41"/>
      <c r="I36" s="41"/>
      <c r="J36" s="41"/>
      <c r="K36" s="41"/>
      <c r="L36" s="41"/>
      <c r="M36" s="12"/>
      <c r="N36" s="49"/>
      <c r="O36" s="27" t="s">
        <v>66</v>
      </c>
      <c r="P36" s="32">
        <f>COUNTIF('[1]Phase 7'!$L$2:$L$113,Summary!O36)</f>
        <v>0</v>
      </c>
      <c r="Q36" s="33">
        <f t="shared" si="4"/>
        <v>0</v>
      </c>
      <c r="R36" s="51"/>
      <c r="S36" s="51"/>
      <c r="T36" s="51"/>
      <c r="U36" s="51"/>
      <c r="V36" s="51"/>
      <c r="W36" s="51"/>
      <c r="X36" s="51"/>
      <c r="Y36" s="52"/>
    </row>
    <row r="37" spans="1:31" x14ac:dyDescent="0.15">
      <c r="A37" s="53"/>
      <c r="B37" s="27" t="s">
        <v>67</v>
      </c>
      <c r="C37" s="32">
        <f>COUNTIF('[1]Acquisitive Crime'!$L$2:$L$149,Summary!B37)</f>
        <v>0</v>
      </c>
      <c r="D37" s="33">
        <f t="shared" si="3"/>
        <v>0</v>
      </c>
      <c r="E37" s="41"/>
      <c r="F37" s="41"/>
      <c r="G37" s="41"/>
      <c r="H37" s="41"/>
      <c r="I37" s="41"/>
      <c r="J37" s="41"/>
      <c r="K37" s="41"/>
      <c r="L37" s="41"/>
      <c r="M37" s="12"/>
      <c r="N37" s="49"/>
      <c r="O37" s="27" t="s">
        <v>67</v>
      </c>
      <c r="P37" s="32">
        <f>COUNTIF('[1]Phase 7'!$L$2:$L$113,Summary!O37)</f>
        <v>0</v>
      </c>
      <c r="Q37" s="33">
        <f t="shared" si="4"/>
        <v>0</v>
      </c>
      <c r="R37" s="51"/>
      <c r="S37" s="51"/>
      <c r="T37" s="51"/>
      <c r="U37" s="51"/>
      <c r="V37" s="51"/>
      <c r="W37" s="51"/>
      <c r="X37" s="51"/>
      <c r="Y37" s="52"/>
    </row>
    <row r="38" spans="1:31" x14ac:dyDescent="0.15">
      <c r="A38" s="53"/>
      <c r="B38" s="27" t="s">
        <v>68</v>
      </c>
      <c r="C38" s="32">
        <f>COUNTIF('[1]Acquisitive Crime'!$L$2:$L$149,Summary!B38)</f>
        <v>0</v>
      </c>
      <c r="D38" s="33">
        <f t="shared" si="3"/>
        <v>0</v>
      </c>
      <c r="E38" s="41"/>
      <c r="F38" s="41"/>
      <c r="G38" s="41"/>
      <c r="H38" s="41"/>
      <c r="I38" s="41"/>
      <c r="J38" s="41"/>
      <c r="K38" s="41"/>
      <c r="L38" s="41"/>
      <c r="M38" s="12"/>
      <c r="N38" s="49"/>
      <c r="O38" s="27" t="s">
        <v>68</v>
      </c>
      <c r="P38" s="32">
        <f>COUNTIF('[1]Phase 7'!$L$2:$L$113,Summary!O38)</f>
        <v>0</v>
      </c>
      <c r="Q38" s="33">
        <f t="shared" si="4"/>
        <v>0</v>
      </c>
      <c r="R38" s="51"/>
      <c r="S38" s="51"/>
      <c r="T38" s="51"/>
      <c r="U38" s="51"/>
      <c r="V38" s="51"/>
      <c r="W38" s="51"/>
      <c r="X38" s="51"/>
      <c r="Y38" s="52"/>
    </row>
    <row r="39" spans="1:31" ht="14" thickBot="1" x14ac:dyDescent="0.2">
      <c r="A39" s="53"/>
      <c r="B39" s="29" t="s">
        <v>69</v>
      </c>
      <c r="C39" s="32">
        <f>COUNTIF('[1]Acquisitive Crime'!$L$2:$L$149,Summary!B39)</f>
        <v>0</v>
      </c>
      <c r="D39" s="33">
        <f t="shared" si="3"/>
        <v>0</v>
      </c>
      <c r="E39" s="41"/>
      <c r="F39" s="41"/>
      <c r="G39" s="41"/>
      <c r="H39" s="41"/>
      <c r="I39" s="41"/>
      <c r="J39" s="41"/>
      <c r="K39" s="41"/>
      <c r="L39" s="41"/>
      <c r="M39" s="12"/>
      <c r="N39" s="49"/>
      <c r="O39" s="29" t="s">
        <v>69</v>
      </c>
      <c r="P39" s="32">
        <f>COUNTIF('[1]Phase 7'!$L$2:$L$113,Summary!O39)</f>
        <v>0</v>
      </c>
      <c r="Q39" s="30">
        <f t="shared" si="4"/>
        <v>0</v>
      </c>
      <c r="R39" s="51"/>
      <c r="S39" s="51"/>
      <c r="T39" s="51"/>
      <c r="U39" s="51"/>
      <c r="V39" s="51"/>
      <c r="W39" s="51"/>
      <c r="X39" s="51"/>
      <c r="Y39" s="52"/>
    </row>
    <row r="40" spans="1:31" ht="14" thickBot="1" x14ac:dyDescent="0.2">
      <c r="A40" s="53"/>
      <c r="B40" s="34" t="s">
        <v>70</v>
      </c>
      <c r="C40" s="35">
        <f>SUM(C33:C39)</f>
        <v>13</v>
      </c>
      <c r="D40" s="36"/>
      <c r="E40" s="41"/>
      <c r="F40" s="41"/>
      <c r="G40" s="41"/>
      <c r="H40" s="41"/>
      <c r="I40" s="41"/>
      <c r="J40" s="41"/>
      <c r="K40" s="41"/>
      <c r="L40" s="41"/>
      <c r="M40" s="12"/>
      <c r="N40" s="49"/>
      <c r="O40" s="34" t="s">
        <v>70</v>
      </c>
      <c r="P40" s="35">
        <f>SUM(P33:P39)</f>
        <v>11</v>
      </c>
      <c r="Q40" s="36"/>
      <c r="R40" s="51"/>
      <c r="S40" s="51"/>
      <c r="T40" s="51"/>
      <c r="U40" s="51"/>
      <c r="V40" s="51"/>
      <c r="W40" s="51"/>
      <c r="X40" s="51"/>
      <c r="Y40" s="52"/>
    </row>
    <row r="41" spans="1:31" ht="14" thickBot="1" x14ac:dyDescent="0.2">
      <c r="A41" s="54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12"/>
      <c r="N41" s="55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6"/>
    </row>
  </sheetData>
  <mergeCells count="5">
    <mergeCell ref="E2:H2"/>
    <mergeCell ref="R2:U2"/>
    <mergeCell ref="AF2:AI2"/>
    <mergeCell ref="E23:H23"/>
    <mergeCell ref="Q23:V23"/>
  </mergeCells>
  <pageMargins left="0.75" right="0.75" top="1" bottom="1" header="0.5" footer="0.5"/>
  <pageSetup paperSize="9" scale="55" orientation="landscape" r:id="rId1"/>
  <headerFooter alignWithMargins="0">
    <oddHeader>&amp;C&amp;"Calibri"&amp;10&amp;K737373 Serco Business - Commercial in Confidence&amp;1#_x000D_</oddHeader>
    <oddFooter>&amp;CSerco Internal</oddFooter>
    <evenFooter>&amp;CSerco Internal</evenFooter>
    <firstFooter>&amp;CSerco Internal</first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L4" sqref="L4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57" customWidth="1"/>
    <col min="4" max="4" width="37" customWidth="1"/>
    <col min="5" max="5" width="45" customWidth="1"/>
    <col min="6" max="6" width="41" customWidth="1"/>
  </cols>
  <sheetData>
    <row r="1" spans="1:16" ht="2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44</v>
      </c>
      <c r="G1" s="2" t="s">
        <v>45</v>
      </c>
      <c r="H1" s="2" t="s">
        <v>46</v>
      </c>
      <c r="I1" s="2" t="s">
        <v>47</v>
      </c>
      <c r="J1" s="4" t="s">
        <v>48</v>
      </c>
      <c r="K1" s="5" t="s">
        <v>49</v>
      </c>
      <c r="L1" s="2" t="s">
        <v>50</v>
      </c>
      <c r="M1" s="2" t="s">
        <v>51</v>
      </c>
      <c r="N1" s="2" t="s">
        <v>52</v>
      </c>
      <c r="O1" s="6" t="s">
        <v>53</v>
      </c>
      <c r="P1" s="7" t="s">
        <v>1</v>
      </c>
    </row>
    <row r="2" spans="1:16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L2" t="s">
        <v>54</v>
      </c>
    </row>
    <row r="3" spans="1:16" x14ac:dyDescent="0.2">
      <c r="A3" t="s">
        <v>11</v>
      </c>
      <c r="B3" t="s">
        <v>6</v>
      </c>
      <c r="C3" t="s">
        <v>12</v>
      </c>
      <c r="D3" t="s">
        <v>13</v>
      </c>
      <c r="E3" t="s">
        <v>14</v>
      </c>
      <c r="F3" t="s">
        <v>15</v>
      </c>
      <c r="L3" t="s">
        <v>54</v>
      </c>
    </row>
    <row r="4" spans="1:16" x14ac:dyDescent="0.2">
      <c r="A4" t="s">
        <v>16</v>
      </c>
      <c r="B4" t="s">
        <v>6</v>
      </c>
      <c r="C4" t="s">
        <v>17</v>
      </c>
      <c r="D4" t="s">
        <v>13</v>
      </c>
      <c r="E4" t="s">
        <v>18</v>
      </c>
      <c r="F4" t="s">
        <v>19</v>
      </c>
      <c r="L4" t="s">
        <v>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"/>
  <sheetViews>
    <sheetView workbookViewId="0">
      <selection activeCell="F28" sqref="F28"/>
    </sheetView>
  </sheetViews>
  <sheetFormatPr baseColWidth="10" defaultColWidth="8.83203125" defaultRowHeight="15" x14ac:dyDescent="0.2"/>
  <cols>
    <col min="1" max="1" width="9" customWidth="1"/>
    <col min="2" max="2" width="13" customWidth="1"/>
    <col min="3" max="3" width="52" customWidth="1"/>
    <col min="4" max="4" width="35" customWidth="1"/>
    <col min="5" max="5" width="53" customWidth="1"/>
    <col min="6" max="6" width="36" customWidth="1"/>
  </cols>
  <sheetData>
    <row r="1" spans="1:16" ht="29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44</v>
      </c>
      <c r="G1" s="2" t="s">
        <v>45</v>
      </c>
      <c r="H1" s="2" t="s">
        <v>46</v>
      </c>
      <c r="I1" s="2" t="s">
        <v>47</v>
      </c>
      <c r="J1" s="4" t="s">
        <v>48</v>
      </c>
      <c r="K1" s="5" t="s">
        <v>49</v>
      </c>
      <c r="L1" s="2" t="s">
        <v>50</v>
      </c>
      <c r="M1" s="2" t="s">
        <v>51</v>
      </c>
      <c r="N1" s="2" t="s">
        <v>52</v>
      </c>
      <c r="O1" s="6" t="s">
        <v>53</v>
      </c>
      <c r="P1" s="7" t="s">
        <v>1</v>
      </c>
    </row>
    <row r="2" spans="1:16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L2" t="s">
        <v>54</v>
      </c>
    </row>
    <row r="3" spans="1:16" x14ac:dyDescent="0.2">
      <c r="A3" t="s">
        <v>26</v>
      </c>
      <c r="B3" t="s">
        <v>21</v>
      </c>
      <c r="C3" t="s">
        <v>27</v>
      </c>
      <c r="D3" t="s">
        <v>28</v>
      </c>
      <c r="E3" t="s">
        <v>29</v>
      </c>
      <c r="F3" t="s">
        <v>30</v>
      </c>
      <c r="L3" t="s">
        <v>54</v>
      </c>
    </row>
    <row r="4" spans="1:16" x14ac:dyDescent="0.2">
      <c r="A4" t="s">
        <v>31</v>
      </c>
      <c r="B4" t="s">
        <v>21</v>
      </c>
      <c r="C4" t="s">
        <v>32</v>
      </c>
      <c r="D4" t="s">
        <v>13</v>
      </c>
      <c r="E4" t="s">
        <v>33</v>
      </c>
      <c r="F4" t="s">
        <v>34</v>
      </c>
      <c r="L4" t="s">
        <v>54</v>
      </c>
    </row>
    <row r="5" spans="1:16" x14ac:dyDescent="0.2">
      <c r="A5" t="s">
        <v>35</v>
      </c>
      <c r="B5" t="s">
        <v>36</v>
      </c>
      <c r="C5" t="s">
        <v>37</v>
      </c>
      <c r="D5" t="s">
        <v>13</v>
      </c>
      <c r="E5" t="s">
        <v>38</v>
      </c>
      <c r="F5" t="s">
        <v>39</v>
      </c>
      <c r="L5" t="s">
        <v>54</v>
      </c>
    </row>
    <row r="6" spans="1:16" x14ac:dyDescent="0.2">
      <c r="A6" t="s">
        <v>40</v>
      </c>
      <c r="B6" t="s">
        <v>36</v>
      </c>
      <c r="C6" t="s">
        <v>41</v>
      </c>
      <c r="D6" t="s">
        <v>13</v>
      </c>
      <c r="E6" t="s">
        <v>42</v>
      </c>
      <c r="F6" t="s">
        <v>43</v>
      </c>
      <c r="L6" t="s">
        <v>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E4493-822D-0249-9EFF-50FF62188940}">
  <dimension ref="A1:L1048576"/>
  <sheetViews>
    <sheetView zoomScale="80" zoomScaleNormal="80" workbookViewId="0">
      <pane ySplit="1" topLeftCell="A9" activePane="bottomLeft" state="frozen"/>
      <selection pane="bottomLeft" activeCell="L3" sqref="L3"/>
    </sheetView>
  </sheetViews>
  <sheetFormatPr baseColWidth="10" defaultColWidth="8.83203125" defaultRowHeight="12.75" customHeight="1" x14ac:dyDescent="0.15"/>
  <cols>
    <col min="1" max="1" width="21.33203125" style="9" customWidth="1"/>
    <col min="2" max="2" width="18" style="9" customWidth="1"/>
    <col min="3" max="3" width="31" style="130" customWidth="1"/>
    <col min="4" max="4" width="34.1640625" style="130" customWidth="1"/>
    <col min="5" max="5" width="21.83203125" style="9" bestFit="1" customWidth="1"/>
    <col min="6" max="6" width="8.83203125" style="9" customWidth="1"/>
    <col min="7" max="7" width="10.83203125" style="133" bestFit="1" customWidth="1"/>
    <col min="8" max="8" width="11.1640625" style="133" customWidth="1"/>
    <col min="9" max="9" width="13.1640625" style="9" customWidth="1"/>
    <col min="10" max="10" width="11.6640625" style="130" customWidth="1"/>
    <col min="11" max="11" width="34.5" style="130" customWidth="1"/>
    <col min="12" max="12" width="27.1640625" style="9" customWidth="1"/>
    <col min="13" max="16384" width="8.83203125" style="9"/>
  </cols>
  <sheetData>
    <row r="1" spans="1:12" s="95" customFormat="1" ht="42" x14ac:dyDescent="0.15">
      <c r="A1" s="92" t="s">
        <v>97</v>
      </c>
      <c r="B1" s="92" t="s">
        <v>0</v>
      </c>
      <c r="C1" s="92" t="s">
        <v>98</v>
      </c>
      <c r="D1" s="92" t="s">
        <v>99</v>
      </c>
      <c r="E1" s="93" t="s">
        <v>100</v>
      </c>
      <c r="F1" s="92" t="s">
        <v>101</v>
      </c>
      <c r="G1" s="94" t="s">
        <v>102</v>
      </c>
      <c r="H1" s="94" t="s">
        <v>103</v>
      </c>
      <c r="I1" s="92" t="s">
        <v>104</v>
      </c>
      <c r="J1" s="92" t="s">
        <v>50</v>
      </c>
      <c r="K1" s="92" t="s">
        <v>105</v>
      </c>
      <c r="L1" s="92" t="s">
        <v>106</v>
      </c>
    </row>
    <row r="2" spans="1:12" ht="168" x14ac:dyDescent="0.15">
      <c r="A2" s="96">
        <v>1</v>
      </c>
      <c r="B2" s="96" t="s">
        <v>107</v>
      </c>
      <c r="C2" s="97" t="s">
        <v>108</v>
      </c>
      <c r="D2" s="97" t="s">
        <v>109</v>
      </c>
      <c r="E2" s="98"/>
      <c r="F2" s="98" t="s">
        <v>110</v>
      </c>
      <c r="G2" s="99">
        <v>46104</v>
      </c>
      <c r="H2" s="99">
        <v>46106</v>
      </c>
      <c r="I2" s="98"/>
      <c r="J2" s="97" t="s">
        <v>111</v>
      </c>
      <c r="K2" s="97" t="s">
        <v>112</v>
      </c>
      <c r="L2" s="97" t="s">
        <v>113</v>
      </c>
    </row>
    <row r="3" spans="1:12" ht="28" x14ac:dyDescent="0.15">
      <c r="A3" s="100">
        <v>2</v>
      </c>
      <c r="B3" s="101" t="s">
        <v>114</v>
      </c>
      <c r="C3" s="101" t="s">
        <v>115</v>
      </c>
      <c r="D3" s="102" t="s">
        <v>116</v>
      </c>
      <c r="E3" s="103"/>
      <c r="F3" s="103" t="s">
        <v>110</v>
      </c>
      <c r="G3" s="104">
        <v>46106</v>
      </c>
      <c r="H3" s="104">
        <v>46132</v>
      </c>
      <c r="I3" s="103"/>
      <c r="J3" s="102" t="s">
        <v>117</v>
      </c>
      <c r="K3" s="105" t="s">
        <v>118</v>
      </c>
      <c r="L3" s="103" t="s">
        <v>119</v>
      </c>
    </row>
    <row r="4" spans="1:12" ht="60" customHeight="1" x14ac:dyDescent="0.15">
      <c r="A4" s="96">
        <v>3</v>
      </c>
      <c r="B4" s="106" t="s">
        <v>114</v>
      </c>
      <c r="C4" s="106" t="s">
        <v>120</v>
      </c>
      <c r="D4" s="97" t="s">
        <v>121</v>
      </c>
      <c r="E4" s="98"/>
      <c r="F4" s="98" t="s">
        <v>110</v>
      </c>
      <c r="G4" s="99">
        <v>46106</v>
      </c>
      <c r="H4" s="99">
        <v>46114</v>
      </c>
      <c r="I4" s="98"/>
      <c r="J4" s="97" t="s">
        <v>111</v>
      </c>
      <c r="K4" s="107" t="s">
        <v>122</v>
      </c>
      <c r="L4" s="97" t="s">
        <v>123</v>
      </c>
    </row>
    <row r="5" spans="1:12" ht="56.25" customHeight="1" x14ac:dyDescent="0.15">
      <c r="A5" s="96">
        <v>4</v>
      </c>
      <c r="B5" s="108" t="s">
        <v>114</v>
      </c>
      <c r="C5" s="106" t="s">
        <v>124</v>
      </c>
      <c r="D5" s="109" t="s">
        <v>125</v>
      </c>
      <c r="E5" s="98"/>
      <c r="F5" s="98" t="s">
        <v>110</v>
      </c>
      <c r="G5" s="99">
        <v>46106</v>
      </c>
      <c r="H5" s="110">
        <v>46119</v>
      </c>
      <c r="I5" s="98"/>
      <c r="J5" s="97" t="s">
        <v>111</v>
      </c>
      <c r="K5" s="111" t="s">
        <v>126</v>
      </c>
      <c r="L5" s="97" t="s">
        <v>123</v>
      </c>
    </row>
    <row r="6" spans="1:12" ht="41.25" customHeight="1" x14ac:dyDescent="0.15">
      <c r="A6" s="96">
        <v>5</v>
      </c>
      <c r="B6" s="106" t="s">
        <v>127</v>
      </c>
      <c r="C6" s="112" t="s">
        <v>128</v>
      </c>
      <c r="D6" s="113" t="s">
        <v>129</v>
      </c>
      <c r="E6" s="98"/>
      <c r="F6" s="98" t="s">
        <v>110</v>
      </c>
      <c r="G6" s="99">
        <v>46106</v>
      </c>
      <c r="H6" s="110">
        <v>46111</v>
      </c>
      <c r="I6" s="98"/>
      <c r="J6" s="97" t="s">
        <v>111</v>
      </c>
      <c r="K6" s="97" t="s">
        <v>130</v>
      </c>
      <c r="L6" s="97" t="s">
        <v>123</v>
      </c>
    </row>
    <row r="7" spans="1:12" ht="50.25" customHeight="1" x14ac:dyDescent="0.15">
      <c r="A7" s="96">
        <v>6</v>
      </c>
      <c r="B7" s="106"/>
      <c r="C7" s="109" t="s">
        <v>131</v>
      </c>
      <c r="D7" s="109" t="s">
        <v>132</v>
      </c>
      <c r="E7" s="98"/>
      <c r="F7" s="98" t="s">
        <v>110</v>
      </c>
      <c r="G7" s="99">
        <v>46106</v>
      </c>
      <c r="H7" s="110">
        <v>46122</v>
      </c>
      <c r="I7" s="98"/>
      <c r="J7" s="97" t="s">
        <v>111</v>
      </c>
      <c r="K7" s="114" t="s">
        <v>133</v>
      </c>
      <c r="L7" s="97" t="s">
        <v>123</v>
      </c>
    </row>
    <row r="8" spans="1:12" ht="28" x14ac:dyDescent="0.15">
      <c r="A8" s="96">
        <v>7</v>
      </c>
      <c r="B8" s="106"/>
      <c r="C8" s="109" t="s">
        <v>134</v>
      </c>
      <c r="D8" s="109"/>
      <c r="E8" s="98"/>
      <c r="F8" s="98" t="s">
        <v>110</v>
      </c>
      <c r="G8" s="99">
        <v>46106</v>
      </c>
      <c r="H8" s="110">
        <v>46113</v>
      </c>
      <c r="I8" s="98"/>
      <c r="J8" s="97" t="s">
        <v>111</v>
      </c>
      <c r="K8" s="97" t="s">
        <v>135</v>
      </c>
      <c r="L8" s="97" t="s">
        <v>123</v>
      </c>
    </row>
    <row r="9" spans="1:12" ht="70" x14ac:dyDescent="0.15">
      <c r="A9" s="96">
        <v>8</v>
      </c>
      <c r="B9" s="106" t="s">
        <v>136</v>
      </c>
      <c r="C9" s="109" t="s">
        <v>137</v>
      </c>
      <c r="D9" s="109" t="s">
        <v>138</v>
      </c>
      <c r="E9" s="98"/>
      <c r="F9" s="98" t="s">
        <v>110</v>
      </c>
      <c r="G9" s="99" t="s">
        <v>139</v>
      </c>
      <c r="H9" s="110">
        <v>46120</v>
      </c>
      <c r="I9" s="98"/>
      <c r="J9" s="97" t="s">
        <v>111</v>
      </c>
      <c r="K9" s="97" t="s">
        <v>140</v>
      </c>
      <c r="L9" s="97" t="s">
        <v>123</v>
      </c>
    </row>
    <row r="10" spans="1:12" ht="84" x14ac:dyDescent="0.15">
      <c r="A10" s="96">
        <v>9</v>
      </c>
      <c r="B10" s="106" t="s">
        <v>141</v>
      </c>
      <c r="C10" s="109" t="s">
        <v>142</v>
      </c>
      <c r="D10" s="109" t="s">
        <v>143</v>
      </c>
      <c r="E10" s="98"/>
      <c r="F10" s="98" t="s">
        <v>110</v>
      </c>
      <c r="G10" s="99" t="s">
        <v>139</v>
      </c>
      <c r="H10" s="110">
        <v>46126</v>
      </c>
      <c r="I10" s="98"/>
      <c r="J10" s="97" t="s">
        <v>111</v>
      </c>
      <c r="K10" s="114" t="s">
        <v>144</v>
      </c>
      <c r="L10" s="97" t="s">
        <v>123</v>
      </c>
    </row>
    <row r="11" spans="1:12" ht="42" x14ac:dyDescent="0.15">
      <c r="A11" s="96">
        <v>10</v>
      </c>
      <c r="B11" s="106" t="s">
        <v>145</v>
      </c>
      <c r="C11" s="109" t="s">
        <v>146</v>
      </c>
      <c r="D11" s="109" t="s">
        <v>147</v>
      </c>
      <c r="E11" s="98"/>
      <c r="F11" s="98" t="s">
        <v>110</v>
      </c>
      <c r="G11" s="99" t="s">
        <v>148</v>
      </c>
      <c r="H11" s="110">
        <v>46126</v>
      </c>
      <c r="I11" s="98"/>
      <c r="J11" s="97" t="s">
        <v>111</v>
      </c>
      <c r="K11" s="97" t="s">
        <v>149</v>
      </c>
      <c r="L11" s="97" t="s">
        <v>150</v>
      </c>
    </row>
    <row r="12" spans="1:12" ht="56" x14ac:dyDescent="0.15">
      <c r="A12" s="96">
        <v>11</v>
      </c>
      <c r="B12" s="106" t="s">
        <v>145</v>
      </c>
      <c r="C12" s="109" t="s">
        <v>151</v>
      </c>
      <c r="D12" s="109" t="s">
        <v>152</v>
      </c>
      <c r="E12" s="98"/>
      <c r="F12" s="98" t="s">
        <v>110</v>
      </c>
      <c r="G12" s="99">
        <v>46114</v>
      </c>
      <c r="H12" s="110">
        <v>46126</v>
      </c>
      <c r="I12" s="98"/>
      <c r="J12" s="97" t="s">
        <v>111</v>
      </c>
      <c r="K12" s="114" t="s">
        <v>153</v>
      </c>
      <c r="L12" s="97" t="s">
        <v>123</v>
      </c>
    </row>
    <row r="13" spans="1:12" ht="28" x14ac:dyDescent="0.15">
      <c r="A13" s="100">
        <v>12</v>
      </c>
      <c r="B13" s="101" t="s">
        <v>154</v>
      </c>
      <c r="C13" s="115" t="s">
        <v>155</v>
      </c>
      <c r="D13" s="115" t="s">
        <v>156</v>
      </c>
      <c r="E13" s="103"/>
      <c r="F13" s="103" t="s">
        <v>110</v>
      </c>
      <c r="G13" s="104">
        <v>46114</v>
      </c>
      <c r="H13" s="116">
        <v>46126</v>
      </c>
      <c r="I13" s="103"/>
      <c r="J13" s="102" t="s">
        <v>117</v>
      </c>
      <c r="K13" s="102" t="s">
        <v>157</v>
      </c>
      <c r="L13" s="102" t="s">
        <v>158</v>
      </c>
    </row>
    <row r="14" spans="1:12" ht="37.5" customHeight="1" x14ac:dyDescent="0.15">
      <c r="A14" s="100">
        <v>13</v>
      </c>
      <c r="B14" s="100"/>
      <c r="C14" s="102" t="s">
        <v>159</v>
      </c>
      <c r="D14" s="117"/>
      <c r="E14" s="103"/>
      <c r="F14" s="103" t="s">
        <v>110</v>
      </c>
      <c r="G14" s="104">
        <v>46120</v>
      </c>
      <c r="H14" s="116">
        <v>46132</v>
      </c>
      <c r="I14" s="103"/>
      <c r="J14" s="102" t="s">
        <v>117</v>
      </c>
      <c r="K14" s="102" t="s">
        <v>160</v>
      </c>
      <c r="L14" s="102" t="s">
        <v>161</v>
      </c>
    </row>
    <row r="15" spans="1:12" ht="42" x14ac:dyDescent="0.15">
      <c r="A15" s="118">
        <v>14</v>
      </c>
      <c r="B15" s="119" t="s">
        <v>162</v>
      </c>
      <c r="C15" s="120" t="s">
        <v>163</v>
      </c>
      <c r="D15" s="120" t="s">
        <v>164</v>
      </c>
      <c r="E15" s="121"/>
      <c r="F15" s="121" t="s">
        <v>165</v>
      </c>
      <c r="G15" s="122">
        <v>46120</v>
      </c>
      <c r="H15" s="123"/>
      <c r="I15" s="121"/>
      <c r="J15" s="120" t="s">
        <v>166</v>
      </c>
      <c r="K15" s="120" t="s">
        <v>167</v>
      </c>
      <c r="L15" s="120" t="s">
        <v>168</v>
      </c>
    </row>
    <row r="16" spans="1:12" ht="56" x14ac:dyDescent="0.15">
      <c r="A16" s="118">
        <v>15</v>
      </c>
      <c r="B16" s="118" t="s">
        <v>107</v>
      </c>
      <c r="C16" s="120" t="s">
        <v>169</v>
      </c>
      <c r="D16" s="124" t="s">
        <v>170</v>
      </c>
      <c r="E16" s="121"/>
      <c r="F16" s="121" t="s">
        <v>165</v>
      </c>
      <c r="G16" s="122">
        <v>46128</v>
      </c>
      <c r="H16" s="123"/>
      <c r="I16" s="121"/>
      <c r="J16" s="120" t="s">
        <v>166</v>
      </c>
      <c r="K16" s="120" t="s">
        <v>171</v>
      </c>
      <c r="L16" s="120" t="s">
        <v>172</v>
      </c>
    </row>
    <row r="17" spans="1:12" ht="13" x14ac:dyDescent="0.15">
      <c r="A17" s="118">
        <v>16</v>
      </c>
      <c r="B17" s="118"/>
      <c r="C17" s="120"/>
      <c r="D17" s="124"/>
      <c r="E17" s="121"/>
      <c r="F17" s="121"/>
      <c r="G17" s="122"/>
      <c r="H17" s="123"/>
      <c r="I17" s="121"/>
      <c r="J17" s="120"/>
      <c r="K17" s="120"/>
      <c r="L17" s="120"/>
    </row>
    <row r="18" spans="1:12" ht="13" x14ac:dyDescent="0.15">
      <c r="A18" s="118">
        <v>17</v>
      </c>
      <c r="B18" s="118"/>
      <c r="C18" s="120"/>
      <c r="D18" s="120"/>
      <c r="E18" s="121"/>
      <c r="F18" s="121"/>
      <c r="G18" s="122"/>
      <c r="H18" s="123"/>
      <c r="I18" s="121"/>
      <c r="J18" s="120"/>
      <c r="K18" s="120"/>
      <c r="L18" s="120"/>
    </row>
    <row r="19" spans="1:12" ht="13" x14ac:dyDescent="0.15">
      <c r="A19" s="118">
        <v>18</v>
      </c>
      <c r="B19" s="118"/>
      <c r="C19" s="120"/>
      <c r="D19" s="120"/>
      <c r="E19" s="121"/>
      <c r="F19" s="121"/>
      <c r="G19" s="122"/>
      <c r="H19" s="123"/>
      <c r="I19" s="121"/>
      <c r="J19" s="120"/>
      <c r="K19" s="120"/>
      <c r="L19" s="120"/>
    </row>
    <row r="20" spans="1:12" ht="13" x14ac:dyDescent="0.15">
      <c r="A20" s="118">
        <v>19</v>
      </c>
      <c r="B20" s="125"/>
      <c r="C20" s="120"/>
      <c r="D20" s="120"/>
      <c r="E20" s="121"/>
      <c r="F20" s="121"/>
      <c r="G20" s="122"/>
      <c r="H20" s="123"/>
      <c r="I20" s="121"/>
      <c r="J20" s="120"/>
      <c r="K20" s="120"/>
      <c r="L20" s="120"/>
    </row>
    <row r="21" spans="1:12" ht="13" x14ac:dyDescent="0.15">
      <c r="A21" s="118">
        <v>20</v>
      </c>
      <c r="B21" s="118"/>
      <c r="C21" s="120"/>
      <c r="D21" s="120"/>
      <c r="E21" s="121"/>
      <c r="F21" s="121"/>
      <c r="G21" s="122"/>
      <c r="H21" s="123"/>
      <c r="I21" s="121"/>
      <c r="J21" s="120"/>
      <c r="K21" s="120"/>
      <c r="L21" s="120"/>
    </row>
    <row r="22" spans="1:12" ht="13" x14ac:dyDescent="0.15">
      <c r="A22" s="118">
        <v>21</v>
      </c>
      <c r="B22" s="118"/>
      <c r="C22" s="120"/>
      <c r="D22" s="120"/>
      <c r="E22" s="121"/>
      <c r="F22" s="121"/>
      <c r="G22" s="122"/>
      <c r="H22" s="123"/>
      <c r="I22" s="121"/>
      <c r="J22" s="120"/>
      <c r="K22" s="120"/>
      <c r="L22" s="120"/>
    </row>
    <row r="23" spans="1:12" ht="13" x14ac:dyDescent="0.15">
      <c r="A23" s="118">
        <v>22</v>
      </c>
      <c r="B23" s="118"/>
      <c r="C23" s="120"/>
      <c r="D23" s="120"/>
      <c r="E23" s="121"/>
      <c r="F23" s="121"/>
      <c r="G23" s="122"/>
      <c r="H23" s="122"/>
      <c r="I23" s="121"/>
      <c r="J23" s="120"/>
      <c r="K23" s="120"/>
      <c r="L23" s="120"/>
    </row>
    <row r="24" spans="1:12" ht="13" x14ac:dyDescent="0.15">
      <c r="A24" s="118">
        <v>23</v>
      </c>
      <c r="B24" s="118"/>
      <c r="C24" s="120"/>
      <c r="D24" s="126"/>
      <c r="E24" s="121"/>
      <c r="F24" s="121"/>
      <c r="G24" s="122"/>
      <c r="H24" s="122"/>
      <c r="I24" s="121"/>
      <c r="J24" s="120"/>
      <c r="K24" s="120"/>
      <c r="L24" s="127"/>
    </row>
    <row r="25" spans="1:12" ht="13" x14ac:dyDescent="0.15">
      <c r="A25" s="118">
        <v>24</v>
      </c>
      <c r="B25" s="118"/>
      <c r="C25" s="126"/>
      <c r="D25" s="120"/>
      <c r="E25" s="121"/>
      <c r="F25" s="121"/>
      <c r="G25" s="122"/>
      <c r="H25" s="123"/>
      <c r="I25" s="121"/>
      <c r="J25" s="120"/>
      <c r="K25" s="120"/>
      <c r="L25" s="121"/>
    </row>
    <row r="26" spans="1:12" ht="13" x14ac:dyDescent="0.15">
      <c r="A26" s="118">
        <v>25</v>
      </c>
      <c r="B26" s="118"/>
      <c r="C26" s="120"/>
      <c r="D26" s="120"/>
      <c r="E26" s="121"/>
      <c r="F26" s="121"/>
      <c r="G26" s="122"/>
      <c r="H26" s="122"/>
      <c r="I26" s="121"/>
      <c r="J26" s="120"/>
      <c r="K26" s="120"/>
      <c r="L26" s="121"/>
    </row>
    <row r="27" spans="1:12" ht="13" x14ac:dyDescent="0.15">
      <c r="A27" s="118">
        <v>26</v>
      </c>
      <c r="B27" s="118"/>
      <c r="C27" s="120"/>
      <c r="D27" s="120"/>
      <c r="E27" s="121"/>
      <c r="F27" s="121"/>
      <c r="G27" s="122"/>
      <c r="H27" s="122"/>
      <c r="I27" s="121"/>
      <c r="J27" s="120"/>
      <c r="K27" s="120"/>
      <c r="L27" s="121"/>
    </row>
    <row r="28" spans="1:12" ht="13" x14ac:dyDescent="0.15">
      <c r="A28" s="118">
        <v>27</v>
      </c>
      <c r="B28" s="118"/>
      <c r="C28" s="120"/>
      <c r="D28" s="120"/>
      <c r="E28" s="121"/>
      <c r="F28" s="121"/>
      <c r="G28" s="122"/>
      <c r="H28" s="122"/>
      <c r="I28" s="121"/>
      <c r="J28" s="120"/>
      <c r="K28" s="120"/>
      <c r="L28" s="121"/>
    </row>
    <row r="29" spans="1:12" ht="13" x14ac:dyDescent="0.15">
      <c r="A29" s="118">
        <v>28</v>
      </c>
      <c r="B29" s="118"/>
      <c r="C29" s="120"/>
      <c r="D29" s="120"/>
      <c r="E29" s="121"/>
      <c r="F29" s="121"/>
      <c r="G29" s="122"/>
      <c r="H29" s="122"/>
      <c r="I29" s="121"/>
      <c r="J29" s="120"/>
      <c r="K29" s="120"/>
      <c r="L29" s="121"/>
    </row>
    <row r="30" spans="1:12" ht="13" x14ac:dyDescent="0.15">
      <c r="A30" s="118">
        <v>29</v>
      </c>
      <c r="B30" s="118"/>
      <c r="C30" s="120"/>
      <c r="D30" s="120"/>
      <c r="E30" s="121"/>
      <c r="F30" s="121"/>
      <c r="G30" s="122"/>
      <c r="H30" s="122"/>
      <c r="I30" s="121"/>
      <c r="J30" s="120"/>
      <c r="K30" s="120"/>
      <c r="L30" s="121"/>
    </row>
    <row r="31" spans="1:12" ht="13" x14ac:dyDescent="0.15">
      <c r="A31" s="118">
        <v>30</v>
      </c>
      <c r="B31" s="118"/>
      <c r="C31" s="120"/>
      <c r="D31" s="120"/>
      <c r="E31" s="121"/>
      <c r="F31" s="121"/>
      <c r="G31" s="122"/>
      <c r="H31" s="122"/>
      <c r="I31" s="121"/>
      <c r="J31" s="120"/>
      <c r="K31" s="120"/>
      <c r="L31" s="128"/>
    </row>
    <row r="32" spans="1:12" ht="13" x14ac:dyDescent="0.15">
      <c r="A32" s="118">
        <v>31</v>
      </c>
      <c r="B32" s="118"/>
      <c r="C32" s="120"/>
      <c r="D32" s="120"/>
      <c r="E32" s="121"/>
      <c r="F32" s="121"/>
      <c r="G32" s="122"/>
      <c r="H32" s="122"/>
      <c r="I32" s="121"/>
      <c r="J32" s="120"/>
      <c r="K32" s="120"/>
      <c r="L32" s="121"/>
    </row>
    <row r="33" spans="1:12" ht="13" x14ac:dyDescent="0.15">
      <c r="A33" s="118">
        <v>32</v>
      </c>
      <c r="B33" s="118"/>
      <c r="C33" s="120"/>
      <c r="D33" s="120"/>
      <c r="E33" s="121"/>
      <c r="F33" s="121"/>
      <c r="G33" s="122"/>
      <c r="H33" s="122"/>
      <c r="I33" s="121"/>
      <c r="J33" s="120"/>
      <c r="K33" s="120"/>
      <c r="L33" s="121"/>
    </row>
    <row r="34" spans="1:12" ht="13" x14ac:dyDescent="0.15">
      <c r="A34" s="118">
        <v>33</v>
      </c>
      <c r="B34" s="118"/>
      <c r="C34" s="120"/>
      <c r="D34" s="120"/>
      <c r="E34" s="121"/>
      <c r="F34" s="121"/>
      <c r="G34" s="122"/>
      <c r="H34" s="122"/>
      <c r="I34" s="121"/>
      <c r="J34" s="120"/>
      <c r="K34" s="120"/>
      <c r="L34" s="128"/>
    </row>
    <row r="35" spans="1:12" ht="13" x14ac:dyDescent="0.15">
      <c r="A35" s="118">
        <v>34</v>
      </c>
      <c r="B35" s="118"/>
      <c r="C35" s="120"/>
      <c r="D35" s="120"/>
      <c r="E35" s="121"/>
      <c r="F35" s="121"/>
      <c r="G35" s="122"/>
      <c r="H35" s="122"/>
      <c r="I35" s="121"/>
      <c r="J35" s="120"/>
      <c r="K35" s="120"/>
      <c r="L35" s="121"/>
    </row>
    <row r="36" spans="1:12" ht="13" x14ac:dyDescent="0.15">
      <c r="A36" s="118">
        <v>35</v>
      </c>
      <c r="B36" s="118"/>
      <c r="C36" s="120"/>
      <c r="D36" s="120"/>
      <c r="E36" s="121"/>
      <c r="F36" s="121"/>
      <c r="G36" s="122"/>
      <c r="H36" s="122"/>
      <c r="I36" s="121"/>
      <c r="J36" s="120"/>
      <c r="K36" s="120"/>
      <c r="L36" s="120"/>
    </row>
    <row r="37" spans="1:12" ht="13" x14ac:dyDescent="0.15">
      <c r="A37" s="118">
        <v>36</v>
      </c>
      <c r="B37" s="118"/>
      <c r="C37" s="120"/>
      <c r="D37" s="120"/>
      <c r="E37" s="121"/>
      <c r="F37" s="121"/>
      <c r="G37" s="122"/>
      <c r="H37" s="122"/>
      <c r="I37" s="121"/>
      <c r="J37" s="120"/>
      <c r="K37" s="120"/>
      <c r="L37" s="128"/>
    </row>
    <row r="38" spans="1:12" ht="13" x14ac:dyDescent="0.15">
      <c r="A38" s="118">
        <v>37</v>
      </c>
      <c r="B38" s="118"/>
      <c r="C38" s="120"/>
      <c r="D38" s="120"/>
      <c r="E38" s="121"/>
      <c r="F38" s="121"/>
      <c r="G38" s="122"/>
      <c r="H38" s="122"/>
      <c r="I38" s="121"/>
      <c r="J38" s="120"/>
      <c r="K38" s="120"/>
      <c r="L38" s="121"/>
    </row>
    <row r="39" spans="1:12" ht="13" x14ac:dyDescent="0.15">
      <c r="A39" s="118">
        <v>38</v>
      </c>
      <c r="B39" s="118"/>
      <c r="C39" s="120"/>
      <c r="D39" s="120"/>
      <c r="E39" s="121"/>
      <c r="F39" s="121"/>
      <c r="G39" s="122"/>
      <c r="H39" s="122"/>
      <c r="I39" s="121"/>
      <c r="J39" s="120"/>
      <c r="K39" s="120"/>
      <c r="L39" s="128"/>
    </row>
    <row r="40" spans="1:12" ht="13" x14ac:dyDescent="0.15">
      <c r="A40" s="118">
        <v>39</v>
      </c>
      <c r="B40" s="118"/>
      <c r="C40" s="120"/>
      <c r="D40" s="129"/>
      <c r="E40" s="121"/>
      <c r="F40" s="121"/>
      <c r="G40" s="122"/>
      <c r="H40" s="122"/>
      <c r="I40" s="121"/>
      <c r="J40" s="120"/>
      <c r="K40" s="120"/>
      <c r="L40" s="121"/>
    </row>
    <row r="41" spans="1:12" ht="13" x14ac:dyDescent="0.15">
      <c r="A41" s="118">
        <v>40</v>
      </c>
      <c r="B41" s="118"/>
      <c r="C41" s="120"/>
      <c r="E41" s="121"/>
      <c r="F41" s="121"/>
      <c r="G41" s="122"/>
      <c r="H41" s="122"/>
      <c r="I41" s="121"/>
      <c r="J41" s="120"/>
      <c r="K41" s="120"/>
      <c r="L41" s="121"/>
    </row>
    <row r="42" spans="1:12" ht="13" x14ac:dyDescent="0.15">
      <c r="A42" s="118">
        <v>41</v>
      </c>
      <c r="B42" s="118"/>
      <c r="C42" s="120"/>
      <c r="D42" s="120"/>
      <c r="E42" s="121"/>
      <c r="F42" s="121"/>
      <c r="G42" s="122"/>
      <c r="H42" s="122"/>
      <c r="I42" s="121"/>
      <c r="J42" s="120"/>
      <c r="K42" s="120"/>
      <c r="L42" s="121"/>
    </row>
    <row r="43" spans="1:12" ht="13" x14ac:dyDescent="0.15">
      <c r="A43" s="118">
        <v>42</v>
      </c>
      <c r="B43" s="118"/>
      <c r="C43" s="120"/>
      <c r="D43" s="120"/>
      <c r="E43" s="121"/>
      <c r="F43" s="121"/>
      <c r="G43" s="122"/>
      <c r="H43" s="122"/>
      <c r="I43" s="121"/>
      <c r="J43" s="120"/>
      <c r="K43" s="120"/>
      <c r="L43" s="131"/>
    </row>
    <row r="44" spans="1:12" ht="13" x14ac:dyDescent="0.15">
      <c r="A44" s="118">
        <v>43</v>
      </c>
      <c r="B44" s="118"/>
      <c r="C44" s="120"/>
      <c r="D44" s="120"/>
      <c r="E44" s="121"/>
      <c r="F44" s="121"/>
      <c r="G44" s="122"/>
      <c r="H44" s="122"/>
      <c r="I44" s="121"/>
      <c r="J44" s="120"/>
      <c r="K44" s="120"/>
      <c r="L44" s="121"/>
    </row>
    <row r="45" spans="1:12" ht="13" x14ac:dyDescent="0.15">
      <c r="A45" s="118">
        <v>44</v>
      </c>
      <c r="B45" s="118"/>
      <c r="C45" s="120"/>
      <c r="D45" s="120"/>
      <c r="E45" s="121"/>
      <c r="F45" s="121"/>
      <c r="G45" s="122"/>
      <c r="H45" s="122"/>
      <c r="I45" s="121"/>
      <c r="J45" s="120"/>
      <c r="K45" s="120"/>
      <c r="L45" s="128"/>
    </row>
    <row r="46" spans="1:12" ht="13" x14ac:dyDescent="0.15">
      <c r="A46" s="118">
        <v>45</v>
      </c>
      <c r="B46" s="118"/>
      <c r="C46" s="120"/>
      <c r="D46" s="120"/>
      <c r="E46" s="121"/>
      <c r="F46" s="121"/>
      <c r="G46" s="122"/>
      <c r="H46" s="122"/>
      <c r="I46" s="121"/>
      <c r="J46" s="120"/>
      <c r="K46" s="120"/>
      <c r="L46" s="128"/>
    </row>
    <row r="47" spans="1:12" ht="13" x14ac:dyDescent="0.15">
      <c r="A47" s="118">
        <v>46</v>
      </c>
      <c r="B47" s="118"/>
      <c r="C47" s="120"/>
      <c r="D47" s="120"/>
      <c r="E47" s="121"/>
      <c r="F47" s="121"/>
      <c r="G47" s="122"/>
      <c r="H47" s="122"/>
      <c r="I47" s="121"/>
      <c r="J47" s="120"/>
      <c r="K47" s="120"/>
      <c r="L47" s="121"/>
    </row>
    <row r="48" spans="1:12" ht="13" x14ac:dyDescent="0.15">
      <c r="A48" s="118">
        <v>47</v>
      </c>
      <c r="B48" s="118"/>
      <c r="C48" s="120"/>
      <c r="D48" s="120"/>
      <c r="E48" s="121"/>
      <c r="F48" s="121"/>
      <c r="G48" s="122"/>
      <c r="H48" s="122"/>
      <c r="I48" s="121"/>
      <c r="J48" s="120"/>
      <c r="K48" s="120"/>
      <c r="L48" s="132"/>
    </row>
    <row r="49" spans="1:12" ht="13" x14ac:dyDescent="0.15">
      <c r="A49" s="118">
        <v>48</v>
      </c>
      <c r="B49" s="118"/>
      <c r="C49" s="120"/>
      <c r="D49" s="120"/>
      <c r="E49" s="121"/>
      <c r="F49" s="121"/>
      <c r="G49" s="122"/>
      <c r="H49" s="122"/>
      <c r="I49" s="121"/>
      <c r="J49" s="120"/>
      <c r="K49" s="120"/>
      <c r="L49" s="121"/>
    </row>
    <row r="50" spans="1:12" ht="13" x14ac:dyDescent="0.15">
      <c r="A50" s="118">
        <v>49</v>
      </c>
      <c r="B50" s="118"/>
      <c r="C50" s="120"/>
      <c r="D50" s="120"/>
      <c r="E50" s="121"/>
      <c r="F50" s="121"/>
      <c r="G50" s="122"/>
      <c r="H50" s="122"/>
      <c r="I50" s="121"/>
      <c r="J50" s="120"/>
      <c r="K50" s="120"/>
      <c r="L50" s="121"/>
    </row>
    <row r="51" spans="1:12" ht="13" x14ac:dyDescent="0.15">
      <c r="A51" s="118">
        <v>50</v>
      </c>
      <c r="B51" s="118"/>
      <c r="C51" s="120"/>
      <c r="D51" s="120"/>
      <c r="E51" s="121"/>
      <c r="F51" s="121"/>
      <c r="G51" s="122"/>
      <c r="H51" s="122"/>
      <c r="I51" s="121"/>
      <c r="J51" s="120"/>
      <c r="K51" s="120"/>
      <c r="L51" s="121"/>
    </row>
    <row r="52" spans="1:12" ht="13" x14ac:dyDescent="0.15">
      <c r="A52" s="118">
        <v>51</v>
      </c>
      <c r="B52" s="118"/>
      <c r="C52" s="120"/>
      <c r="D52" s="120"/>
      <c r="E52" s="121"/>
      <c r="F52" s="121"/>
      <c r="G52" s="122"/>
      <c r="H52" s="122"/>
      <c r="I52" s="121"/>
      <c r="J52" s="120"/>
      <c r="K52" s="120"/>
      <c r="L52" s="121"/>
    </row>
    <row r="53" spans="1:12" ht="13" x14ac:dyDescent="0.15">
      <c r="A53" s="118">
        <v>52</v>
      </c>
      <c r="B53" s="118"/>
      <c r="C53" s="120"/>
      <c r="D53" s="120"/>
      <c r="E53" s="121"/>
      <c r="F53" s="121"/>
      <c r="G53" s="122"/>
      <c r="H53" s="122"/>
      <c r="I53" s="121"/>
      <c r="J53" s="120"/>
      <c r="K53" s="120"/>
      <c r="L53" s="121"/>
    </row>
    <row r="54" spans="1:12" ht="13" x14ac:dyDescent="0.15">
      <c r="A54" s="118">
        <v>53</v>
      </c>
      <c r="B54" s="118"/>
      <c r="C54" s="120"/>
      <c r="D54" s="120"/>
      <c r="E54" s="121"/>
      <c r="F54" s="121"/>
      <c r="G54" s="122"/>
      <c r="H54" s="122"/>
      <c r="I54" s="121"/>
      <c r="J54" s="120"/>
      <c r="K54" s="120"/>
      <c r="L54" s="121"/>
    </row>
    <row r="55" spans="1:12" ht="13" x14ac:dyDescent="0.15">
      <c r="A55" s="118">
        <v>54</v>
      </c>
      <c r="B55" s="118"/>
      <c r="C55" s="120"/>
      <c r="D55" s="120"/>
      <c r="E55" s="121"/>
      <c r="F55" s="121"/>
      <c r="G55" s="122"/>
      <c r="H55" s="122"/>
      <c r="I55" s="121"/>
      <c r="J55" s="120"/>
      <c r="K55" s="120"/>
      <c r="L55" s="121"/>
    </row>
    <row r="56" spans="1:12" ht="13" x14ac:dyDescent="0.15">
      <c r="A56" s="118">
        <v>55</v>
      </c>
      <c r="B56" s="118"/>
      <c r="C56" s="120"/>
      <c r="D56" s="120"/>
      <c r="E56" s="121"/>
      <c r="F56" s="121"/>
      <c r="G56" s="122"/>
      <c r="H56" s="122"/>
      <c r="I56" s="121"/>
      <c r="J56" s="120"/>
      <c r="K56" s="120"/>
      <c r="L56" s="121"/>
    </row>
    <row r="57" spans="1:12" ht="13" x14ac:dyDescent="0.15">
      <c r="A57" s="118">
        <v>56</v>
      </c>
      <c r="B57" s="118"/>
      <c r="C57" s="120"/>
      <c r="D57" s="120"/>
      <c r="E57" s="121"/>
      <c r="F57" s="121"/>
      <c r="G57" s="122"/>
      <c r="H57" s="122"/>
      <c r="I57" s="121"/>
      <c r="J57" s="120"/>
      <c r="K57" s="120"/>
      <c r="L57" s="121"/>
    </row>
    <row r="58" spans="1:12" ht="13" x14ac:dyDescent="0.15">
      <c r="A58" s="118">
        <v>57</v>
      </c>
      <c r="B58" s="118"/>
      <c r="C58" s="120"/>
      <c r="D58" s="120"/>
      <c r="E58" s="121"/>
      <c r="F58" s="121"/>
      <c r="G58" s="122"/>
      <c r="H58" s="122"/>
      <c r="I58" s="121"/>
      <c r="J58" s="120"/>
      <c r="K58" s="120"/>
      <c r="L58" s="121"/>
    </row>
    <row r="59" spans="1:12" ht="13" x14ac:dyDescent="0.15">
      <c r="A59" s="118">
        <v>58</v>
      </c>
      <c r="B59" s="118"/>
      <c r="C59" s="120"/>
      <c r="D59" s="120"/>
      <c r="E59" s="121"/>
      <c r="F59" s="121"/>
      <c r="G59" s="122"/>
      <c r="H59" s="122"/>
      <c r="I59" s="121"/>
      <c r="J59" s="120"/>
      <c r="K59" s="120"/>
      <c r="L59" s="121"/>
    </row>
    <row r="60" spans="1:12" ht="13" x14ac:dyDescent="0.15">
      <c r="A60" s="118">
        <v>59</v>
      </c>
      <c r="B60" s="118"/>
      <c r="C60" s="120"/>
      <c r="D60" s="120"/>
      <c r="E60" s="121"/>
      <c r="F60" s="121"/>
      <c r="G60" s="122"/>
      <c r="H60" s="122"/>
      <c r="I60" s="121"/>
      <c r="J60" s="120"/>
      <c r="K60" s="120"/>
      <c r="L60" s="121"/>
    </row>
    <row r="61" spans="1:12" ht="13" x14ac:dyDescent="0.15">
      <c r="A61" s="118">
        <v>60</v>
      </c>
      <c r="B61" s="118"/>
      <c r="C61" s="120"/>
      <c r="D61" s="120"/>
      <c r="E61" s="121"/>
      <c r="F61" s="121"/>
      <c r="G61" s="122"/>
      <c r="H61" s="122"/>
      <c r="I61" s="121"/>
      <c r="J61" s="120"/>
      <c r="K61" s="120"/>
      <c r="L61" s="121"/>
    </row>
    <row r="62" spans="1:12" ht="13" x14ac:dyDescent="0.15">
      <c r="A62" s="118">
        <v>61</v>
      </c>
      <c r="B62" s="118"/>
      <c r="C62" s="120"/>
      <c r="D62" s="120"/>
      <c r="E62" s="121"/>
      <c r="F62" s="121"/>
      <c r="G62" s="122"/>
      <c r="H62" s="122"/>
      <c r="I62" s="121"/>
      <c r="J62" s="120"/>
      <c r="K62" s="120"/>
      <c r="L62" s="121"/>
    </row>
    <row r="63" spans="1:12" ht="13" x14ac:dyDescent="0.15">
      <c r="A63" s="118">
        <v>62</v>
      </c>
      <c r="B63" s="118"/>
      <c r="C63" s="120"/>
      <c r="D63" s="120"/>
      <c r="E63" s="121"/>
      <c r="F63" s="121"/>
      <c r="G63" s="122"/>
      <c r="H63" s="122"/>
      <c r="I63" s="121"/>
      <c r="J63" s="120"/>
      <c r="K63" s="120"/>
      <c r="L63" s="121"/>
    </row>
    <row r="64" spans="1:12" ht="13" x14ac:dyDescent="0.15">
      <c r="A64" s="118">
        <v>63</v>
      </c>
      <c r="B64" s="118"/>
      <c r="C64" s="120"/>
      <c r="D64" s="120"/>
      <c r="E64" s="121"/>
      <c r="F64" s="121"/>
      <c r="G64" s="122"/>
      <c r="H64" s="122"/>
      <c r="I64" s="121"/>
      <c r="J64" s="120"/>
      <c r="K64" s="120"/>
      <c r="L64" s="121"/>
    </row>
    <row r="65" spans="1:12" ht="13" x14ac:dyDescent="0.15">
      <c r="A65" s="118">
        <v>64</v>
      </c>
      <c r="B65" s="118"/>
      <c r="C65" s="120"/>
      <c r="D65" s="120"/>
      <c r="E65" s="121"/>
      <c r="F65" s="121"/>
      <c r="G65" s="122"/>
      <c r="H65" s="122"/>
      <c r="I65" s="121"/>
      <c r="J65" s="120"/>
      <c r="K65" s="120"/>
      <c r="L65" s="121"/>
    </row>
    <row r="66" spans="1:12" ht="13" x14ac:dyDescent="0.15">
      <c r="A66" s="118">
        <v>65</v>
      </c>
      <c r="B66" s="118"/>
      <c r="C66" s="120"/>
      <c r="D66" s="120"/>
      <c r="E66" s="121"/>
      <c r="F66" s="121"/>
      <c r="G66" s="122"/>
      <c r="H66" s="122"/>
      <c r="I66" s="121"/>
      <c r="J66" s="120"/>
      <c r="K66" s="120"/>
      <c r="L66" s="121"/>
    </row>
    <row r="67" spans="1:12" ht="13" x14ac:dyDescent="0.15">
      <c r="A67" s="118">
        <v>66</v>
      </c>
      <c r="B67" s="118"/>
      <c r="C67" s="120"/>
      <c r="D67" s="120"/>
      <c r="E67" s="121"/>
      <c r="F67" s="121"/>
      <c r="G67" s="122"/>
      <c r="H67" s="122"/>
      <c r="I67" s="121"/>
      <c r="J67" s="120"/>
      <c r="K67" s="120"/>
      <c r="L67" s="121"/>
    </row>
    <row r="68" spans="1:12" ht="13" x14ac:dyDescent="0.15">
      <c r="A68" s="118">
        <v>67</v>
      </c>
      <c r="B68" s="118"/>
      <c r="C68" s="120"/>
      <c r="D68" s="120"/>
      <c r="E68" s="121"/>
      <c r="F68" s="121"/>
      <c r="G68" s="122"/>
      <c r="H68" s="122"/>
      <c r="I68" s="121"/>
      <c r="J68" s="120"/>
      <c r="K68" s="120"/>
      <c r="L68" s="121"/>
    </row>
    <row r="69" spans="1:12" ht="13" x14ac:dyDescent="0.15">
      <c r="A69" s="118">
        <v>68</v>
      </c>
      <c r="B69" s="118"/>
      <c r="C69" s="120"/>
      <c r="D69" s="120"/>
      <c r="E69" s="121"/>
      <c r="F69" s="121"/>
      <c r="G69" s="122"/>
      <c r="H69" s="122"/>
      <c r="I69" s="121"/>
      <c r="J69" s="120"/>
      <c r="K69" s="120"/>
      <c r="L69" s="121"/>
    </row>
    <row r="70" spans="1:12" ht="13" x14ac:dyDescent="0.15">
      <c r="A70" s="118">
        <v>69</v>
      </c>
      <c r="B70" s="118"/>
      <c r="C70" s="120"/>
      <c r="D70" s="120"/>
      <c r="E70" s="121"/>
      <c r="F70" s="121"/>
      <c r="G70" s="122"/>
      <c r="H70" s="122"/>
      <c r="I70" s="121"/>
      <c r="J70" s="120"/>
      <c r="K70" s="120"/>
      <c r="L70" s="121"/>
    </row>
    <row r="71" spans="1:12" ht="13" x14ac:dyDescent="0.15">
      <c r="A71" s="118">
        <v>70</v>
      </c>
      <c r="B71" s="118"/>
      <c r="C71" s="120"/>
      <c r="D71" s="120"/>
      <c r="E71" s="121"/>
      <c r="F71" s="121"/>
      <c r="G71" s="122"/>
      <c r="H71" s="122"/>
      <c r="I71" s="121"/>
      <c r="J71" s="120"/>
      <c r="K71" s="120"/>
      <c r="L71" s="121"/>
    </row>
    <row r="72" spans="1:12" ht="13" x14ac:dyDescent="0.15">
      <c r="A72" s="118">
        <v>71</v>
      </c>
      <c r="B72" s="118"/>
      <c r="C72" s="120"/>
      <c r="D72" s="120"/>
      <c r="E72" s="121"/>
      <c r="F72" s="121"/>
      <c r="G72" s="122"/>
      <c r="H72" s="122"/>
      <c r="I72" s="121"/>
      <c r="J72" s="120"/>
      <c r="K72" s="120"/>
      <c r="L72" s="121"/>
    </row>
    <row r="73" spans="1:12" ht="13" x14ac:dyDescent="0.15">
      <c r="A73" s="118">
        <v>72</v>
      </c>
      <c r="B73" s="118"/>
      <c r="C73" s="120"/>
      <c r="D73" s="120"/>
      <c r="E73" s="121"/>
      <c r="F73" s="121"/>
      <c r="G73" s="122"/>
      <c r="H73" s="122"/>
      <c r="I73" s="121"/>
      <c r="J73" s="120"/>
      <c r="K73" s="120"/>
      <c r="L73" s="121"/>
    </row>
    <row r="74" spans="1:12" ht="13" x14ac:dyDescent="0.15">
      <c r="A74" s="118">
        <v>73</v>
      </c>
      <c r="B74" s="118"/>
      <c r="C74" s="120"/>
      <c r="D74" s="120"/>
      <c r="E74" s="121"/>
      <c r="F74" s="121"/>
      <c r="G74" s="122"/>
      <c r="H74" s="122"/>
      <c r="I74" s="121"/>
      <c r="J74" s="120"/>
      <c r="K74" s="120"/>
      <c r="L74" s="121"/>
    </row>
    <row r="75" spans="1:12" ht="13" x14ac:dyDescent="0.15">
      <c r="A75" s="118">
        <v>74</v>
      </c>
      <c r="B75" s="118"/>
      <c r="C75" s="120"/>
      <c r="D75" s="120"/>
      <c r="E75" s="121"/>
      <c r="F75" s="121"/>
      <c r="G75" s="122"/>
      <c r="H75" s="122"/>
      <c r="I75" s="121"/>
      <c r="J75" s="120"/>
      <c r="K75" s="120"/>
      <c r="L75" s="121"/>
    </row>
    <row r="76" spans="1:12" ht="13" x14ac:dyDescent="0.15">
      <c r="A76" s="118">
        <v>75</v>
      </c>
      <c r="B76" s="118"/>
      <c r="C76" s="120"/>
      <c r="D76" s="120"/>
      <c r="E76" s="121"/>
      <c r="F76" s="121"/>
      <c r="G76" s="122"/>
      <c r="H76" s="122"/>
      <c r="I76" s="121"/>
      <c r="J76" s="120"/>
      <c r="K76" s="120"/>
      <c r="L76" s="121"/>
    </row>
    <row r="77" spans="1:12" ht="13" x14ac:dyDescent="0.15">
      <c r="A77" s="118">
        <v>76</v>
      </c>
      <c r="B77" s="118"/>
      <c r="C77" s="120"/>
      <c r="D77" s="120"/>
      <c r="E77" s="121"/>
      <c r="F77" s="121"/>
      <c r="G77" s="122"/>
      <c r="H77" s="122"/>
      <c r="I77" s="121"/>
      <c r="J77" s="120"/>
      <c r="K77" s="120"/>
      <c r="L77" s="121"/>
    </row>
    <row r="78" spans="1:12" ht="13" x14ac:dyDescent="0.15">
      <c r="A78" s="118">
        <v>77</v>
      </c>
      <c r="B78" s="118"/>
      <c r="C78" s="120"/>
      <c r="D78" s="120"/>
      <c r="E78" s="121"/>
      <c r="F78" s="121"/>
      <c r="G78" s="122"/>
      <c r="H78" s="122"/>
      <c r="I78" s="121"/>
      <c r="J78" s="120"/>
      <c r="K78" s="120"/>
      <c r="L78" s="121"/>
    </row>
    <row r="79" spans="1:12" ht="13" x14ac:dyDescent="0.15">
      <c r="A79" s="118">
        <v>78</v>
      </c>
      <c r="B79" s="118"/>
      <c r="C79" s="120"/>
      <c r="D79" s="120"/>
      <c r="E79" s="121"/>
      <c r="F79" s="121"/>
      <c r="G79" s="122"/>
      <c r="H79" s="122"/>
      <c r="I79" s="121"/>
      <c r="J79" s="120"/>
      <c r="K79" s="120"/>
      <c r="L79" s="121"/>
    </row>
    <row r="80" spans="1:12" ht="13" x14ac:dyDescent="0.15">
      <c r="A80" s="118">
        <v>79</v>
      </c>
      <c r="B80" s="118"/>
      <c r="C80" s="120"/>
      <c r="D80" s="120"/>
      <c r="E80" s="121"/>
      <c r="F80" s="121"/>
      <c r="G80" s="122"/>
      <c r="H80" s="122"/>
      <c r="I80" s="121"/>
      <c r="J80" s="120"/>
      <c r="K80" s="120"/>
      <c r="L80" s="121"/>
    </row>
    <row r="81" spans="1:12" ht="13" x14ac:dyDescent="0.15">
      <c r="A81" s="118">
        <v>80</v>
      </c>
      <c r="B81" s="118"/>
      <c r="C81" s="120"/>
      <c r="D81" s="120"/>
      <c r="E81" s="121"/>
      <c r="F81" s="121"/>
      <c r="G81" s="122"/>
      <c r="H81" s="122"/>
      <c r="I81" s="121"/>
      <c r="J81" s="120"/>
      <c r="K81" s="120"/>
      <c r="L81" s="121"/>
    </row>
    <row r="82" spans="1:12" ht="13" x14ac:dyDescent="0.15">
      <c r="A82" s="118">
        <v>81</v>
      </c>
      <c r="B82" s="118"/>
      <c r="C82" s="120"/>
      <c r="D82" s="120"/>
      <c r="E82" s="121"/>
      <c r="F82" s="121"/>
      <c r="G82" s="122"/>
      <c r="H82" s="122"/>
      <c r="I82" s="121"/>
      <c r="J82" s="120"/>
      <c r="K82" s="120"/>
      <c r="L82" s="121"/>
    </row>
    <row r="83" spans="1:12" ht="13" x14ac:dyDescent="0.15">
      <c r="A83" s="118">
        <v>82</v>
      </c>
      <c r="B83" s="118"/>
      <c r="C83" s="120"/>
      <c r="D83" s="120"/>
      <c r="E83" s="121"/>
      <c r="F83" s="121"/>
      <c r="G83" s="122"/>
      <c r="H83" s="122"/>
      <c r="I83" s="121"/>
      <c r="J83" s="120"/>
      <c r="K83" s="120"/>
      <c r="L83" s="121"/>
    </row>
    <row r="84" spans="1:12" ht="13" x14ac:dyDescent="0.15">
      <c r="A84" s="118">
        <v>83</v>
      </c>
      <c r="B84" s="118"/>
      <c r="C84" s="120"/>
      <c r="D84" s="120"/>
      <c r="E84" s="121"/>
      <c r="F84" s="121"/>
      <c r="G84" s="122"/>
      <c r="H84" s="122"/>
      <c r="I84" s="121"/>
      <c r="J84" s="120"/>
      <c r="K84" s="120"/>
      <c r="L84" s="121"/>
    </row>
    <row r="85" spans="1:12" ht="13" x14ac:dyDescent="0.15">
      <c r="A85" s="118">
        <v>84</v>
      </c>
      <c r="B85" s="118"/>
      <c r="C85" s="120"/>
      <c r="D85" s="120"/>
      <c r="E85" s="121"/>
      <c r="F85" s="121"/>
      <c r="G85" s="122"/>
      <c r="H85" s="122"/>
      <c r="I85" s="121"/>
      <c r="J85" s="120"/>
      <c r="K85" s="120"/>
      <c r="L85" s="121"/>
    </row>
    <row r="86" spans="1:12" ht="13" x14ac:dyDescent="0.15">
      <c r="A86" s="118">
        <v>85</v>
      </c>
      <c r="B86" s="118"/>
      <c r="C86" s="120"/>
      <c r="D86" s="120"/>
      <c r="E86" s="121"/>
      <c r="F86" s="121"/>
      <c r="G86" s="122"/>
      <c r="H86" s="122"/>
      <c r="I86" s="121"/>
      <c r="J86" s="120"/>
      <c r="K86" s="120"/>
      <c r="L86" s="121"/>
    </row>
    <row r="87" spans="1:12" ht="13" x14ac:dyDescent="0.15">
      <c r="A87" s="118">
        <v>86</v>
      </c>
      <c r="B87" s="118"/>
      <c r="C87" s="120"/>
      <c r="D87" s="120"/>
      <c r="E87" s="121"/>
      <c r="F87" s="121"/>
      <c r="G87" s="122"/>
      <c r="H87" s="122"/>
      <c r="I87" s="121"/>
      <c r="J87" s="120"/>
      <c r="K87" s="120"/>
      <c r="L87" s="121"/>
    </row>
    <row r="88" spans="1:12" ht="13" x14ac:dyDescent="0.15">
      <c r="A88" s="118">
        <v>87</v>
      </c>
      <c r="B88" s="118"/>
      <c r="C88" s="120"/>
      <c r="D88" s="120"/>
      <c r="E88" s="121"/>
      <c r="F88" s="121"/>
      <c r="G88" s="122"/>
      <c r="H88" s="122"/>
      <c r="I88" s="121"/>
      <c r="J88" s="120"/>
      <c r="K88" s="120"/>
      <c r="L88" s="121"/>
    </row>
    <row r="89" spans="1:12" ht="13" x14ac:dyDescent="0.15">
      <c r="A89" s="118">
        <v>88</v>
      </c>
      <c r="B89" s="118"/>
      <c r="C89" s="120"/>
      <c r="D89" s="120"/>
      <c r="E89" s="121"/>
      <c r="F89" s="121"/>
      <c r="G89" s="122"/>
      <c r="H89" s="122"/>
      <c r="I89" s="121"/>
      <c r="J89" s="120"/>
      <c r="K89" s="120"/>
      <c r="L89" s="121"/>
    </row>
    <row r="90" spans="1:12" ht="13" x14ac:dyDescent="0.15">
      <c r="A90" s="118">
        <v>89</v>
      </c>
      <c r="B90" s="118"/>
      <c r="C90" s="120"/>
      <c r="D90" s="120"/>
      <c r="E90" s="121"/>
      <c r="F90" s="121"/>
      <c r="G90" s="122"/>
      <c r="H90" s="122"/>
      <c r="I90" s="121"/>
      <c r="J90" s="120"/>
      <c r="K90" s="120"/>
      <c r="L90" s="121"/>
    </row>
    <row r="91" spans="1:12" ht="13" x14ac:dyDescent="0.15">
      <c r="A91" s="118">
        <v>90</v>
      </c>
      <c r="B91" s="118"/>
      <c r="C91" s="120"/>
      <c r="D91" s="120"/>
      <c r="E91" s="121"/>
      <c r="F91" s="121"/>
      <c r="G91" s="122"/>
      <c r="H91" s="122"/>
      <c r="I91" s="121"/>
      <c r="J91" s="120"/>
      <c r="K91" s="120"/>
      <c r="L91" s="121"/>
    </row>
    <row r="92" spans="1:12" ht="13" x14ac:dyDescent="0.15">
      <c r="A92" s="118">
        <v>91</v>
      </c>
      <c r="B92" s="118"/>
      <c r="C92" s="120"/>
      <c r="D92" s="120"/>
      <c r="E92" s="121"/>
      <c r="F92" s="121"/>
      <c r="G92" s="122"/>
      <c r="H92" s="122"/>
      <c r="I92" s="121"/>
      <c r="J92" s="120"/>
      <c r="K92" s="120"/>
      <c r="L92" s="121"/>
    </row>
    <row r="93" spans="1:12" ht="13" x14ac:dyDescent="0.15">
      <c r="A93" s="118">
        <v>92</v>
      </c>
      <c r="B93" s="118"/>
      <c r="C93" s="120"/>
      <c r="D93" s="120"/>
      <c r="E93" s="121"/>
      <c r="F93" s="121"/>
      <c r="G93" s="122"/>
      <c r="H93" s="122"/>
      <c r="I93" s="121"/>
      <c r="J93" s="120"/>
      <c r="K93" s="120"/>
      <c r="L93" s="121"/>
    </row>
    <row r="94" spans="1:12" ht="13" x14ac:dyDescent="0.15">
      <c r="A94" s="118">
        <v>93</v>
      </c>
      <c r="B94" s="118"/>
      <c r="C94" s="120"/>
      <c r="D94" s="120"/>
      <c r="E94" s="121"/>
      <c r="F94" s="121"/>
      <c r="G94" s="122"/>
      <c r="H94" s="122"/>
      <c r="I94" s="121"/>
      <c r="J94" s="120"/>
      <c r="K94" s="120"/>
      <c r="L94" s="121"/>
    </row>
    <row r="95" spans="1:12" ht="13" x14ac:dyDescent="0.15">
      <c r="A95" s="118">
        <v>94</v>
      </c>
      <c r="B95" s="118"/>
      <c r="C95" s="120"/>
      <c r="D95" s="120"/>
      <c r="E95" s="121"/>
      <c r="F95" s="121"/>
      <c r="G95" s="122"/>
      <c r="H95" s="122"/>
      <c r="I95" s="121"/>
      <c r="J95" s="120"/>
      <c r="K95" s="120"/>
      <c r="L95" s="121"/>
    </row>
    <row r="96" spans="1:12" ht="13" x14ac:dyDescent="0.15">
      <c r="A96" s="118">
        <v>95</v>
      </c>
      <c r="B96" s="118"/>
      <c r="C96" s="120"/>
      <c r="D96" s="120"/>
      <c r="E96" s="121"/>
      <c r="F96" s="121"/>
      <c r="G96" s="122"/>
      <c r="H96" s="122"/>
      <c r="I96" s="121"/>
      <c r="J96" s="120"/>
      <c r="K96" s="120"/>
      <c r="L96" s="121"/>
    </row>
    <row r="97" spans="1:12" ht="13" x14ac:dyDescent="0.15">
      <c r="A97" s="118">
        <v>96</v>
      </c>
      <c r="B97" s="118"/>
      <c r="C97" s="120"/>
      <c r="D97" s="120"/>
      <c r="E97" s="121"/>
      <c r="F97" s="121"/>
      <c r="G97" s="122"/>
      <c r="H97" s="122"/>
      <c r="I97" s="121"/>
      <c r="J97" s="120"/>
      <c r="K97" s="120"/>
      <c r="L97" s="121"/>
    </row>
    <row r="98" spans="1:12" ht="13" x14ac:dyDescent="0.15">
      <c r="A98" s="118">
        <v>97</v>
      </c>
      <c r="B98" s="118"/>
      <c r="C98" s="120"/>
      <c r="D98" s="120"/>
      <c r="E98" s="121"/>
      <c r="F98" s="121"/>
      <c r="G98" s="122"/>
      <c r="H98" s="122"/>
      <c r="I98" s="121"/>
      <c r="J98" s="120"/>
      <c r="K98" s="120"/>
      <c r="L98" s="121"/>
    </row>
    <row r="99" spans="1:12" ht="13" x14ac:dyDescent="0.15">
      <c r="A99" s="118">
        <v>98</v>
      </c>
      <c r="B99" s="118"/>
      <c r="C99" s="120"/>
      <c r="D99" s="120"/>
      <c r="E99" s="121"/>
      <c r="F99" s="121"/>
      <c r="G99" s="122"/>
      <c r="H99" s="122"/>
      <c r="I99" s="121"/>
      <c r="J99" s="120"/>
      <c r="K99" s="120"/>
      <c r="L99" s="121"/>
    </row>
    <row r="100" spans="1:12" ht="13" x14ac:dyDescent="0.15">
      <c r="A100" s="118">
        <v>99</v>
      </c>
      <c r="B100" s="118"/>
      <c r="C100" s="120"/>
      <c r="D100" s="120"/>
      <c r="E100" s="121"/>
      <c r="F100" s="121"/>
      <c r="G100" s="122"/>
      <c r="H100" s="122"/>
      <c r="I100" s="121"/>
      <c r="J100" s="120"/>
      <c r="K100" s="120"/>
      <c r="L100" s="121"/>
    </row>
    <row r="1048576" spans="7:7" ht="13" x14ac:dyDescent="0.15">
      <c r="G1048576" s="122" t="s">
        <v>173</v>
      </c>
    </row>
  </sheetData>
  <autoFilter ref="A1:L100" xr:uid="{6882EA6D-4A1F-4FE6-8B72-CFCB9535306D}"/>
  <conditionalFormatting sqref="B5:B13">
    <cfRule type="expression" dxfId="5" priority="1" stopIfTrue="1">
      <formula>($G5="Fail")</formula>
    </cfRule>
    <cfRule type="expression" dxfId="4" priority="2" stopIfTrue="1">
      <formula>($G5="Pass")</formula>
    </cfRule>
  </conditionalFormatting>
  <conditionalFormatting sqref="B3:C4 C5">
    <cfRule type="expression" dxfId="3" priority="3" stopIfTrue="1">
      <formula>($G3="Fail")</formula>
    </cfRule>
    <cfRule type="expression" dxfId="2" priority="4" stopIfTrue="1">
      <formula>($G3="Pass")</formula>
    </cfRule>
  </conditionalFormatting>
  <conditionalFormatting sqref="C6">
    <cfRule type="expression" dxfId="1" priority="5" stopIfTrue="1">
      <formula>(#REF!="Fail")</formula>
    </cfRule>
    <cfRule type="expression" dxfId="0" priority="6" stopIfTrue="1">
      <formula>(#REF!="Pass")</formula>
    </cfRule>
  </conditionalFormatting>
  <dataValidations count="1">
    <dataValidation type="list" allowBlank="1" showInputMessage="1" showErrorMessage="1" sqref="J1:J1048576" xr:uid="{59D2C91F-AAE2-5C43-9000-1C9C1773AB35}">
      <formula1>defect</formula1>
    </dataValidation>
  </dataValidations>
  <pageMargins left="0.7" right="0.7" top="0.75" bottom="0.75" header="0.3" footer="0.3"/>
  <pageSetup paperSize="9" orientation="portrait" r:id="rId1"/>
  <headerFooter>
    <oddHeader>&amp;C&amp;"Calibri"&amp;10&amp;K737373 Serco Business - Commercial in Confidence&amp;1#_x000D_</oddHead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Version Control</vt:lpstr>
      <vt:lpstr>Summary</vt:lpstr>
      <vt:lpstr>Phase A</vt:lpstr>
      <vt:lpstr>Phase B</vt:lpstr>
      <vt:lpstr>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Watkin, David</cp:lastModifiedBy>
  <dcterms:created xsi:type="dcterms:W3CDTF">2026-04-23T10:40:23Z</dcterms:created>
  <dcterms:modified xsi:type="dcterms:W3CDTF">2026-04-23T12:35:58Z</dcterms:modified>
</cp:coreProperties>
</file>