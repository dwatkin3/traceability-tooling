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avid.watkin/Documents/Traceability_Reconciler_GeneralPurposeV5/releases/2026.04/execution/"/>
    </mc:Choice>
  </mc:AlternateContent>
  <xr:revisionPtr revIDLastSave="0" documentId="13_ncr:1_{1494EA36-6045-2A44-A170-FA199750E54F}" xr6:coauthVersionLast="47" xr6:coauthVersionMax="47" xr10:uidLastSave="{00000000-0000-0000-0000-000000000000}"/>
  <bookViews>
    <workbookView xWindow="5120" yWindow="25020" windowWidth="30420" windowHeight="16400" tabRatio="566" activeTab="2" xr2:uid="{C8155761-8FC3-4314-9FB8-C47B4CC04086}"/>
  </bookViews>
  <sheets>
    <sheet name="Version Control" sheetId="17" r:id="rId1"/>
    <sheet name="Summary" sheetId="3" r:id="rId2"/>
    <sheet name="DS and Optimisation" sheetId="1" r:id="rId3"/>
    <sheet name="Sheet 2" sheetId="11" r:id="rId4"/>
    <sheet name="Sheet 3" sheetId="12" r:id="rId5"/>
    <sheet name="Sheet 4" sheetId="13" r:id="rId6"/>
    <sheet name="Validation" sheetId="10" state="hidden" r:id="rId7"/>
    <sheet name="Defects" sheetId="14" r:id="rId8"/>
    <sheet name="Sheet1" sheetId="16" state="hidden" r:id="rId9"/>
    <sheet name="OVERALL" sheetId="15" r:id="rId10"/>
  </sheets>
  <definedNames>
    <definedName name="_xlnm._FilterDatabase" localSheetId="7" hidden="1">Defects!$A$1:$L$100</definedName>
    <definedName name="_xlnm._FilterDatabase" localSheetId="2" hidden="1">'DS and Optimisation'!$A$1:$M$10</definedName>
    <definedName name="_xlnm._FilterDatabase" localSheetId="3" hidden="1">'Sheet 2'!$A$1:$M$1</definedName>
    <definedName name="_xlnm._FilterDatabase" localSheetId="4" hidden="1">'Sheet 3'!$A$1:$Q$50</definedName>
    <definedName name="_xlnm._FilterDatabase" localSheetId="5" hidden="1">'Sheet 4'!$A$1:$M$1</definedName>
    <definedName name="_xlnm._FilterDatabase" localSheetId="8" hidden="1">Sheet1!$A$5:$M$34</definedName>
    <definedName name="defect">Validation!$C$1:$C$6</definedName>
    <definedName name="Status">#N/A</definedName>
    <definedName name="statuslist">Validation!$A$1:$A$9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3" l="1"/>
  <c r="C26" i="3"/>
  <c r="C5" i="3"/>
  <c r="C7" i="3"/>
  <c r="P5" i="3"/>
  <c r="P7" i="3"/>
  <c r="C18" i="3"/>
  <c r="C17" i="3"/>
  <c r="C16" i="3"/>
  <c r="C15" i="3"/>
  <c r="C14" i="3"/>
  <c r="C13" i="3"/>
  <c r="C12" i="3"/>
  <c r="C39" i="3"/>
  <c r="AD18" i="3"/>
  <c r="AD17" i="3"/>
  <c r="AD16" i="3"/>
  <c r="AD15" i="3"/>
  <c r="AD14" i="3"/>
  <c r="AD13" i="3"/>
  <c r="AD12" i="3"/>
  <c r="C38" i="3"/>
  <c r="C37" i="3"/>
  <c r="C36" i="3"/>
  <c r="C35" i="3"/>
  <c r="C34" i="3"/>
  <c r="C33" i="3"/>
  <c r="P18" i="3"/>
  <c r="P17" i="3"/>
  <c r="P16" i="3"/>
  <c r="P15" i="3"/>
  <c r="P14" i="3"/>
  <c r="P13" i="3"/>
  <c r="P12" i="3"/>
  <c r="P39" i="3"/>
  <c r="P38" i="3"/>
  <c r="P37" i="3"/>
  <c r="P36" i="3"/>
  <c r="P35" i="3"/>
  <c r="P34" i="3"/>
  <c r="P33" i="3"/>
  <c r="AD7" i="3"/>
  <c r="AD5" i="3"/>
  <c r="AD9" i="3" s="1"/>
  <c r="AE12" i="15"/>
  <c r="AD6" i="3" l="1"/>
  <c r="AD19" i="3"/>
  <c r="AE13" i="3" s="1"/>
  <c r="P28" i="3"/>
  <c r="P26" i="3"/>
  <c r="AE15" i="3" l="1"/>
  <c r="AE17" i="3"/>
  <c r="AE16" i="3"/>
  <c r="AE12" i="3"/>
  <c r="AE14" i="3"/>
  <c r="AE18" i="3"/>
  <c r="P6" i="3"/>
  <c r="P9" i="3"/>
  <c r="P19" i="3"/>
  <c r="Q18" i="3" s="1"/>
  <c r="C27" i="3"/>
  <c r="P27" i="3"/>
  <c r="C30" i="3"/>
  <c r="P30" i="3"/>
  <c r="C40" i="3"/>
  <c r="D34" i="3" s="1"/>
  <c r="P40" i="3"/>
  <c r="Q36" i="3" s="1"/>
  <c r="C9" i="3" l="1"/>
  <c r="Q34" i="3"/>
  <c r="Q35" i="3"/>
  <c r="Q39" i="3"/>
  <c r="Q38" i="3"/>
  <c r="Q37" i="3"/>
  <c r="Q33" i="3"/>
  <c r="D37" i="3"/>
  <c r="D35" i="3"/>
  <c r="D33" i="3"/>
  <c r="D36" i="3"/>
  <c r="D38" i="3"/>
  <c r="D39" i="3"/>
  <c r="Q17" i="3"/>
  <c r="Q15" i="3"/>
  <c r="Q14" i="3"/>
  <c r="Q13" i="3"/>
  <c r="Q16" i="3"/>
  <c r="Q12" i="3"/>
  <c r="C19" i="3"/>
  <c r="D16" i="3" s="1"/>
  <c r="C6" i="3"/>
  <c r="D12" i="3" l="1"/>
  <c r="D18" i="3"/>
  <c r="D15" i="3"/>
  <c r="D17" i="3"/>
  <c r="D14" i="3"/>
  <c r="D1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Barlow, Beverley</author>
  </authors>
  <commentList>
    <comment ref="J1" authorId="0" shapeId="0" xr:uid="{4EA62F17-08DC-485A-9491-C0A82C8035B6}">
      <text>
        <r>
          <rPr>
            <sz val="10"/>
            <rFont val="Arial"/>
            <family val="2"/>
          </rPr>
          <t>Barlow, Beverley:
Open - Draft, WIP, Scoping
Retest - BAT testing
Ready for Prod - retest passed
Training - workaround or info for training
Closed - test data or raised in error
On Hold - in future release</t>
        </r>
      </text>
    </comment>
  </commentList>
</comments>
</file>

<file path=xl/sharedStrings.xml><?xml version="1.0" encoding="utf-8"?>
<sst xmlns="http://schemas.openxmlformats.org/spreadsheetml/2006/main" count="826" uniqueCount="434">
  <si>
    <t>Document Information</t>
  </si>
  <si>
    <t>Title</t>
  </si>
  <si>
    <t>Test Assurance Scripts</t>
  </si>
  <si>
    <t>July Release - Dynamic Scheduling and Optimisation</t>
  </si>
  <si>
    <t>Release Identifier</t>
  </si>
  <si>
    <t>RLSE0010094 &amp; RLSE0010224</t>
  </si>
  <si>
    <t>Author</t>
  </si>
  <si>
    <t>Beverley Barlow</t>
  </si>
  <si>
    <t>Document Version History</t>
  </si>
  <si>
    <t>Version</t>
  </si>
  <si>
    <t>Date</t>
  </si>
  <si>
    <t>Summary of Changes</t>
  </si>
  <si>
    <t>Draft RLSE0010094 &amp; RLSE0010224</t>
  </si>
  <si>
    <t>Test Evidence Repository</t>
  </si>
  <si>
    <t>Test Execution Evidence is stored at this link</t>
  </si>
  <si>
    <t>Serco Test Evidence Repository</t>
  </si>
  <si>
    <t>Scope of Release</t>
  </si>
  <si>
    <t>This release implements a Servicenow upgrade</t>
  </si>
  <si>
    <t>Defect/Story ID</t>
  </si>
  <si>
    <t>Type</t>
  </si>
  <si>
    <t>Details</t>
  </si>
  <si>
    <t>STRY0010474</t>
  </si>
  <si>
    <t>Enhancement</t>
  </si>
  <si>
    <t>06. Creating part requirements for WOTs automatically</t>
  </si>
  <si>
    <t>STRY0011070</t>
  </si>
  <si>
    <t>Special visits to be manually scheduled only</t>
  </si>
  <si>
    <t>STRY0011071</t>
  </si>
  <si>
    <t>List on dispatcher workspace showing work order tasks for special device wearers</t>
  </si>
  <si>
    <t>STRY0012762</t>
  </si>
  <si>
    <t>Staggered deployment of automated scheduling to territories</t>
  </si>
  <si>
    <t>STRY0029460</t>
  </si>
  <si>
    <t>05. Selecting of Crew type needed on Work order task based on Risk and Gender</t>
  </si>
  <si>
    <t>STRY0029591</t>
  </si>
  <si>
    <t>05a. Risk to gender field on Device wearer</t>
  </si>
  <si>
    <t>STRY0029593</t>
  </si>
  <si>
    <t>07. Preferring crews or FMOs who have parts available when assigning work</t>
  </si>
  <si>
    <t>STRY0029599</t>
  </si>
  <si>
    <t>04a. Create new Skills for FMO's</t>
  </si>
  <si>
    <t>STRY0029600</t>
  </si>
  <si>
    <t>06. FMO's who have the right skills</t>
  </si>
  <si>
    <t>STRY0029602</t>
  </si>
  <si>
    <t>04. Not selecting an FMO who have related exclusions to the device wearer or post code</t>
  </si>
  <si>
    <t>STRY0029603</t>
  </si>
  <si>
    <t>Exclusion list against an FMO</t>
  </si>
  <si>
    <t>STRY0029604</t>
  </si>
  <si>
    <t>Auto adding a Post code or Device wearer to a FMO's exclusion list</t>
  </si>
  <si>
    <t>STRY0029605</t>
  </si>
  <si>
    <t>Exclusion information when an FMO wants to conflict a job</t>
  </si>
  <si>
    <t>STRY0029606</t>
  </si>
  <si>
    <t>List Views for reviewing exclusions for FMO's</t>
  </si>
  <si>
    <t>STRY0029608</t>
  </si>
  <si>
    <t>Allow FMO's to book breaks through their agent app</t>
  </si>
  <si>
    <t>STRY0029694</t>
  </si>
  <si>
    <t>09. Assigning tasks to an FMO/Crew based on who can complete the job quickest</t>
  </si>
  <si>
    <t>STRY0029695</t>
  </si>
  <si>
    <t>10. Work order Task assignment priority and displacement</t>
  </si>
  <si>
    <t>STRY0029753</t>
  </si>
  <si>
    <t>Manual crews</t>
  </si>
  <si>
    <t>STRY0029754</t>
  </si>
  <si>
    <t>Splitting dynamic crews</t>
  </si>
  <si>
    <t>STRY0029794</t>
  </si>
  <si>
    <t>Being able to see the Mobile number of the FMO in your crew</t>
  </si>
  <si>
    <t>STRY0029797</t>
  </si>
  <si>
    <t>Approving a conflict</t>
  </si>
  <si>
    <t>STRY0029798</t>
  </si>
  <si>
    <t>Updating shift availability if an FMO is unavailable mid-shift</t>
  </si>
  <si>
    <t>STRY0029860</t>
  </si>
  <si>
    <t>Providing a reason for manually scheduling a job</t>
  </si>
  <si>
    <t>STRY0029879</t>
  </si>
  <si>
    <t>Report to show manual scheduling actions (Daily &amp; Monthly totals)</t>
  </si>
  <si>
    <t>STRY0029881</t>
  </si>
  <si>
    <t>Notifying FMOs when they have been added or removed from Crew</t>
  </si>
  <si>
    <t>STRY0030063</t>
  </si>
  <si>
    <t>Being able to take FMOs off automated scheduling</t>
  </si>
  <si>
    <t>STRY0030064</t>
  </si>
  <si>
    <t>01. Setting the work type automatically</t>
  </si>
  <si>
    <t>STRY0030084</t>
  </si>
  <si>
    <t>11. Update WOT with reason automated scheduler did not dispatch</t>
  </si>
  <si>
    <t>STRY0030088</t>
  </si>
  <si>
    <t>assets can be used from all crew members to complete job</t>
  </si>
  <si>
    <t>STRY0034246</t>
  </si>
  <si>
    <t>07. Dynamic scheduling window end calculation</t>
  </si>
  <si>
    <t>STRY0049195</t>
  </si>
  <si>
    <t>Re-enable non-prod approved FSM phase 2 functionalities in dev</t>
  </si>
  <si>
    <t>STRY0091261</t>
  </si>
  <si>
    <t>02. Setting the Criticality On Work order tasks</t>
  </si>
  <si>
    <t>STRY0091299</t>
  </si>
  <si>
    <t>04. Setting skills required on a Work order task</t>
  </si>
  <si>
    <t>STRY0091304</t>
  </si>
  <si>
    <t>04b. Adding a female skill to female FMOs</t>
  </si>
  <si>
    <t>STRY0091308</t>
  </si>
  <si>
    <t>05b. Update to High risk offences</t>
  </si>
  <si>
    <t>STRY0091310</t>
  </si>
  <si>
    <t>05d. Update to Post code risks</t>
  </si>
  <si>
    <t>STRY0091311</t>
  </si>
  <si>
    <t>03. Populating the Location of the WO/WOT automatically</t>
  </si>
  <si>
    <t>STRY0091312</t>
  </si>
  <si>
    <t>09. Auto qualification of Work order tasks</t>
  </si>
  <si>
    <t>STRY0091314</t>
  </si>
  <si>
    <t>01.Triggering the Dynamic Scheduler</t>
  </si>
  <si>
    <t>STRY0091315</t>
  </si>
  <si>
    <t>02. Scheduling Work order tasks within its window end</t>
  </si>
  <si>
    <t>STRY0091316</t>
  </si>
  <si>
    <t>03. Dynamic scheduler resource check</t>
  </si>
  <si>
    <t>STRY0091319</t>
  </si>
  <si>
    <t>08. Dynamic Scheduler picking the double crew</t>
  </si>
  <si>
    <t>STRY0091323</t>
  </si>
  <si>
    <t>Priority Override (Critical and De-prioritised)</t>
  </si>
  <si>
    <t>STRY0091325</t>
  </si>
  <si>
    <t>Dynamic Scheduling Lock</t>
  </si>
  <si>
    <t>STRY0091327</t>
  </si>
  <si>
    <t>Missing Status Check – Automatic Cancellation on positive status check</t>
  </si>
  <si>
    <t>STRY0091328</t>
  </si>
  <si>
    <t>Optimiser Execution Cadence Rule</t>
  </si>
  <si>
    <t>STRY0091329</t>
  </si>
  <si>
    <t>Scheduling optimisation re-assignment rules</t>
  </si>
  <si>
    <t>STRY0091332</t>
  </si>
  <si>
    <t>Only one FMO to accept a job when in a Manually created crew</t>
  </si>
  <si>
    <t>STRY0091334</t>
  </si>
  <si>
    <t>Only allowing FMO's to see the next job in their queue</t>
  </si>
  <si>
    <t>STRY0091361</t>
  </si>
  <si>
    <t>08. Setting the short description on WOTS</t>
  </si>
  <si>
    <t>STRY0091597</t>
  </si>
  <si>
    <t>Intra day Automation</t>
  </si>
  <si>
    <t>STRY0091670</t>
  </si>
  <si>
    <t>02a. Consider Curfew times when finding a resource</t>
  </si>
  <si>
    <t>STRY0091771</t>
  </si>
  <si>
    <t>Scheduling Optimization Horizon</t>
  </si>
  <si>
    <t>STRY0091937</t>
  </si>
  <si>
    <t>05c. Reducing risk profile after 1st visit</t>
  </si>
  <si>
    <t>STRY0092019</t>
  </si>
  <si>
    <t>Core KPIs - Due Date Success Rate</t>
  </si>
  <si>
    <t>STRY0092020</t>
  </si>
  <si>
    <t>Core KPIs - On-Time Arrival %</t>
  </si>
  <si>
    <t>STRY0092023</t>
  </si>
  <si>
    <t>Core KPIs - : Work order Creation → Assignment</t>
  </si>
  <si>
    <t>STRY0092024</t>
  </si>
  <si>
    <t>Core KPIs - Assignment → Visit Start</t>
  </si>
  <si>
    <t>STRY0092025</t>
  </si>
  <si>
    <t>Core KPIs - % High-Priority Visits Scheduled Within Target</t>
  </si>
  <si>
    <t>STRY0092026</t>
  </si>
  <si>
    <t>Core KPIs - % Priority Overrides Triggered by Due date Risk</t>
  </si>
  <si>
    <t>STRY0092027</t>
  </si>
  <si>
    <t>Executive Summary - % Auto vs Manual</t>
  </si>
  <si>
    <t>STRY0092028</t>
  </si>
  <si>
    <t>Executive Summary - Due Date Success Rate</t>
  </si>
  <si>
    <t>STRY0092030</t>
  </si>
  <si>
    <t>Executive Summary - Visits per FMO</t>
  </si>
  <si>
    <t>STRY0092032</t>
  </si>
  <si>
    <t>Executive Summary - Visit Success</t>
  </si>
  <si>
    <t>STRY0092033</t>
  </si>
  <si>
    <t>Executive Summary - Override Rate</t>
  </si>
  <si>
    <t>STRY0092035</t>
  </si>
  <si>
    <t>Controls &amp; Governance - Manual Overrides with Reason Logged %</t>
  </si>
  <si>
    <t>STRY0092036</t>
  </si>
  <si>
    <t>Controls &amp; Governance - Conflicts Raised</t>
  </si>
  <si>
    <t>STRY0092042</t>
  </si>
  <si>
    <t>Automation Effectiveness - % Visits Auto-Scheduled (daily)</t>
  </si>
  <si>
    <t>STRY0092043</t>
  </si>
  <si>
    <t>Automation Effectiveness - % Visits Auto-Qualified</t>
  </si>
  <si>
    <t>STRY0092047</t>
  </si>
  <si>
    <t>Automation Effectiveness - Manual override reason categorisation</t>
  </si>
  <si>
    <t>STRY0092049</t>
  </si>
  <si>
    <t>Automation Effectiveness - Overrides by Scheduler daily/monthly</t>
  </si>
  <si>
    <t>STRY0092050</t>
  </si>
  <si>
    <t>Workforce Efficiency - FMO Utilisation %</t>
  </si>
  <si>
    <t>STRY0092052</t>
  </si>
  <si>
    <t>Workforce Efficiency - Idle Time per Shift</t>
  </si>
  <si>
    <t>STRY0092053</t>
  </si>
  <si>
    <t>Workforce Efficiency - Visits per FMO per Shift</t>
  </si>
  <si>
    <t>STRY0092054</t>
  </si>
  <si>
    <t>Workforce Efficiency - Avg Travel Time per Visit</t>
  </si>
  <si>
    <t>STRY0092055</t>
  </si>
  <si>
    <t>Workforce Efficiency - Distance per Visit</t>
  </si>
  <si>
    <t>STRY0092056</t>
  </si>
  <si>
    <t>Workforce Efficiency - Cross-Territory Assignments %</t>
  </si>
  <si>
    <t>STRY0092057</t>
  </si>
  <si>
    <t>Workforce Efficiency - Average &amp; Total distance travelled per day</t>
  </si>
  <si>
    <t>STRY0092072</t>
  </si>
  <si>
    <t>02b. Setting Due dates on WOTs</t>
  </si>
  <si>
    <t>STRY0092192</t>
  </si>
  <si>
    <t>02c. WOT Task SLA's</t>
  </si>
  <si>
    <t>STRY0092296</t>
  </si>
  <si>
    <t>Auto adding crew skills based on Crew composition</t>
  </si>
  <si>
    <t>STRY0092317</t>
  </si>
  <si>
    <t>07a. Dynamic scheduling Breached task window end calculation</t>
  </si>
  <si>
    <t>STRY0092340</t>
  </si>
  <si>
    <t>02a. Setting the priority on Work order tasks</t>
  </si>
  <si>
    <t>STRY0092388</t>
  </si>
  <si>
    <t>Estimated duration update to match visit type reality</t>
  </si>
  <si>
    <t>STRY0094977</t>
  </si>
  <si>
    <t>Report to show Exclusions by FMO</t>
  </si>
  <si>
    <t>STRY0096147</t>
  </si>
  <si>
    <t>New Regional Reporting groups</t>
  </si>
  <si>
    <t>STRY0096148</t>
  </si>
  <si>
    <t>Ability to see Regional Reporting group on WOT</t>
  </si>
  <si>
    <t>STRY0096275</t>
  </si>
  <si>
    <t>Setting Territory based on Post code</t>
  </si>
  <si>
    <t>STRY0096277</t>
  </si>
  <si>
    <t>Tracking planned distance in miles for work order tasks</t>
  </si>
  <si>
    <t>STRY0096533</t>
  </si>
  <si>
    <t>Adding gender to FMO agent profile</t>
  </si>
  <si>
    <t>STRY0096745</t>
  </si>
  <si>
    <t>Migrating legacy Device wearer data into ServcieNow</t>
  </si>
  <si>
    <t>STRY0097432</t>
  </si>
  <si>
    <t>Setting geolocation tracked on FMO profile</t>
  </si>
  <si>
    <t>STRY0097899</t>
  </si>
  <si>
    <t>08a. Hiding the 'new' button for work orders on cases</t>
  </si>
  <si>
    <t>STRY0097961</t>
  </si>
  <si>
    <t>09a. Auto qualification of Work orders</t>
  </si>
  <si>
    <t>STRY0096355</t>
  </si>
  <si>
    <t>Baselining performance - Work order task assignment effort</t>
  </si>
  <si>
    <t>STRY0096359</t>
  </si>
  <si>
    <t>Baselining performance - Work order task Qualification effort</t>
  </si>
  <si>
    <t>STRY0096413</t>
  </si>
  <si>
    <t>Measuring Qualification time of WOTs</t>
  </si>
  <si>
    <t>STRY0096576</t>
  </si>
  <si>
    <t>Measuring WOT Reassignment count per day - total</t>
  </si>
  <si>
    <t>STRY0096577</t>
  </si>
  <si>
    <t>Measuring WOT Reassignment count per day - Average</t>
  </si>
  <si>
    <t>STRY0096578</t>
  </si>
  <si>
    <t>Measuring time taken to assign WOTs once qualified</t>
  </si>
  <si>
    <t>STRY0096579</t>
  </si>
  <si>
    <t>Number of WOTS closed per month</t>
  </si>
  <si>
    <t>STRY0096581</t>
  </si>
  <si>
    <t>Reporting on productive hours</t>
  </si>
  <si>
    <t>STRY0096582</t>
  </si>
  <si>
    <t>First time visit success reporting</t>
  </si>
  <si>
    <t>STRY0096583</t>
  </si>
  <si>
    <t>Incorrect equipment closure code</t>
  </si>
  <si>
    <t>STRY0096584</t>
  </si>
  <si>
    <t>WOTS closed incomplete due to incorrect/no available parts</t>
  </si>
  <si>
    <t>STRY0096585</t>
  </si>
  <si>
    <t>Reporting on closed incomplete WOTs due to no longer required</t>
  </si>
  <si>
    <t>DS and Optimisation DASHBOARD</t>
  </si>
  <si>
    <t>SHEET 4 DASHBOARD</t>
  </si>
  <si>
    <t>OVERALL DASHBOARD</t>
  </si>
  <si>
    <t>Execution Progress</t>
  </si>
  <si>
    <t>Steps Completed</t>
  </si>
  <si>
    <t>Steps Remaining</t>
  </si>
  <si>
    <t>Total Steps</t>
  </si>
  <si>
    <t>% Complete</t>
  </si>
  <si>
    <t>Script Status</t>
  </si>
  <si>
    <t>Pass</t>
  </si>
  <si>
    <t>Fail</t>
  </si>
  <si>
    <t>No Run</t>
  </si>
  <si>
    <t>Not Completed</t>
  </si>
  <si>
    <t>In Progress</t>
  </si>
  <si>
    <t>Out of Scope</t>
  </si>
  <si>
    <t>Not Started</t>
  </si>
  <si>
    <t>TOTAL</t>
  </si>
  <si>
    <t>SHEET 3 DASHBOARD</t>
  </si>
  <si>
    <t>SHEET 2 DASHBOARD</t>
  </si>
  <si>
    <t>Test ID</t>
  </si>
  <si>
    <t>Story</t>
  </si>
  <si>
    <t>Requirements being tested</t>
  </si>
  <si>
    <t>Pre-Requisites</t>
  </si>
  <si>
    <t>Test Assurance Steps</t>
  </si>
  <si>
    <t>Test Assurance Expected Outcome</t>
  </si>
  <si>
    <t># of Steps</t>
  </si>
  <si>
    <t>Completed Steps</t>
  </si>
  <si>
    <t>Status</t>
  </si>
  <si>
    <t>Execution Notes</t>
  </si>
  <si>
    <t>Data notes</t>
  </si>
  <si>
    <t>Reviewed by</t>
  </si>
  <si>
    <t>TP-CREW-01 </t>
  </si>
  <si>
    <t>WOTs created</t>
  </si>
  <si>
    <t>Verify FMOs only see next job in queue </t>
  </si>
  <si>
    <t>Only next job visible; future jobs hidden </t>
  </si>
  <si>
    <t>Records with shared assets</t>
  </si>
  <si>
    <t>Validate assets usable across crew members </t>
  </si>
  <si>
    <t>Any crew member can use shared assets successfully </t>
  </si>
  <si>
    <t>Crew with mixed skills</t>
  </si>
  <si>
    <t>Verify crew skill auto-assignment </t>
  </si>
  <si>
    <t>Crew inherits correct combined skills </t>
  </si>
  <si>
    <t>Open</t>
  </si>
  <si>
    <t>Retest</t>
  </si>
  <si>
    <t>Ready for Prod</t>
  </si>
  <si>
    <t>Training</t>
  </si>
  <si>
    <t>Closed</t>
  </si>
  <si>
    <t>On Hold</t>
  </si>
  <si>
    <t>Development</t>
  </si>
  <si>
    <t>Blocked</t>
  </si>
  <si>
    <t>Incident / JIRA ref</t>
  </si>
  <si>
    <t>Issue</t>
  </si>
  <si>
    <t>Description</t>
  </si>
  <si>
    <t>Category</t>
  </si>
  <si>
    <t>Impact Rating
(H-M-L)</t>
  </si>
  <si>
    <t>Date Opened</t>
  </si>
  <si>
    <t>Date Resolved</t>
  </si>
  <si>
    <t>Target Release Date</t>
  </si>
  <si>
    <t>Resolution</t>
  </si>
  <si>
    <t>Notes</t>
  </si>
  <si>
    <t>6.1.25</t>
  </si>
  <si>
    <t>Testing Timeline</t>
  </si>
  <si>
    <t>19th</t>
  </si>
  <si>
    <t>20th</t>
  </si>
  <si>
    <t>21st</t>
  </si>
  <si>
    <t>24th</t>
  </si>
  <si>
    <t>25th</t>
  </si>
  <si>
    <t>26th</t>
  </si>
  <si>
    <t>27th</t>
  </si>
  <si>
    <t>28th</t>
  </si>
  <si>
    <t>ST</t>
  </si>
  <si>
    <r>
      <rPr>
        <b/>
        <u/>
        <sz val="10"/>
        <color rgb="FF000000"/>
        <rFont val="Arial"/>
        <family val="2"/>
      </rPr>
      <t xml:space="preserve">OE44
</t>
    </r>
    <r>
      <rPr>
        <sz val="10"/>
        <color rgb="FF000000"/>
        <rFont val="Arial"/>
        <family val="2"/>
      </rPr>
      <t>* Install alcohol kit</t>
    </r>
  </si>
  <si>
    <r>
      <rPr>
        <b/>
        <u/>
        <sz val="10"/>
        <color rgb="FF000000"/>
        <rFont val="Arial"/>
        <family val="2"/>
      </rPr>
      <t xml:space="preserve">DV50
</t>
    </r>
    <r>
      <rPr>
        <sz val="10"/>
        <color rgb="FF000000"/>
        <rFont val="Arial"/>
        <family val="2"/>
      </rPr>
      <t>* Asset Manager BPSS persona</t>
    </r>
  </si>
  <si>
    <t>KW</t>
  </si>
  <si>
    <r>
      <rPr>
        <b/>
        <u/>
        <sz val="10"/>
        <color rgb="FF000000"/>
        <rFont val="Arial"/>
        <family val="2"/>
      </rPr>
      <t xml:space="preserve">DV41
</t>
    </r>
    <r>
      <rPr>
        <sz val="10"/>
        <color rgb="FF000000"/>
        <rFont val="Arial"/>
        <family val="2"/>
      </rPr>
      <t>* Field Service Officer persona</t>
    </r>
  </si>
  <si>
    <r>
      <rPr>
        <b/>
        <u/>
        <sz val="10"/>
        <color rgb="FF000000"/>
        <rFont val="Arial"/>
        <family val="2"/>
      </rPr>
      <t xml:space="preserve">DV51
</t>
    </r>
    <r>
      <rPr>
        <sz val="10"/>
        <color rgb="FF000000"/>
        <rFont val="Arial"/>
        <family val="2"/>
      </rPr>
      <t>* Asset Manager CTC persona</t>
    </r>
  </si>
  <si>
    <r>
      <rPr>
        <b/>
        <u/>
        <sz val="10"/>
        <color rgb="FF000000"/>
        <rFont val="Arial"/>
        <family val="2"/>
      </rPr>
      <t xml:space="preserve">DV42
</t>
    </r>
    <r>
      <rPr>
        <sz val="10"/>
        <color rgb="FF000000"/>
        <rFont val="Arial"/>
        <family val="2"/>
      </rPr>
      <t>* Field Service Officer SPECIALS persona</t>
    </r>
  </si>
  <si>
    <r>
      <rPr>
        <b/>
        <u/>
        <sz val="10"/>
        <color rgb="FF000000"/>
        <rFont val="Arial"/>
        <family val="2"/>
      </rPr>
      <t xml:space="preserve">DV21
</t>
    </r>
    <r>
      <rPr>
        <sz val="10"/>
        <color rgb="FF000000"/>
        <rFont val="Arial"/>
        <family val="2"/>
      </rPr>
      <t>* Field Service Scheduler BPSS persona</t>
    </r>
  </si>
  <si>
    <t>LJ</t>
  </si>
  <si>
    <r>
      <rPr>
        <b/>
        <u/>
        <sz val="10"/>
        <color rgb="FF000000"/>
        <rFont val="Arial"/>
        <family val="2"/>
      </rPr>
      <t xml:space="preserve">DV44
</t>
    </r>
    <r>
      <rPr>
        <sz val="10"/>
        <color rgb="FF000000"/>
        <rFont val="Arial"/>
        <family val="2"/>
      </rPr>
      <t>* Quality Assurance CTC persona</t>
    </r>
  </si>
  <si>
    <r>
      <rPr>
        <b/>
        <u/>
        <sz val="10"/>
        <color rgb="FF000000"/>
        <rFont val="Arial"/>
        <family val="2"/>
      </rPr>
      <t xml:space="preserve">DV22
</t>
    </r>
    <r>
      <rPr>
        <sz val="10"/>
        <color rgb="FF000000"/>
        <rFont val="Arial"/>
        <family val="2"/>
      </rPr>
      <t>* Field Service Scheduler CTC persona</t>
    </r>
  </si>
  <si>
    <t>EM</t>
  </si>
  <si>
    <r>
      <rPr>
        <b/>
        <u/>
        <sz val="10"/>
        <color rgb="FF000000"/>
        <rFont val="Arial"/>
        <family val="2"/>
      </rPr>
      <t xml:space="preserve">DV48
</t>
    </r>
    <r>
      <rPr>
        <sz val="10"/>
        <color rgb="FF000000"/>
        <rFont val="Arial"/>
        <family val="2"/>
      </rPr>
      <t xml:space="preserve">* CMT Immigration persona
</t>
    </r>
    <r>
      <rPr>
        <b/>
        <sz val="10"/>
        <color rgb="FF000000"/>
        <rFont val="Arial"/>
        <family val="2"/>
      </rPr>
      <t>FAILED</t>
    </r>
  </si>
  <si>
    <t>TL / MHI</t>
  </si>
  <si>
    <r>
      <rPr>
        <b/>
        <sz val="10"/>
        <color rgb="FF000000"/>
        <rFont val="Arial"/>
        <family val="2"/>
      </rPr>
      <t xml:space="preserve">TA08
</t>
    </r>
    <r>
      <rPr>
        <sz val="10"/>
        <color rgb="FF000000"/>
        <rFont val="Arial"/>
        <family val="2"/>
      </rPr>
      <t>* atv breaches</t>
    </r>
  </si>
  <si>
    <t>TA31</t>
  </si>
  <si>
    <r>
      <rPr>
        <b/>
        <u/>
        <sz val="10"/>
        <color rgb="FF000000"/>
        <rFont val="Arial"/>
        <family val="2"/>
      </rPr>
      <t xml:space="preserve">DV49
</t>
    </r>
    <r>
      <rPr>
        <sz val="10"/>
        <color rgb="FF000000"/>
        <rFont val="Arial"/>
        <family val="2"/>
      </rPr>
      <t xml:space="preserve">* CMT (MoJ) personas
</t>
    </r>
    <r>
      <rPr>
        <b/>
        <sz val="10"/>
        <color rgb="FF000000"/>
        <rFont val="Arial"/>
        <family val="2"/>
      </rPr>
      <t>PASSED</t>
    </r>
  </si>
  <si>
    <r>
      <rPr>
        <b/>
        <sz val="10"/>
        <color rgb="FF000000"/>
        <rFont val="Arial"/>
        <family val="2"/>
      </rPr>
      <t xml:space="preserve">OEO7
</t>
    </r>
    <r>
      <rPr>
        <sz val="10"/>
        <color rgb="FF000000"/>
        <rFont val="Arial"/>
        <family val="2"/>
      </rPr>
      <t xml:space="preserve">* install following OE01 decom </t>
    </r>
  </si>
  <si>
    <t>TA10 / OE70</t>
  </si>
  <si>
    <r>
      <rPr>
        <b/>
        <u/>
        <sz val="10"/>
        <color rgb="FF000000"/>
        <rFont val="Arial"/>
        <family val="2"/>
      </rPr>
      <t xml:space="preserve">OE69
</t>
    </r>
    <r>
      <rPr>
        <sz val="10"/>
        <color rgb="FF000000"/>
        <rFont val="Arial"/>
        <family val="2"/>
      </rPr>
      <t>* install NFD</t>
    </r>
  </si>
  <si>
    <r>
      <rPr>
        <b/>
        <sz val="10"/>
        <color rgb="FF000000"/>
        <rFont val="Arial"/>
        <family val="2"/>
      </rPr>
      <t xml:space="preserve">TA04
</t>
    </r>
    <r>
      <rPr>
        <sz val="10"/>
        <color rgb="FF000000"/>
        <rFont val="Arial"/>
        <family val="2"/>
      </rPr>
      <t>*EXCLUSION</t>
    </r>
  </si>
  <si>
    <r>
      <rPr>
        <b/>
        <u/>
        <sz val="10"/>
        <color rgb="FF000000"/>
        <rFont val="Arial"/>
        <family val="2"/>
      </rPr>
      <t xml:space="preserve">TA09 / OE69
</t>
    </r>
    <r>
      <rPr>
        <sz val="10"/>
        <color rgb="FF000000"/>
        <rFont val="Arial"/>
        <family val="2"/>
      </rPr>
      <t>* start the AL18 process</t>
    </r>
  </si>
  <si>
    <r>
      <rPr>
        <b/>
        <sz val="10"/>
        <color rgb="FF000000"/>
        <rFont val="Arial"/>
        <family val="2"/>
      </rPr>
      <t xml:space="preserve">TA30
</t>
    </r>
    <r>
      <rPr>
        <sz val="10"/>
        <color rgb="FF000000"/>
        <rFont val="Arial"/>
        <family val="2"/>
      </rPr>
      <t xml:space="preserve">*AL15 </t>
    </r>
  </si>
  <si>
    <r>
      <rPr>
        <b/>
        <u/>
        <sz val="10"/>
        <color rgb="FF000000"/>
        <rFont val="Arial"/>
        <family val="2"/>
      </rPr>
      <t xml:space="preserve">TA01 / OE01
</t>
    </r>
    <r>
      <rPr>
        <sz val="10"/>
        <color rgb="FF000000"/>
        <rFont val="Arial"/>
        <family val="2"/>
      </rPr>
      <t>* finish generating the atvs &amp; breach packs</t>
    </r>
  </si>
  <si>
    <r>
      <rPr>
        <b/>
        <sz val="10"/>
        <color rgb="FF000000"/>
        <rFont val="Arial"/>
        <family val="2"/>
      </rPr>
      <t xml:space="preserve">TA47
</t>
    </r>
    <r>
      <rPr>
        <sz val="10"/>
        <color rgb="FF000000"/>
        <rFont val="Arial"/>
        <family val="2"/>
      </rPr>
      <t>* AL24 -SPOOF</t>
    </r>
  </si>
  <si>
    <r>
      <rPr>
        <b/>
        <u/>
        <sz val="10"/>
        <color rgb="FF000000"/>
        <rFont val="Arial"/>
        <family val="2"/>
      </rPr>
      <t xml:space="preserve">TA52 / OE01
</t>
    </r>
    <r>
      <rPr>
        <sz val="10"/>
        <color rgb="FF000000"/>
        <rFont val="Arial"/>
        <family val="2"/>
      </rPr>
      <t>* generate AL04</t>
    </r>
  </si>
  <si>
    <r>
      <rPr>
        <b/>
        <sz val="10"/>
        <color rgb="FF000000"/>
        <rFont val="Arial"/>
        <family val="2"/>
      </rPr>
      <t xml:space="preserve">TA48
</t>
    </r>
    <r>
      <rPr>
        <sz val="10"/>
        <color rgb="FF000000"/>
        <rFont val="Arial"/>
        <family val="2"/>
      </rPr>
      <t>* AL20</t>
    </r>
  </si>
  <si>
    <t>OE06</t>
  </si>
  <si>
    <r>
      <rPr>
        <b/>
        <u/>
        <sz val="10"/>
        <color rgb="FF000000"/>
        <rFont val="Arial"/>
        <family val="2"/>
      </rPr>
      <t xml:space="preserve">TA43 / OE01
</t>
    </r>
    <r>
      <rPr>
        <sz val="10"/>
        <color rgb="FF000000"/>
        <rFont val="Arial"/>
        <family val="2"/>
      </rPr>
      <t>* request spoof event from AUEM</t>
    </r>
  </si>
  <si>
    <r>
      <rPr>
        <b/>
        <sz val="10"/>
        <color rgb="FF000000"/>
        <rFont val="Arial"/>
        <family val="2"/>
      </rPr>
      <t xml:space="preserve">OE04
</t>
    </r>
    <r>
      <rPr>
        <sz val="10"/>
        <color rgb="FF000000"/>
        <rFont val="Arial"/>
        <family val="2"/>
      </rPr>
      <t>* check further visit has generated after previous visit booked off as faulty equipment</t>
    </r>
  </si>
  <si>
    <t>OE76</t>
  </si>
  <si>
    <r>
      <rPr>
        <b/>
        <u/>
        <sz val="10"/>
        <color rgb="FF000000"/>
        <rFont val="Arial"/>
        <family val="2"/>
      </rPr>
      <t xml:space="preserve">OE01
</t>
    </r>
    <r>
      <rPr>
        <sz val="10"/>
        <color rgb="FF000000"/>
        <rFont val="Arial"/>
        <family val="2"/>
      </rPr>
      <t>* decom kit once event has been spoofed</t>
    </r>
  </si>
  <si>
    <r>
      <rPr>
        <b/>
        <u/>
        <sz val="10"/>
        <color rgb="FF000000"/>
        <rFont val="Arial"/>
        <family val="2"/>
      </rPr>
      <t xml:space="preserve">OE01
</t>
    </r>
    <r>
      <rPr>
        <sz val="10"/>
        <color rgb="FF000000"/>
        <rFont val="Arial"/>
        <family val="2"/>
      </rPr>
      <t xml:space="preserve">* decom kit </t>
    </r>
  </si>
  <si>
    <t>OE08</t>
  </si>
  <si>
    <r>
      <rPr>
        <sz val="10"/>
        <color rgb="FF00B050"/>
        <rFont val="Arial"/>
        <family val="2"/>
      </rPr>
      <t xml:space="preserve">EM / ST </t>
    </r>
    <r>
      <rPr>
        <sz val="10"/>
        <color rgb="FF000000"/>
        <rFont val="Arial"/>
        <family val="2"/>
      </rPr>
      <t>&amp; KW</t>
    </r>
  </si>
  <si>
    <r>
      <rPr>
        <b/>
        <u/>
        <sz val="10"/>
        <color rgb="FF000000"/>
        <rFont val="Arial"/>
        <family val="2"/>
      </rPr>
      <t xml:space="preserve">OE04
</t>
    </r>
    <r>
      <rPr>
        <sz val="10"/>
        <color rgb="FF00B050"/>
        <rFont val="Arial"/>
        <family val="2"/>
      </rPr>
      <t xml:space="preserve">* Create order
* Assign WOT to Mark
</t>
    </r>
    <r>
      <rPr>
        <sz val="10"/>
        <color rgb="FF000000"/>
        <rFont val="Arial"/>
        <family val="2"/>
      </rPr>
      <t>* 2x no show visits</t>
    </r>
  </si>
  <si>
    <r>
      <rPr>
        <b/>
        <sz val="10"/>
        <color rgb="FF000000"/>
        <rFont val="Arial"/>
        <family val="2"/>
      </rPr>
      <t xml:space="preserve">OE03
</t>
    </r>
    <r>
      <rPr>
        <sz val="10"/>
        <color rgb="FF000000"/>
        <rFont val="Arial"/>
        <family val="2"/>
      </rPr>
      <t>* 2x no show</t>
    </r>
  </si>
  <si>
    <t>TA41</t>
  </si>
  <si>
    <r>
      <rPr>
        <sz val="10"/>
        <color rgb="FF00B050"/>
        <rFont val="Arial"/>
        <family val="2"/>
      </rPr>
      <t>ST</t>
    </r>
    <r>
      <rPr>
        <sz val="10"/>
        <color rgb="FF000000"/>
        <rFont val="Arial"/>
        <family val="2"/>
      </rPr>
      <t xml:space="preserve"> &amp; KW</t>
    </r>
  </si>
  <si>
    <r>
      <rPr>
        <b/>
        <u/>
        <sz val="10"/>
        <color rgb="FF000000"/>
        <rFont val="Arial"/>
        <family val="2"/>
      </rPr>
      <t xml:space="preserve">OE03
</t>
    </r>
    <r>
      <rPr>
        <sz val="10"/>
        <color rgb="FF00B050"/>
        <rFont val="Arial"/>
        <family val="2"/>
      </rPr>
      <t xml:space="preserve">* Assign WOT to Mark
</t>
    </r>
    <r>
      <rPr>
        <sz val="10"/>
        <color rgb="FF000000"/>
        <rFont val="Arial"/>
        <family val="2"/>
      </rPr>
      <t>* 2x no show visits</t>
    </r>
  </si>
  <si>
    <r>
      <rPr>
        <b/>
        <sz val="10"/>
        <color rgb="FF000000"/>
        <rFont val="Arial"/>
        <family val="2"/>
      </rPr>
      <t xml:space="preserve">TA02
</t>
    </r>
    <r>
      <rPr>
        <sz val="10"/>
        <color rgb="FF000000"/>
        <rFont val="Arial"/>
        <family val="2"/>
      </rPr>
      <t>* 2x no show breach</t>
    </r>
  </si>
  <si>
    <t>OE09</t>
  </si>
  <si>
    <t>NO SHOW</t>
  </si>
  <si>
    <r>
      <rPr>
        <b/>
        <u/>
        <sz val="10"/>
        <color rgb="FF000000"/>
        <rFont val="Arial"/>
        <family val="2"/>
      </rPr>
      <t xml:space="preserve">TA05 / OE02
</t>
    </r>
    <r>
      <rPr>
        <sz val="10"/>
        <color rgb="FF000000"/>
        <rFont val="Arial"/>
        <family val="2"/>
      </rPr>
      <t>* Create multiple exclusions 
Day 1</t>
    </r>
  </si>
  <si>
    <r>
      <rPr>
        <b/>
        <u/>
        <sz val="10"/>
        <color rgb="FF000000"/>
        <rFont val="Arial"/>
        <family val="2"/>
      </rPr>
      <t xml:space="preserve">TA05 / OE02
</t>
    </r>
    <r>
      <rPr>
        <sz val="10"/>
        <color rgb="FF000000"/>
        <rFont val="Arial"/>
        <family val="2"/>
      </rPr>
      <t>* Create multiple exclusions 
Day 2</t>
    </r>
  </si>
  <si>
    <t>OE10</t>
  </si>
  <si>
    <t>BOOK OFFS</t>
  </si>
  <si>
    <t>TL / MHI &amp; ST</t>
  </si>
  <si>
    <r>
      <rPr>
        <b/>
        <u/>
        <sz val="10"/>
        <color rgb="FF000000"/>
        <rFont val="Arial"/>
        <family val="2"/>
      </rPr>
      <t xml:space="preserve">TA11 / OE02
</t>
    </r>
    <r>
      <rPr>
        <sz val="10"/>
        <color rgb="FF000000"/>
        <rFont val="Arial"/>
        <family val="2"/>
      </rPr>
      <t>* Generate strap tamper
* Complete tamper visit</t>
    </r>
  </si>
  <si>
    <r>
      <rPr>
        <b/>
        <sz val="10"/>
        <color rgb="FF000000"/>
        <rFont val="Arial"/>
        <family val="2"/>
      </rPr>
      <t xml:space="preserve">TA46
</t>
    </r>
    <r>
      <rPr>
        <sz val="10"/>
        <color rgb="FF000000"/>
        <rFont val="Arial"/>
        <family val="2"/>
      </rPr>
      <t>* breach</t>
    </r>
  </si>
  <si>
    <t>OE15</t>
  </si>
  <si>
    <r>
      <rPr>
        <b/>
        <u/>
        <sz val="10"/>
        <color rgb="FF000000"/>
        <rFont val="Arial"/>
        <family val="2"/>
      </rPr>
      <t xml:space="preserve">TA33 / OE20
</t>
    </r>
    <r>
      <rPr>
        <sz val="10"/>
        <color rgb="FF000000"/>
        <rFont val="Arial"/>
        <family val="2"/>
      </rPr>
      <t>* battery dead</t>
    </r>
  </si>
  <si>
    <r>
      <rPr>
        <b/>
        <sz val="10"/>
        <color rgb="FF000000"/>
        <rFont val="Arial"/>
        <family val="2"/>
      </rPr>
      <t xml:space="preserve">TA03
</t>
    </r>
    <r>
      <rPr>
        <sz val="10"/>
        <color rgb="FF000000"/>
        <rFont val="Arial"/>
        <family val="2"/>
      </rPr>
      <t>* 2x no show</t>
    </r>
  </si>
  <si>
    <t>OE16</t>
  </si>
  <si>
    <t>MS</t>
  </si>
  <si>
    <r>
      <rPr>
        <b/>
        <sz val="10"/>
        <color rgb="FF000000"/>
        <rFont val="Arial"/>
        <family val="2"/>
      </rPr>
      <t xml:space="preserve">OE08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</si>
  <si>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TA03
</t>
    </r>
    <r>
      <rPr>
        <sz val="10"/>
        <color rgb="FF000000"/>
        <rFont val="Arial"/>
        <family val="2"/>
      </rPr>
      <t>* breach</t>
    </r>
  </si>
  <si>
    <t>OE17</t>
  </si>
  <si>
    <r>
      <rPr>
        <b/>
        <sz val="10"/>
        <color rgb="FF000000"/>
        <rFont val="Arial"/>
        <family val="2"/>
      </rPr>
      <t xml:space="preserve">OE09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</si>
  <si>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OE11
</t>
    </r>
    <r>
      <rPr>
        <sz val="10"/>
        <color rgb="FF000000"/>
        <rFont val="Arial"/>
        <family val="2"/>
      </rPr>
      <t>* 2x no show</t>
    </r>
  </si>
  <si>
    <t>OE12</t>
  </si>
  <si>
    <r>
      <rPr>
        <b/>
        <sz val="10"/>
        <color rgb="FF000000"/>
        <rFont val="Arial"/>
        <family val="2"/>
      </rPr>
      <t xml:space="preserve">OE10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</si>
  <si>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TA13
</t>
    </r>
    <r>
      <rPr>
        <sz val="10"/>
        <color rgb="FF000000"/>
        <rFont val="Arial"/>
        <family val="2"/>
      </rPr>
      <t>* breach</t>
    </r>
  </si>
  <si>
    <t>OE13</t>
  </si>
  <si>
    <r>
      <rPr>
        <b/>
        <sz val="10"/>
        <color rgb="FF000000"/>
        <rFont val="Arial"/>
        <family val="2"/>
      </rPr>
      <t xml:space="preserve">OE11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</si>
  <si>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TA68
</t>
    </r>
    <r>
      <rPr>
        <sz val="10"/>
        <color rgb="FF000000"/>
        <rFont val="Arial"/>
        <family val="2"/>
      </rPr>
      <t>* breach</t>
    </r>
  </si>
  <si>
    <r>
      <rPr>
        <b/>
        <sz val="10"/>
        <color rgb="FF000000"/>
        <rFont val="Arial"/>
        <family val="2"/>
      </rPr>
      <t xml:space="preserve">OE12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</si>
  <si>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OE18
</t>
    </r>
    <r>
      <rPr>
        <sz val="10"/>
        <color rgb="FF000000"/>
        <rFont val="Arial"/>
        <family val="2"/>
      </rPr>
      <t>* decom</t>
    </r>
  </si>
  <si>
    <r>
      <rPr>
        <b/>
        <sz val="10"/>
        <color rgb="FF000000"/>
        <rFont val="Arial"/>
        <family val="2"/>
      </rPr>
      <t xml:space="preserve">OE13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</si>
  <si>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OE15
</t>
    </r>
    <r>
      <rPr>
        <sz val="10"/>
        <color rgb="FF000000"/>
        <rFont val="Arial"/>
        <family val="2"/>
      </rPr>
      <t>* create order</t>
    </r>
  </si>
  <si>
    <t>CL</t>
  </si>
  <si>
    <r>
      <rPr>
        <b/>
        <sz val="10"/>
        <color rgb="FF000000"/>
        <rFont val="Arial"/>
        <family val="2"/>
      </rPr>
      <t xml:space="preserve">OE45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</si>
  <si>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OE16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</si>
  <si>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OE46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</si>
  <si>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OE17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</si>
  <si>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OE47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</si>
  <si>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OE19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</si>
  <si>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OE14
</t>
    </r>
    <r>
      <rPr>
        <sz val="10"/>
        <color rgb="FF000000"/>
        <rFont val="Arial"/>
        <family val="2"/>
      </rPr>
      <t>* decom kit</t>
    </r>
  </si>
  <si>
    <r>
      <rPr>
        <b/>
        <sz val="10"/>
        <color rgb="FF000000"/>
        <rFont val="Arial"/>
        <family val="2"/>
      </rPr>
      <t xml:space="preserve">OE21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</si>
  <si>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OE20 
</t>
    </r>
    <r>
      <rPr>
        <sz val="10"/>
        <color rgb="FF000000"/>
        <rFont val="Arial"/>
        <family val="2"/>
      </rPr>
      <t>* install kit</t>
    </r>
  </si>
  <si>
    <r>
      <rPr>
        <b/>
        <sz val="10"/>
        <color rgb="FF000000"/>
        <rFont val="Arial"/>
        <family val="2"/>
      </rPr>
      <t xml:space="preserve">OE22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</si>
  <si>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TA08
</t>
    </r>
    <r>
      <rPr>
        <sz val="10"/>
        <color rgb="FF000000"/>
        <rFont val="Arial"/>
        <family val="2"/>
      </rPr>
      <t>* start atv breaches</t>
    </r>
  </si>
  <si>
    <r>
      <rPr>
        <b/>
        <sz val="10"/>
        <color rgb="FF000000"/>
        <rFont val="Arial"/>
        <family val="2"/>
      </rPr>
      <t xml:space="preserve">OE23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</si>
  <si>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OE24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</si>
  <si>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OE25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</si>
  <si>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OE26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</si>
  <si>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OE27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</si>
  <si>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OE28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</si>
  <si>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OE29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</si>
  <si>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OE30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</si>
  <si>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OE31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</si>
  <si>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AC01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</si>
  <si>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AC02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</si>
  <si>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AC03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</si>
  <si>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AC04
</t>
    </r>
    <r>
      <rPr>
        <sz val="10"/>
        <color rgb="FF000000"/>
        <rFont val="Arial"/>
        <family val="2"/>
      </rPr>
      <t>* create order</t>
    </r>
  </si>
  <si>
    <r>
      <rPr>
        <b/>
        <sz val="10"/>
        <color rgb="FF000000"/>
        <rFont val="Arial"/>
        <family val="2"/>
      </rPr>
      <t xml:space="preserve">TA40
</t>
    </r>
    <r>
      <rPr>
        <sz val="10"/>
        <color rgb="FF000000"/>
        <rFont val="Arial"/>
        <family val="2"/>
      </rPr>
      <t xml:space="preserve">* once the 2x no shows are complete - create a new installation work order </t>
    </r>
  </si>
  <si>
    <r>
      <rPr>
        <b/>
        <sz val="10"/>
        <color rgb="FF000000"/>
        <rFont val="Arial"/>
        <family val="2"/>
      </rPr>
      <t xml:space="preserve">TA40
</t>
    </r>
    <r>
      <rPr>
        <sz val="10"/>
        <color rgb="FF000000"/>
        <rFont val="Arial"/>
        <family val="2"/>
      </rPr>
      <t>* threatening words &amp; behaviour</t>
    </r>
  </si>
  <si>
    <r>
      <rPr>
        <b/>
        <sz val="10"/>
        <color rgb="FF000000"/>
        <rFont val="Arial"/>
        <family val="2"/>
      </rPr>
      <t xml:space="preserve">TA40
</t>
    </r>
    <r>
      <rPr>
        <sz val="10"/>
        <color rgb="FF000000"/>
        <rFont val="Arial"/>
        <family val="2"/>
      </rPr>
      <t>* breach</t>
    </r>
  </si>
  <si>
    <r>
      <rPr>
        <b/>
        <sz val="10"/>
        <color rgb="FF000000"/>
        <rFont val="Arial"/>
        <family val="2"/>
      </rPr>
      <t xml:space="preserve">TA58
</t>
    </r>
    <r>
      <rPr>
        <sz val="10"/>
        <color rgb="FF000000"/>
        <rFont val="Arial"/>
        <family val="2"/>
      </rPr>
      <t>* aggregation</t>
    </r>
  </si>
  <si>
    <r>
      <rPr>
        <b/>
        <sz val="10"/>
        <color rgb="FF000000"/>
        <rFont val="Arial"/>
        <family val="2"/>
      </rPr>
      <t xml:space="preserve">TA59
</t>
    </r>
    <r>
      <rPr>
        <sz val="10"/>
        <color rgb="FF000000"/>
        <rFont val="Arial"/>
        <family val="2"/>
      </rPr>
      <t>* aggregation</t>
    </r>
  </si>
  <si>
    <r>
      <rPr>
        <b/>
        <sz val="10"/>
        <color rgb="FF000000"/>
        <rFont val="Arial"/>
        <family val="2"/>
      </rPr>
      <t xml:space="preserve">TA60
</t>
    </r>
    <r>
      <rPr>
        <sz val="10"/>
        <color rgb="FF000000"/>
        <rFont val="Arial"/>
        <family val="2"/>
      </rPr>
      <t>* aggregation</t>
    </r>
  </si>
  <si>
    <r>
      <rPr>
        <b/>
        <sz val="10"/>
        <color rgb="FF000000"/>
        <rFont val="Arial"/>
        <family val="2"/>
      </rPr>
      <t xml:space="preserve">TA61
</t>
    </r>
    <r>
      <rPr>
        <sz val="10"/>
        <color rgb="FF000000"/>
        <rFont val="Arial"/>
        <family val="2"/>
      </rPr>
      <t>* aggregation</t>
    </r>
  </si>
  <si>
    <r>
      <rPr>
        <b/>
        <sz val="10"/>
        <color rgb="FF000000"/>
        <rFont val="Arial"/>
        <family val="2"/>
      </rPr>
      <t xml:space="preserve">TA62
</t>
    </r>
    <r>
      <rPr>
        <sz val="10"/>
        <color rgb="FF000000"/>
        <rFont val="Arial"/>
        <family val="2"/>
      </rPr>
      <t>* aggregation</t>
    </r>
  </si>
  <si>
    <r>
      <rPr>
        <b/>
        <sz val="10"/>
        <color rgb="FF000000"/>
        <rFont val="Arial"/>
        <family val="2"/>
      </rPr>
      <t xml:space="preserve">TA46
</t>
    </r>
    <r>
      <rPr>
        <sz val="10"/>
        <color rgb="FF000000"/>
        <rFont val="Arial"/>
        <family val="2"/>
      </rPr>
      <t>* 1x threatening words &amp; behaviour</t>
    </r>
  </si>
  <si>
    <t>OE49</t>
  </si>
  <si>
    <t>OE50</t>
  </si>
  <si>
    <t>Test Scenario</t>
  </si>
  <si>
    <t>Test Steps</t>
  </si>
  <si>
    <t>Outcome Expected</t>
  </si>
  <si>
    <t>Tested by</t>
  </si>
  <si>
    <t>STRY3000001</t>
  </si>
  <si>
    <t>Crew Visibility - Hyphenated IDs</t>
  </si>
  <si>
    <t>Evidence Range expansion</t>
  </si>
  <si>
    <t>Duplicate Hyphenated Test</t>
  </si>
  <si>
    <t>STRY3000002</t>
  </si>
  <si>
    <t>STRY3000003</t>
  </si>
  <si>
    <t>TP-CREW-02</t>
  </si>
  <si>
    <t>TP-CREW-03</t>
  </si>
  <si>
    <t>IS70A</t>
  </si>
  <si>
    <t>IS70B</t>
  </si>
  <si>
    <t>IS70C</t>
  </si>
  <si>
    <t>IS70D</t>
  </si>
  <si>
    <t>TP-OPT-02</t>
  </si>
  <si>
    <t>TP-OPT-01</t>
  </si>
  <si>
    <t>TP-OPT-03</t>
  </si>
  <si>
    <t>STRY3000005</t>
  </si>
  <si>
    <t>TP-MIS-01</t>
  </si>
  <si>
    <t>Misalignment</t>
  </si>
  <si>
    <t>STRY3999999</t>
  </si>
  <si>
    <t>TP-ORPHAN-01</t>
  </si>
  <si>
    <t>Not In Spec - no evidence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</si>
</sst>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dd/mm/yyyy;@"/>
    <numFmt numFmtId="166" formatCode="0.0"/>
  </numFmts>
  <fonts count="49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sz val="8"/>
      <name val="Arial"/>
      <family val="2"/>
    </font>
    <font>
      <sz val="10"/>
      <color rgb="FFFF0000"/>
      <name val="Arial"/>
      <family val="2"/>
    </font>
    <font>
      <sz val="10"/>
      <color theme="6" tint="-0.499984740745262"/>
      <name val="Arial"/>
      <family val="2"/>
    </font>
    <font>
      <strike/>
      <sz val="10"/>
      <color rgb="FFFF0000"/>
      <name val="Arial"/>
      <family val="2"/>
    </font>
    <font>
      <sz val="10"/>
      <color theme="6" tint="-0.249977111117893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sz val="8"/>
      <color rgb="FF000000"/>
      <name val="Arial"/>
      <family val="2"/>
    </font>
    <font>
      <i/>
      <sz val="10"/>
      <color rgb="FF000000"/>
      <name val="Arial"/>
      <family val="2"/>
    </font>
    <font>
      <u/>
      <sz val="10"/>
      <color theme="10"/>
      <name val="Arial"/>
      <family val="2"/>
    </font>
    <font>
      <sz val="10"/>
      <color rgb="FF00B050"/>
      <name val="Arial"/>
      <family val="2"/>
    </font>
    <font>
      <sz val="11"/>
      <color rgb="FF000000"/>
      <name val="Aptos Narrow"/>
      <family val="2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b/>
      <u/>
      <sz val="10"/>
      <color rgb="FF000000"/>
      <name val="Arial"/>
      <family val="2"/>
    </font>
    <font>
      <i/>
      <sz val="11"/>
      <color rgb="FF000000"/>
      <name val="Aptos Narrow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ptos Narrow"/>
      <family val="2"/>
    </font>
    <font>
      <sz val="10"/>
      <color rgb="FF242424"/>
      <name val="Arial"/>
      <family val="2"/>
    </font>
    <font>
      <sz val="11"/>
      <color rgb="FF242424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sz val="11"/>
      <color rgb="FF6D8693"/>
      <name val="Arial"/>
      <family val="2"/>
    </font>
    <font>
      <b/>
      <sz val="11"/>
      <color rgb="FF000000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sz val="10"/>
      <color rgb="FF000000"/>
      <name val="Avenir Next LT Pro"/>
      <family val="2"/>
      <charset val="1"/>
    </font>
    <font>
      <sz val="11"/>
      <color rgb="FF242424"/>
      <name val="Aptos Narrow"/>
    </font>
    <font>
      <i/>
      <sz val="10"/>
      <name val="Arial"/>
      <family val="2"/>
    </font>
    <font>
      <sz val="10"/>
      <color rgb="FF16191F"/>
      <name val="Arial"/>
      <family val="2"/>
    </font>
    <font>
      <sz val="10"/>
      <color rgb="FF000000"/>
      <name val="Calibri"/>
      <family val="2"/>
      <scheme val="minor"/>
    </font>
    <font>
      <sz val="10"/>
      <color rgb="FFFF0000"/>
      <name val="Arial"/>
      <family val="2"/>
    </font>
    <font>
      <strike/>
      <sz val="10"/>
      <color rgb="FFFF0000"/>
      <name val="Arial"/>
      <family val="2"/>
    </font>
    <font>
      <sz val="10"/>
      <color theme="6" tint="-0.249977111117893"/>
      <name val="Arial"/>
      <family val="2"/>
    </font>
    <font>
      <sz val="11"/>
      <color rgb="FFFF0000"/>
      <name val="Calibri"/>
      <family val="2"/>
      <scheme val="minor"/>
    </font>
    <font>
      <sz val="8"/>
      <color rgb="FF16191F"/>
      <name val="Source Sans Pro"/>
      <family val="2"/>
    </font>
    <font>
      <sz val="10"/>
      <name val="Aptos"/>
    </font>
    <font>
      <sz val="8"/>
      <name val="Aptos"/>
    </font>
  </fonts>
  <fills count="1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15C98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3F2"/>
        <bgColor indexed="64"/>
      </patternFill>
    </fill>
    <fill>
      <patternFill patternType="solid">
        <fgColor theme="9" tint="0.79998168889431442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</borders>
  <cellStyleXfs count="4">
    <xf numFmtId="0" fontId="0" fillId="0" borderId="0"/>
    <xf numFmtId="0" fontId="3" fillId="0" borderId="0"/>
    <xf numFmtId="0" fontId="16" fillId="0" borderId="0" applyNumberFormat="0" applyFill="0" applyBorder="0" applyAlignment="0" applyProtection="0"/>
    <xf numFmtId="0" fontId="31" fillId="0" borderId="0"/>
  </cellStyleXfs>
  <cellXfs count="367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2" borderId="3" xfId="0" applyFill="1" applyBorder="1"/>
    <xf numFmtId="0" fontId="0" fillId="2" borderId="1" xfId="0" applyFill="1" applyBorder="1"/>
    <xf numFmtId="0" fontId="0" fillId="2" borderId="4" xfId="0" applyFill="1" applyBorder="1"/>
    <xf numFmtId="0" fontId="1" fillId="3" borderId="1" xfId="0" applyFont="1" applyFill="1" applyBorder="1"/>
    <xf numFmtId="0" fontId="0" fillId="3" borderId="5" xfId="0" applyFill="1" applyBorder="1"/>
    <xf numFmtId="0" fontId="0" fillId="3" borderId="1" xfId="0" applyFill="1" applyBorder="1"/>
    <xf numFmtId="0" fontId="0" fillId="3" borderId="4" xfId="0" applyFill="1" applyBorder="1"/>
    <xf numFmtId="9" fontId="0" fillId="3" borderId="6" xfId="0" applyNumberFormat="1" applyFill="1" applyBorder="1"/>
    <xf numFmtId="0" fontId="1" fillId="3" borderId="7" xfId="0" applyFont="1" applyFill="1" applyBorder="1"/>
    <xf numFmtId="0" fontId="0" fillId="3" borderId="2" xfId="0" applyFill="1" applyBorder="1"/>
    <xf numFmtId="0" fontId="0" fillId="3" borderId="8" xfId="0" applyFill="1" applyBorder="1"/>
    <xf numFmtId="0" fontId="0" fillId="3" borderId="0" xfId="0" applyFill="1"/>
    <xf numFmtId="9" fontId="0" fillId="3" borderId="5" xfId="0" applyNumberFormat="1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4" borderId="0" xfId="0" applyFill="1"/>
    <xf numFmtId="0" fontId="0" fillId="4" borderId="3" xfId="0" applyFill="1" applyBorder="1"/>
    <xf numFmtId="0" fontId="0" fillId="4" borderId="1" xfId="0" applyFill="1" applyBorder="1"/>
    <xf numFmtId="0" fontId="0" fillId="4" borderId="4" xfId="0" applyFill="1" applyBorder="1"/>
    <xf numFmtId="0" fontId="0" fillId="5" borderId="7" xfId="0" applyFill="1" applyBorder="1"/>
    <xf numFmtId="0" fontId="0" fillId="5" borderId="2" xfId="0" applyFill="1" applyBorder="1"/>
    <xf numFmtId="0" fontId="0" fillId="5" borderId="8" xfId="0" applyFill="1" applyBorder="1"/>
    <xf numFmtId="0" fontId="0" fillId="5" borderId="1" xfId="0" applyFill="1" applyBorder="1"/>
    <xf numFmtId="0" fontId="0" fillId="5" borderId="3" xfId="0" applyFill="1" applyBorder="1"/>
    <xf numFmtId="0" fontId="0" fillId="5" borderId="0" xfId="0" applyFill="1"/>
    <xf numFmtId="0" fontId="0" fillId="5" borderId="5" xfId="0" applyFill="1" applyBorder="1"/>
    <xf numFmtId="0" fontId="0" fillId="5" borderId="4" xfId="0" applyFill="1" applyBorder="1"/>
    <xf numFmtId="0" fontId="0" fillId="5" borderId="6" xfId="0" applyFill="1" applyBorder="1"/>
    <xf numFmtId="0" fontId="1" fillId="0" borderId="12" xfId="0" applyFont="1" applyBorder="1"/>
    <xf numFmtId="0" fontId="1" fillId="0" borderId="12" xfId="0" applyFont="1" applyBorder="1" applyAlignment="1">
      <alignment wrapText="1"/>
    </xf>
    <xf numFmtId="0" fontId="1" fillId="0" borderId="0" xfId="0" applyFont="1"/>
    <xf numFmtId="0" fontId="0" fillId="6" borderId="0" xfId="0" applyFill="1"/>
    <xf numFmtId="0" fontId="0" fillId="6" borderId="3" xfId="0" applyFill="1" applyBorder="1"/>
    <xf numFmtId="0" fontId="0" fillId="6" borderId="1" xfId="0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2" xfId="0" applyFill="1" applyBorder="1"/>
    <xf numFmtId="0" fontId="0" fillId="6" borderId="8" xfId="0" applyFill="1" applyBorder="1"/>
    <xf numFmtId="0" fontId="0" fillId="6" borderId="5" xfId="0" applyFill="1" applyBorder="1"/>
    <xf numFmtId="0" fontId="0" fillId="6" borderId="6" xfId="0" applyFill="1" applyBorder="1"/>
    <xf numFmtId="0" fontId="3" fillId="0" borderId="12" xfId="0" applyFont="1" applyBorder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left" vertical="top" wrapText="1"/>
    </xf>
    <xf numFmtId="0" fontId="3" fillId="0" borderId="12" xfId="0" applyFont="1" applyBorder="1" applyAlignment="1">
      <alignment vertical="center" wrapText="1"/>
    </xf>
    <xf numFmtId="0" fontId="3" fillId="0" borderId="12" xfId="0" quotePrefix="1" applyFont="1" applyBorder="1" applyAlignment="1">
      <alignment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2" xfId="0" quotePrefix="1" applyFont="1" applyBorder="1" applyAlignment="1">
      <alignment horizontal="left" vertical="center" wrapText="1"/>
    </xf>
    <xf numFmtId="0" fontId="3" fillId="3" borderId="1" xfId="0" applyFont="1" applyFill="1" applyBorder="1"/>
    <xf numFmtId="0" fontId="3" fillId="0" borderId="0" xfId="0" applyFont="1" applyAlignment="1">
      <alignment horizontal="left" wrapText="1"/>
    </xf>
    <xf numFmtId="1" fontId="0" fillId="3" borderId="5" xfId="0" applyNumberFormat="1" applyFill="1" applyBorder="1"/>
    <xf numFmtId="0" fontId="3" fillId="0" borderId="0" xfId="0" applyFont="1"/>
    <xf numFmtId="164" fontId="3" fillId="0" borderId="12" xfId="0" quotePrefix="1" applyNumberFormat="1" applyFont="1" applyBorder="1" applyAlignment="1">
      <alignment horizontal="left"/>
    </xf>
    <xf numFmtId="164" fontId="0" fillId="0" borderId="12" xfId="0" quotePrefix="1" applyNumberFormat="1" applyBorder="1" applyAlignment="1">
      <alignment horizontal="left"/>
    </xf>
    <xf numFmtId="0" fontId="3" fillId="0" borderId="12" xfId="0" applyFont="1" applyBorder="1" applyAlignment="1" applyProtection="1">
      <alignment wrapText="1"/>
      <protection locked="0"/>
    </xf>
    <xf numFmtId="0" fontId="3" fillId="0" borderId="12" xfId="0" applyFont="1" applyBorder="1" applyProtection="1">
      <protection locked="0"/>
    </xf>
    <xf numFmtId="0" fontId="0" fillId="0" borderId="12" xfId="0" applyBorder="1" applyProtection="1">
      <protection locked="0"/>
    </xf>
    <xf numFmtId="0" fontId="0" fillId="0" borderId="12" xfId="0" applyBorder="1" applyAlignment="1" applyProtection="1">
      <alignment wrapText="1"/>
      <protection locked="0"/>
    </xf>
    <xf numFmtId="0" fontId="3" fillId="0" borderId="12" xfId="0" quotePrefix="1" applyFont="1" applyBorder="1" applyAlignment="1" applyProtection="1">
      <alignment horizontal="left" wrapText="1"/>
      <protection locked="0"/>
    </xf>
    <xf numFmtId="0" fontId="3" fillId="0" borderId="12" xfId="0" applyFont="1" applyBorder="1" applyAlignment="1" applyProtection="1">
      <alignment horizontal="left" wrapText="1"/>
      <protection locked="0"/>
    </xf>
    <xf numFmtId="1" fontId="3" fillId="0" borderId="12" xfId="0" applyNumberFormat="1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wrapText="1"/>
      <protection locked="0"/>
    </xf>
    <xf numFmtId="1" fontId="1" fillId="0" borderId="12" xfId="0" applyNumberFormat="1" applyFont="1" applyBorder="1" applyAlignment="1" applyProtection="1">
      <alignment horizontal="center" wrapText="1"/>
      <protection locked="0"/>
    </xf>
    <xf numFmtId="0" fontId="1" fillId="0" borderId="12" xfId="0" applyFont="1" applyBorder="1" applyAlignment="1" applyProtection="1">
      <alignment horizontal="left" wrapText="1"/>
      <protection locked="0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wrapText="1"/>
    </xf>
    <xf numFmtId="0" fontId="7" fillId="0" borderId="12" xfId="0" applyFont="1" applyBorder="1" applyAlignment="1">
      <alignment wrapText="1"/>
    </xf>
    <xf numFmtId="0" fontId="7" fillId="0" borderId="12" xfId="0" applyFont="1" applyBorder="1"/>
    <xf numFmtId="0" fontId="7" fillId="0" borderId="12" xfId="0" applyFont="1" applyBorder="1" applyAlignment="1" applyProtection="1">
      <alignment horizontal="left" wrapText="1"/>
      <protection locked="0"/>
    </xf>
    <xf numFmtId="0" fontId="3" fillId="0" borderId="12" xfId="0" applyFont="1" applyBorder="1" applyAlignment="1">
      <alignment wrapText="1"/>
    </xf>
    <xf numFmtId="0" fontId="4" fillId="0" borderId="12" xfId="0" applyFont="1" applyBorder="1"/>
    <xf numFmtId="0" fontId="4" fillId="0" borderId="13" xfId="0" applyFont="1" applyBorder="1"/>
    <xf numFmtId="0" fontId="4" fillId="0" borderId="12" xfId="0" applyFont="1" applyBorder="1" applyAlignment="1">
      <alignment horizontal="left" vertical="top" wrapText="1"/>
    </xf>
    <xf numFmtId="0" fontId="9" fillId="0" borderId="12" xfId="0" applyFont="1" applyBorder="1"/>
    <xf numFmtId="0" fontId="9" fillId="0" borderId="12" xfId="0" applyFont="1" applyBorder="1" applyAlignment="1">
      <alignment horizontal="left" wrapText="1"/>
    </xf>
    <xf numFmtId="0" fontId="10" fillId="0" borderId="12" xfId="0" applyFont="1" applyBorder="1" applyAlignment="1">
      <alignment horizontal="left" wrapText="1"/>
    </xf>
    <xf numFmtId="0" fontId="4" fillId="0" borderId="12" xfId="0" applyFont="1" applyBorder="1" applyAlignment="1">
      <alignment vertical="center" wrapText="1"/>
    </xf>
    <xf numFmtId="0" fontId="11" fillId="0" borderId="12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 wrapText="1"/>
    </xf>
    <xf numFmtId="0" fontId="13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wrapText="1"/>
    </xf>
    <xf numFmtId="0" fontId="11" fillId="0" borderId="15" xfId="0" quotePrefix="1" applyFont="1" applyBorder="1" applyAlignment="1" applyProtection="1">
      <alignment horizontal="left" wrapText="1"/>
      <protection locked="0"/>
    </xf>
    <xf numFmtId="0" fontId="0" fillId="0" borderId="15" xfId="0" applyBorder="1" applyAlignment="1">
      <alignment horizontal="left" wrapText="1"/>
    </xf>
    <xf numFmtId="0" fontId="7" fillId="0" borderId="14" xfId="0" applyFont="1" applyBorder="1" applyAlignment="1">
      <alignment wrapText="1"/>
    </xf>
    <xf numFmtId="0" fontId="8" fillId="0" borderId="14" xfId="0" applyFont="1" applyBorder="1" applyAlignment="1" applyProtection="1">
      <alignment wrapText="1"/>
      <protection locked="0"/>
    </xf>
    <xf numFmtId="0" fontId="0" fillId="0" borderId="12" xfId="0" applyBorder="1" applyAlignment="1" applyProtection="1">
      <alignment horizontal="left" wrapText="1"/>
      <protection locked="0"/>
    </xf>
    <xf numFmtId="0" fontId="0" fillId="0" borderId="12" xfId="0" quotePrefix="1" applyBorder="1" applyAlignment="1" applyProtection="1">
      <alignment horizontal="left" wrapText="1"/>
      <protection locked="0"/>
    </xf>
    <xf numFmtId="0" fontId="15" fillId="0" borderId="12" xfId="0" applyFont="1" applyBorder="1" applyAlignment="1" applyProtection="1">
      <alignment horizontal="left" wrapText="1"/>
      <protection locked="0"/>
    </xf>
    <xf numFmtId="0" fontId="0" fillId="0" borderId="12" xfId="0" quotePrefix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2" xfId="0" applyBorder="1"/>
    <xf numFmtId="0" fontId="7" fillId="0" borderId="14" xfId="0" applyFont="1" applyBorder="1" applyAlignment="1" applyProtection="1">
      <alignment horizontal="left" wrapText="1"/>
      <protection locked="0"/>
    </xf>
    <xf numFmtId="0" fontId="0" fillId="0" borderId="12" xfId="0" applyBorder="1" applyAlignment="1">
      <alignment horizontal="left" vertical="top" wrapText="1"/>
    </xf>
    <xf numFmtId="1" fontId="0" fillId="0" borderId="12" xfId="0" applyNumberFormat="1" applyBorder="1" applyAlignment="1">
      <alignment horizontal="center"/>
    </xf>
    <xf numFmtId="0" fontId="0" fillId="0" borderId="18" xfId="0" applyBorder="1" applyAlignment="1" applyProtection="1">
      <alignment wrapText="1"/>
      <protection locked="0"/>
    </xf>
    <xf numFmtId="0" fontId="0" fillId="0" borderId="14" xfId="0" applyBorder="1" applyAlignment="1" applyProtection="1">
      <alignment wrapText="1"/>
      <protection locked="0"/>
    </xf>
    <xf numFmtId="1" fontId="0" fillId="0" borderId="12" xfId="0" applyNumberFormat="1" applyBorder="1" applyAlignment="1">
      <alignment horizontal="center" vertical="center"/>
    </xf>
    <xf numFmtId="0" fontId="0" fillId="0" borderId="13" xfId="0" applyBorder="1"/>
    <xf numFmtId="0" fontId="0" fillId="0" borderId="14" xfId="0" applyBorder="1" applyAlignment="1">
      <alignment horizontal="left" wrapText="1"/>
    </xf>
    <xf numFmtId="0" fontId="0" fillId="0" borderId="13" xfId="0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3" fillId="0" borderId="15" xfId="0" quotePrefix="1" applyFont="1" applyBorder="1" applyAlignment="1">
      <alignment horizontal="left" vertical="top" wrapText="1"/>
    </xf>
    <xf numFmtId="0" fontId="3" fillId="0" borderId="14" xfId="0" applyFon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12" fillId="0" borderId="12" xfId="0" quotePrefix="1" applyFont="1" applyBorder="1" applyAlignment="1">
      <alignment horizontal="left" vertical="center" wrapText="1"/>
    </xf>
    <xf numFmtId="0" fontId="12" fillId="0" borderId="12" xfId="0" quotePrefix="1" applyFont="1" applyBorder="1" applyAlignment="1">
      <alignment horizontal="left" vertical="top" wrapText="1"/>
    </xf>
    <xf numFmtId="0" fontId="13" fillId="0" borderId="12" xfId="0" quotePrefix="1" applyFont="1" applyBorder="1" applyAlignment="1">
      <alignment horizontal="left" vertical="center" wrapText="1"/>
    </xf>
    <xf numFmtId="0" fontId="13" fillId="0" borderId="12" xfId="0" quotePrefix="1" applyFont="1" applyBorder="1" applyAlignment="1">
      <alignment horizontal="left" vertical="top" wrapText="1"/>
    </xf>
    <xf numFmtId="0" fontId="14" fillId="0" borderId="12" xfId="0" quotePrefix="1" applyFont="1" applyBorder="1" applyAlignment="1">
      <alignment horizontal="left" vertical="center" wrapText="1"/>
    </xf>
    <xf numFmtId="0" fontId="0" fillId="0" borderId="12" xfId="0" quotePrefix="1" applyBorder="1" applyAlignment="1">
      <alignment horizontal="left" vertical="top" wrapText="1"/>
    </xf>
    <xf numFmtId="0" fontId="0" fillId="0" borderId="17" xfId="0" quotePrefix="1" applyBorder="1" applyAlignment="1" applyProtection="1">
      <alignment horizontal="left" wrapText="1"/>
      <protection locked="0"/>
    </xf>
    <xf numFmtId="0" fontId="0" fillId="0" borderId="16" xfId="0" applyBorder="1" applyAlignment="1">
      <alignment horizontal="center" vertical="center"/>
    </xf>
    <xf numFmtId="0" fontId="0" fillId="0" borderId="15" xfId="0" quotePrefix="1" applyBorder="1" applyAlignment="1" applyProtection="1">
      <alignment horizontal="left" wrapText="1"/>
      <protection locked="0"/>
    </xf>
    <xf numFmtId="0" fontId="0" fillId="0" borderId="16" xfId="0" applyBorder="1" applyAlignment="1">
      <alignment horizontal="center"/>
    </xf>
    <xf numFmtId="0" fontId="0" fillId="0" borderId="12" xfId="0" applyBorder="1" applyAlignment="1">
      <alignment vertical="center" wrapText="1"/>
    </xf>
    <xf numFmtId="0" fontId="0" fillId="0" borderId="12" xfId="0" quotePrefix="1" applyBorder="1" applyAlignment="1">
      <alignment horizontal="center" vertical="top" wrapText="1"/>
    </xf>
    <xf numFmtId="0" fontId="3" fillId="0" borderId="12" xfId="0" applyFont="1" applyBorder="1" applyAlignment="1" applyProtection="1">
      <alignment horizontal="center" vertical="center"/>
      <protection locked="0"/>
    </xf>
    <xf numFmtId="0" fontId="16" fillId="0" borderId="0" xfId="2" applyFill="1"/>
    <xf numFmtId="0" fontId="0" fillId="0" borderId="12" xfId="0" quotePrefix="1" applyBorder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17" xfId="0" applyFont="1" applyBorder="1" applyAlignment="1" applyProtection="1">
      <alignment horizontal="center" wrapText="1"/>
      <protection locked="0"/>
    </xf>
    <xf numFmtId="165" fontId="1" fillId="0" borderId="12" xfId="0" applyNumberFormat="1" applyFont="1" applyBorder="1" applyAlignment="1">
      <alignment wrapText="1"/>
    </xf>
    <xf numFmtId="165" fontId="0" fillId="0" borderId="12" xfId="0" applyNumberFormat="1" applyBorder="1" applyProtection="1">
      <protection locked="0"/>
    </xf>
    <xf numFmtId="165" fontId="0" fillId="0" borderId="0" xfId="0" applyNumberFormat="1"/>
    <xf numFmtId="0" fontId="0" fillId="8" borderId="0" xfId="0" applyFill="1"/>
    <xf numFmtId="0" fontId="0" fillId="0" borderId="0" xfId="0" applyAlignment="1">
      <alignment horizontal="center"/>
    </xf>
    <xf numFmtId="0" fontId="0" fillId="10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center" wrapText="1"/>
    </xf>
    <xf numFmtId="0" fontId="0" fillId="9" borderId="0" xfId="0" applyFill="1" applyAlignment="1">
      <alignment horizontal="center"/>
    </xf>
    <xf numFmtId="0" fontId="11" fillId="0" borderId="0" xfId="0" applyFont="1"/>
    <xf numFmtId="0" fontId="1" fillId="0" borderId="0" xfId="0" applyFont="1" applyAlignment="1">
      <alignment horizontal="center"/>
    </xf>
    <xf numFmtId="0" fontId="11" fillId="10" borderId="0" xfId="0" applyFont="1" applyFill="1" applyAlignment="1">
      <alignment wrapText="1"/>
    </xf>
    <xf numFmtId="0" fontId="11" fillId="0" borderId="0" xfId="0" applyFont="1" applyAlignment="1">
      <alignment wrapText="1"/>
    </xf>
    <xf numFmtId="0" fontId="11" fillId="8" borderId="0" xfId="0" applyFont="1" applyFill="1" applyAlignment="1">
      <alignment wrapText="1"/>
    </xf>
    <xf numFmtId="0" fontId="21" fillId="9" borderId="0" xfId="0" applyFont="1" applyFill="1" applyAlignment="1">
      <alignment wrapText="1"/>
    </xf>
    <xf numFmtId="0" fontId="11" fillId="8" borderId="0" xfId="0" applyFont="1" applyFill="1" applyAlignment="1">
      <alignment horizontal="center" wrapText="1"/>
    </xf>
    <xf numFmtId="0" fontId="21" fillId="0" borderId="0" xfId="0" applyFont="1" applyAlignment="1">
      <alignment wrapText="1"/>
    </xf>
    <xf numFmtId="0" fontId="21" fillId="8" borderId="0" xfId="0" applyFont="1" applyFill="1" applyAlignment="1">
      <alignment wrapText="1"/>
    </xf>
    <xf numFmtId="0" fontId="11" fillId="0" borderId="12" xfId="0" quotePrefix="1" applyFont="1" applyBorder="1" applyAlignment="1" applyProtection="1">
      <alignment horizontal="left" wrapText="1"/>
      <protection locked="0"/>
    </xf>
    <xf numFmtId="0" fontId="0" fillId="0" borderId="15" xfId="0" applyBorder="1"/>
    <xf numFmtId="0" fontId="3" fillId="0" borderId="14" xfId="0" applyFont="1" applyBorder="1" applyAlignment="1" applyProtection="1">
      <alignment wrapText="1"/>
      <protection locked="0"/>
    </xf>
    <xf numFmtId="165" fontId="3" fillId="0" borderId="12" xfId="0" applyNumberFormat="1" applyFont="1" applyBorder="1" applyProtection="1">
      <protection locked="0"/>
    </xf>
    <xf numFmtId="165" fontId="0" fillId="0" borderId="12" xfId="0" applyNumberFormat="1" applyBorder="1" applyAlignment="1" applyProtection="1">
      <alignment horizontal="right"/>
      <protection locked="0"/>
    </xf>
    <xf numFmtId="0" fontId="3" fillId="0" borderId="12" xfId="0" applyFont="1" applyBorder="1" applyAlignment="1" applyProtection="1">
      <alignment horizontal="left" vertical="center" wrapText="1"/>
      <protection locked="0"/>
    </xf>
    <xf numFmtId="0" fontId="3" fillId="0" borderId="12" xfId="0" quotePrefix="1" applyFont="1" applyBorder="1" applyAlignment="1" applyProtection="1">
      <alignment wrapText="1"/>
      <protection locked="0"/>
    </xf>
    <xf numFmtId="0" fontId="3" fillId="0" borderId="12" xfId="0" quotePrefix="1" applyFont="1" applyBorder="1" applyAlignment="1">
      <alignment horizontal="left" wrapText="1"/>
    </xf>
    <xf numFmtId="164" fontId="0" fillId="0" borderId="19" xfId="0" applyNumberFormat="1" applyBorder="1" applyAlignment="1">
      <alignment horizontal="left"/>
    </xf>
    <xf numFmtId="0" fontId="0" fillId="0" borderId="15" xfId="0" applyBorder="1" applyProtection="1">
      <protection locked="0"/>
    </xf>
    <xf numFmtId="0" fontId="26" fillId="0" borderId="15" xfId="0" applyFont="1" applyBorder="1"/>
    <xf numFmtId="0" fontId="25" fillId="0" borderId="0" xfId="0" applyFont="1"/>
    <xf numFmtId="0" fontId="0" fillId="0" borderId="15" xfId="0" quotePrefix="1" applyBorder="1" applyAlignment="1">
      <alignment horizontal="left" vertical="top" wrapText="1"/>
    </xf>
    <xf numFmtId="0" fontId="11" fillId="0" borderId="12" xfId="0" applyFont="1" applyBorder="1" applyAlignment="1" applyProtection="1">
      <alignment horizontal="left" wrapText="1"/>
      <protection locked="0"/>
    </xf>
    <xf numFmtId="0" fontId="3" fillId="0" borderId="16" xfId="0" applyFont="1" applyBorder="1" applyAlignment="1">
      <alignment horizontal="center" vertical="center"/>
    </xf>
    <xf numFmtId="0" fontId="3" fillId="0" borderId="15" xfId="0" applyFont="1" applyBorder="1"/>
    <xf numFmtId="0" fontId="3" fillId="0" borderId="15" xfId="0" applyFont="1" applyBorder="1" applyAlignment="1">
      <alignment horizontal="left" wrapText="1"/>
    </xf>
    <xf numFmtId="0" fontId="0" fillId="0" borderId="15" xfId="0" applyBorder="1" applyAlignment="1">
      <alignment wrapText="1"/>
    </xf>
    <xf numFmtId="0" fontId="3" fillId="0" borderId="20" xfId="0" applyFont="1" applyBorder="1"/>
    <xf numFmtId="0" fontId="3" fillId="0" borderId="20" xfId="0" applyFont="1" applyBorder="1" applyAlignment="1">
      <alignment wrapText="1"/>
    </xf>
    <xf numFmtId="0" fontId="3" fillId="0" borderId="20" xfId="0" applyFont="1" applyBorder="1" applyAlignment="1">
      <alignment horizontal="center"/>
    </xf>
    <xf numFmtId="1" fontId="3" fillId="0" borderId="20" xfId="0" applyNumberFormat="1" applyFont="1" applyBorder="1" applyAlignment="1">
      <alignment horizontal="center"/>
    </xf>
    <xf numFmtId="0" fontId="3" fillId="0" borderId="15" xfId="0" applyFont="1" applyBorder="1" applyAlignment="1">
      <alignment horizontal="left" vertical="center" wrapText="1"/>
    </xf>
    <xf numFmtId="0" fontId="3" fillId="0" borderId="15" xfId="0" applyFont="1" applyBorder="1" applyAlignment="1">
      <alignment wrapText="1"/>
    </xf>
    <xf numFmtId="0" fontId="3" fillId="0" borderId="15" xfId="0" applyFont="1" applyBorder="1" applyAlignment="1">
      <alignment horizontal="center"/>
    </xf>
    <xf numFmtId="1" fontId="3" fillId="0" borderId="15" xfId="0" applyNumberFormat="1" applyFont="1" applyBorder="1" applyAlignment="1">
      <alignment horizontal="center"/>
    </xf>
    <xf numFmtId="0" fontId="0" fillId="0" borderId="15" xfId="0" applyBorder="1" applyAlignment="1">
      <alignment horizontal="left" vertical="center" wrapText="1"/>
    </xf>
    <xf numFmtId="0" fontId="0" fillId="0" borderId="15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0" fontId="0" fillId="0" borderId="15" xfId="0" applyBorder="1" applyAlignment="1">
      <alignment vertical="center" wrapText="1"/>
    </xf>
    <xf numFmtId="0" fontId="20" fillId="0" borderId="15" xfId="0" applyFont="1" applyBorder="1" applyAlignment="1">
      <alignment horizontal="center" vertical="center"/>
    </xf>
    <xf numFmtId="0" fontId="24" fillId="0" borderId="15" xfId="0" applyFont="1" applyBorder="1" applyAlignment="1">
      <alignment wrapText="1"/>
    </xf>
    <xf numFmtId="0" fontId="11" fillId="0" borderId="12" xfId="0" applyFont="1" applyBorder="1" applyAlignment="1">
      <alignment horizontal="left" vertical="center" wrapText="1"/>
    </xf>
    <xf numFmtId="0" fontId="3" fillId="0" borderId="17" xfId="0" quotePrefix="1" applyFont="1" applyBorder="1" applyAlignment="1" applyProtection="1">
      <alignment horizontal="left" wrapText="1"/>
      <protection locked="0"/>
    </xf>
    <xf numFmtId="0" fontId="11" fillId="0" borderId="15" xfId="0" applyFont="1" applyBorder="1"/>
    <xf numFmtId="0" fontId="3" fillId="0" borderId="15" xfId="0" applyFont="1" applyBorder="1" applyAlignment="1" applyProtection="1">
      <alignment horizontal="left" wrapText="1"/>
      <protection locked="0"/>
    </xf>
    <xf numFmtId="0" fontId="3" fillId="0" borderId="13" xfId="0" applyFont="1" applyBorder="1" applyAlignment="1" applyProtection="1">
      <alignment horizontal="left" wrapText="1"/>
      <protection locked="0"/>
    </xf>
    <xf numFmtId="0" fontId="0" fillId="0" borderId="20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3" fillId="0" borderId="13" xfId="0" applyFont="1" applyBorder="1" applyAlignment="1">
      <alignment horizontal="left" vertical="center" wrapText="1"/>
    </xf>
    <xf numFmtId="0" fontId="3" fillId="0" borderId="24" xfId="0" applyFont="1" applyBorder="1"/>
    <xf numFmtId="0" fontId="0" fillId="0" borderId="15" xfId="0" quotePrefix="1" applyBorder="1" applyAlignment="1">
      <alignment horizontal="left" vertical="center" wrapText="1"/>
    </xf>
    <xf numFmtId="0" fontId="3" fillId="0" borderId="23" xfId="0" applyFont="1" applyBorder="1"/>
    <xf numFmtId="1" fontId="0" fillId="0" borderId="15" xfId="0" applyNumberFormat="1" applyBorder="1" applyAlignment="1">
      <alignment horizontal="center" vertical="center"/>
    </xf>
    <xf numFmtId="0" fontId="18" fillId="0" borderId="15" xfId="0" applyFont="1" applyBorder="1" applyAlignment="1">
      <alignment wrapText="1"/>
    </xf>
    <xf numFmtId="0" fontId="22" fillId="0" borderId="15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27" fillId="0" borderId="15" xfId="0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wrapText="1"/>
    </xf>
    <xf numFmtId="0" fontId="3" fillId="0" borderId="23" xfId="0" applyFont="1" applyBorder="1" applyAlignment="1">
      <alignment horizontal="left" wrapText="1"/>
    </xf>
    <xf numFmtId="1" fontId="0" fillId="0" borderId="20" xfId="0" applyNumberFormat="1" applyBorder="1" applyAlignment="1">
      <alignment horizontal="center"/>
    </xf>
    <xf numFmtId="0" fontId="3" fillId="0" borderId="21" xfId="0" applyFont="1" applyBorder="1" applyAlignment="1">
      <alignment horizontal="left" wrapText="1"/>
    </xf>
    <xf numFmtId="0" fontId="0" fillId="0" borderId="20" xfId="0" applyBorder="1" applyAlignment="1">
      <alignment wrapText="1"/>
    </xf>
    <xf numFmtId="1" fontId="3" fillId="0" borderId="23" xfId="0" applyNumberFormat="1" applyFont="1" applyBorder="1" applyAlignment="1">
      <alignment horizontal="center"/>
    </xf>
    <xf numFmtId="0" fontId="1" fillId="0" borderId="15" xfId="0" applyFont="1" applyBorder="1" applyAlignment="1" applyProtection="1">
      <alignment horizontal="center" wrapText="1"/>
      <protection locked="0"/>
    </xf>
    <xf numFmtId="0" fontId="31" fillId="0" borderId="0" xfId="3"/>
    <xf numFmtId="0" fontId="33" fillId="11" borderId="12" xfId="3" applyFont="1" applyFill="1" applyBorder="1"/>
    <xf numFmtId="0" fontId="34" fillId="0" borderId="0" xfId="3" applyFont="1"/>
    <xf numFmtId="0" fontId="22" fillId="0" borderId="0" xfId="3" applyFont="1"/>
    <xf numFmtId="0" fontId="33" fillId="11" borderId="0" xfId="3" applyFont="1" applyFill="1"/>
    <xf numFmtId="0" fontId="13" fillId="0" borderId="13" xfId="3" applyFont="1" applyBorder="1" applyAlignment="1">
      <alignment horizontal="center"/>
    </xf>
    <xf numFmtId="0" fontId="13" fillId="0" borderId="18" xfId="3" applyFont="1" applyBorder="1"/>
    <xf numFmtId="166" fontId="13" fillId="0" borderId="13" xfId="3" applyNumberFormat="1" applyFont="1" applyBorder="1" applyAlignment="1">
      <alignment horizontal="center"/>
    </xf>
    <xf numFmtId="2" fontId="13" fillId="0" borderId="13" xfId="3" applyNumberFormat="1" applyFont="1" applyBorder="1" applyAlignment="1">
      <alignment horizontal="center"/>
    </xf>
    <xf numFmtId="0" fontId="13" fillId="0" borderId="12" xfId="3" applyFont="1" applyBorder="1" applyAlignment="1">
      <alignment horizontal="center" vertical="center"/>
    </xf>
    <xf numFmtId="0" fontId="13" fillId="0" borderId="14" xfId="3" applyFont="1" applyBorder="1" applyAlignment="1">
      <alignment vertical="center"/>
    </xf>
    <xf numFmtId="0" fontId="13" fillId="0" borderId="13" xfId="3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3" fillId="0" borderId="0" xfId="0" quotePrefix="1" applyFont="1" applyAlignment="1">
      <alignment horizontal="left" vertical="top" wrapText="1"/>
    </xf>
    <xf numFmtId="0" fontId="7" fillId="0" borderId="0" xfId="0" applyFont="1"/>
    <xf numFmtId="0" fontId="7" fillId="0" borderId="0" xfId="0" applyFont="1" applyAlignment="1">
      <alignment wrapText="1"/>
    </xf>
    <xf numFmtId="0" fontId="4" fillId="0" borderId="0" xfId="0" quotePrefix="1" applyFont="1" applyAlignment="1">
      <alignment horizontal="left" vertical="top" wrapText="1"/>
    </xf>
    <xf numFmtId="0" fontId="9" fillId="0" borderId="0" xfId="0" applyFont="1"/>
    <xf numFmtId="0" fontId="4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left" wrapText="1"/>
    </xf>
    <xf numFmtId="0" fontId="1" fillId="0" borderId="23" xfId="0" applyFont="1" applyBorder="1" applyAlignment="1" applyProtection="1">
      <alignment horizontal="center" wrapText="1"/>
      <protection locked="0"/>
    </xf>
    <xf numFmtId="0" fontId="37" fillId="0" borderId="0" xfId="0" applyFont="1"/>
    <xf numFmtId="0" fontId="28" fillId="0" borderId="15" xfId="0" quotePrefix="1" applyFont="1" applyBorder="1" applyAlignment="1">
      <alignment wrapText="1"/>
    </xf>
    <xf numFmtId="0" fontId="3" fillId="0" borderId="14" xfId="0" applyFont="1" applyBorder="1" applyProtection="1">
      <protection locked="0"/>
    </xf>
    <xf numFmtId="0" fontId="1" fillId="0" borderId="20" xfId="0" applyFont="1" applyBorder="1" applyAlignment="1" applyProtection="1">
      <alignment horizontal="center" wrapText="1"/>
      <protection locked="0"/>
    </xf>
    <xf numFmtId="165" fontId="13" fillId="0" borderId="14" xfId="3" applyNumberFormat="1" applyFont="1" applyBorder="1" applyAlignment="1">
      <alignment horizontal="center" vertical="center"/>
    </xf>
    <xf numFmtId="165" fontId="13" fillId="0" borderId="18" xfId="3" applyNumberFormat="1" applyFont="1" applyBorder="1" applyAlignment="1">
      <alignment horizontal="center"/>
    </xf>
    <xf numFmtId="165" fontId="13" fillId="0" borderId="18" xfId="3" applyNumberFormat="1" applyFont="1" applyBorder="1" applyAlignment="1">
      <alignment horizontal="center" vertical="center"/>
    </xf>
    <xf numFmtId="0" fontId="13" fillId="0" borderId="18" xfId="3" applyFont="1" applyBorder="1" applyAlignment="1">
      <alignment vertical="center"/>
    </xf>
    <xf numFmtId="0" fontId="3" fillId="0" borderId="13" xfId="0" applyFont="1" applyBorder="1" applyProtection="1">
      <protection locked="0"/>
    </xf>
    <xf numFmtId="0" fontId="25" fillId="7" borderId="15" xfId="0" quotePrefix="1" applyFont="1" applyFill="1" applyBorder="1" applyAlignment="1">
      <alignment horizontal="left" vertical="top" wrapText="1"/>
    </xf>
    <xf numFmtId="0" fontId="30" fillId="0" borderId="15" xfId="0" applyFont="1" applyBorder="1" applyAlignment="1">
      <alignment horizontal="center" vertical="center"/>
    </xf>
    <xf numFmtId="0" fontId="0" fillId="7" borderId="12" xfId="0" applyFill="1" applyBorder="1" applyAlignment="1">
      <alignment wrapText="1"/>
    </xf>
    <xf numFmtId="0" fontId="0" fillId="7" borderId="12" xfId="0" applyFill="1" applyBorder="1" applyAlignment="1">
      <alignment vertical="center" wrapText="1"/>
    </xf>
    <xf numFmtId="0" fontId="0" fillId="7" borderId="17" xfId="0" applyFill="1" applyBorder="1" applyAlignment="1">
      <alignment wrapText="1"/>
    </xf>
    <xf numFmtId="0" fontId="12" fillId="7" borderId="15" xfId="0" quotePrefix="1" applyFont="1" applyFill="1" applyBorder="1" applyAlignment="1">
      <alignment horizontal="left" vertical="top" wrapText="1"/>
    </xf>
    <xf numFmtId="0" fontId="0" fillId="7" borderId="22" xfId="0" applyFill="1" applyBorder="1" applyAlignment="1">
      <alignment vertical="top"/>
    </xf>
    <xf numFmtId="0" fontId="0" fillId="7" borderId="22" xfId="0" applyFill="1" applyBorder="1" applyAlignment="1">
      <alignment vertical="top" wrapText="1"/>
    </xf>
    <xf numFmtId="0" fontId="0" fillId="7" borderId="15" xfId="0" applyFill="1" applyBorder="1" applyAlignment="1">
      <alignment wrapText="1"/>
    </xf>
    <xf numFmtId="0" fontId="0" fillId="7" borderId="15" xfId="0" applyFill="1" applyBorder="1" applyAlignment="1">
      <alignment vertical="center" wrapText="1"/>
    </xf>
    <xf numFmtId="0" fontId="0" fillId="7" borderId="15" xfId="0" applyFill="1" applyBorder="1" applyAlignment="1">
      <alignment horizontal="center"/>
    </xf>
    <xf numFmtId="0" fontId="0" fillId="7" borderId="15" xfId="0" quotePrefix="1" applyFill="1" applyBorder="1" applyAlignment="1">
      <alignment horizontal="left" vertical="center" wrapText="1"/>
    </xf>
    <xf numFmtId="0" fontId="11" fillId="7" borderId="15" xfId="0" applyFont="1" applyFill="1" applyBorder="1" applyAlignment="1">
      <alignment vertical="top" wrapText="1"/>
    </xf>
    <xf numFmtId="0" fontId="40" fillId="7" borderId="15" xfId="0" applyFont="1" applyFill="1" applyBorder="1" applyAlignment="1">
      <alignment vertical="top" wrapText="1"/>
    </xf>
    <xf numFmtId="0" fontId="0" fillId="7" borderId="22" xfId="0" quotePrefix="1" applyFill="1" applyBorder="1" applyAlignment="1">
      <alignment vertical="top"/>
    </xf>
    <xf numFmtId="0" fontId="38" fillId="0" borderId="0" xfId="0" applyFont="1"/>
    <xf numFmtId="0" fontId="0" fillId="7" borderId="22" xfId="0" quotePrefix="1" applyFill="1" applyBorder="1" applyAlignment="1">
      <alignment vertical="top" wrapText="1"/>
    </xf>
    <xf numFmtId="0" fontId="29" fillId="7" borderId="15" xfId="0" quotePrefix="1" applyFont="1" applyFill="1" applyBorder="1" applyAlignment="1">
      <alignment wrapText="1"/>
    </xf>
    <xf numFmtId="0" fontId="25" fillId="7" borderId="15" xfId="0" quotePrefix="1" applyFont="1" applyFill="1" applyBorder="1" applyAlignment="1">
      <alignment horizontal="left" vertical="center" wrapText="1"/>
    </xf>
    <xf numFmtId="0" fontId="42" fillId="0" borderId="15" xfId="0" quotePrefix="1" applyFont="1" applyBorder="1" applyAlignment="1" applyProtection="1">
      <alignment horizontal="left" wrapText="1"/>
      <protection locked="0"/>
    </xf>
    <xf numFmtId="0" fontId="0" fillId="7" borderId="15" xfId="0" quotePrefix="1" applyFill="1" applyBorder="1" applyAlignment="1">
      <alignment vertical="top" wrapText="1"/>
    </xf>
    <xf numFmtId="0" fontId="29" fillId="0" borderId="15" xfId="0" applyFont="1" applyBorder="1"/>
    <xf numFmtId="0" fontId="0" fillId="7" borderId="15" xfId="0" quotePrefix="1" applyFill="1" applyBorder="1" applyAlignment="1">
      <alignment horizontal="left" vertical="top" wrapText="1"/>
    </xf>
    <xf numFmtId="0" fontId="42" fillId="0" borderId="15" xfId="0" applyFont="1" applyBorder="1"/>
    <xf numFmtId="0" fontId="42" fillId="0" borderId="15" xfId="0" applyFont="1" applyBorder="1" applyAlignment="1">
      <alignment wrapText="1"/>
    </xf>
    <xf numFmtId="0" fontId="43" fillId="0" borderId="15" xfId="0" applyFont="1" applyBorder="1" applyAlignment="1">
      <alignment horizontal="left" wrapText="1"/>
    </xf>
    <xf numFmtId="0" fontId="0" fillId="7" borderId="15" xfId="0" applyFill="1" applyBorder="1" applyAlignment="1">
      <alignment horizontal="center" vertical="top"/>
    </xf>
    <xf numFmtId="0" fontId="3" fillId="0" borderId="15" xfId="0" quotePrefix="1" applyFont="1" applyBorder="1" applyAlignment="1" applyProtection="1">
      <alignment horizontal="left" wrapText="1"/>
      <protection locked="0"/>
    </xf>
    <xf numFmtId="0" fontId="7" fillId="0" borderId="15" xfId="0" quotePrefix="1" applyFont="1" applyBorder="1" applyAlignment="1" applyProtection="1">
      <alignment horizontal="left" wrapText="1"/>
      <protection locked="0"/>
    </xf>
    <xf numFmtId="0" fontId="3" fillId="0" borderId="0" xfId="0" applyFont="1" applyAlignment="1">
      <alignment horizontal="left" vertical="top" wrapText="1"/>
    </xf>
    <xf numFmtId="0" fontId="7" fillId="0" borderId="15" xfId="0" applyFont="1" applyBorder="1"/>
    <xf numFmtId="0" fontId="0" fillId="0" borderId="15" xfId="0" applyBorder="1" applyAlignment="1">
      <alignment horizontal="left" vertical="top" wrapText="1"/>
    </xf>
    <xf numFmtId="0" fontId="43" fillId="0" borderId="15" xfId="0" applyFont="1" applyBorder="1"/>
    <xf numFmtId="0" fontId="44" fillId="0" borderId="15" xfId="0" applyFont="1" applyBorder="1" applyAlignment="1">
      <alignment horizontal="left" wrapText="1"/>
    </xf>
    <xf numFmtId="0" fontId="1" fillId="0" borderId="20" xfId="0" applyFont="1" applyBorder="1" applyAlignment="1" applyProtection="1">
      <alignment horizontal="center"/>
      <protection locked="0"/>
    </xf>
    <xf numFmtId="1" fontId="1" fillId="0" borderId="20" xfId="0" applyNumberFormat="1" applyFont="1" applyBorder="1" applyAlignment="1" applyProtection="1">
      <alignment horizontal="center" wrapText="1"/>
      <protection locked="0"/>
    </xf>
    <xf numFmtId="0" fontId="1" fillId="0" borderId="21" xfId="0" applyFont="1" applyBorder="1" applyAlignment="1" applyProtection="1">
      <alignment horizontal="center" wrapText="1"/>
      <protection locked="0"/>
    </xf>
    <xf numFmtId="0" fontId="3" fillId="0" borderId="15" xfId="0" quotePrefix="1" applyFont="1" applyBorder="1" applyAlignment="1">
      <alignment wrapText="1"/>
    </xf>
    <xf numFmtId="0" fontId="3" fillId="0" borderId="16" xfId="0" applyFont="1" applyBorder="1" applyAlignment="1" applyProtection="1">
      <alignment wrapText="1"/>
      <protection locked="0"/>
    </xf>
    <xf numFmtId="0" fontId="26" fillId="0" borderId="20" xfId="0" applyFont="1" applyBorder="1"/>
    <xf numFmtId="0" fontId="26" fillId="0" borderId="27" xfId="0" applyFont="1" applyBorder="1"/>
    <xf numFmtId="0" fontId="3" fillId="0" borderId="28" xfId="0" applyFont="1" applyBorder="1" applyProtection="1">
      <protection locked="0"/>
    </xf>
    <xf numFmtId="0" fontId="3" fillId="0" borderId="29" xfId="0" applyFont="1" applyBorder="1" applyProtection="1">
      <protection locked="0"/>
    </xf>
    <xf numFmtId="0" fontId="0" fillId="0" borderId="22" xfId="0" applyBorder="1"/>
    <xf numFmtId="0" fontId="3" fillId="0" borderId="17" xfId="0" applyFont="1" applyBorder="1" applyProtection="1">
      <protection locked="0"/>
    </xf>
    <xf numFmtId="0" fontId="26" fillId="0" borderId="25" xfId="0" applyFont="1" applyBorder="1"/>
    <xf numFmtId="0" fontId="11" fillId="0" borderId="14" xfId="0" quotePrefix="1" applyFont="1" applyBorder="1" applyAlignment="1">
      <alignment horizontal="left" vertical="center" wrapText="1"/>
    </xf>
    <xf numFmtId="0" fontId="12" fillId="0" borderId="14" xfId="0" quotePrefix="1" applyFont="1" applyBorder="1" applyAlignment="1">
      <alignment horizontal="left" vertical="center" wrapText="1"/>
    </xf>
    <xf numFmtId="0" fontId="11" fillId="0" borderId="16" xfId="0" applyFont="1" applyBorder="1" applyAlignment="1">
      <alignment horizontal="left" vertical="center" wrapText="1"/>
    </xf>
    <xf numFmtId="0" fontId="0" fillId="0" borderId="12" xfId="0" quotePrefix="1" applyBorder="1" applyAlignment="1">
      <alignment wrapText="1"/>
    </xf>
    <xf numFmtId="0" fontId="1" fillId="15" borderId="12" xfId="0" applyFont="1" applyFill="1" applyBorder="1" applyAlignment="1" applyProtection="1">
      <alignment horizontal="center" wrapText="1"/>
      <protection locked="0"/>
    </xf>
    <xf numFmtId="0" fontId="3" fillId="0" borderId="17" xfId="0" quotePrefix="1" applyFont="1" applyBorder="1" applyAlignment="1" applyProtection="1">
      <alignment horizontal="left" vertical="center" wrapText="1"/>
      <protection locked="0"/>
    </xf>
    <xf numFmtId="1" fontId="3" fillId="0" borderId="12" xfId="0" applyNumberFormat="1" applyFont="1" applyBorder="1" applyAlignment="1" applyProtection="1">
      <alignment horizontal="center" wrapText="1"/>
      <protection locked="0"/>
    </xf>
    <xf numFmtId="0" fontId="3" fillId="0" borderId="12" xfId="0" applyFont="1" applyBorder="1" applyAlignment="1" applyProtection="1">
      <alignment horizontal="center" wrapText="1"/>
      <protection locked="0"/>
    </xf>
    <xf numFmtId="0" fontId="1" fillId="0" borderId="22" xfId="0" applyFont="1" applyBorder="1" applyAlignment="1" applyProtection="1">
      <alignment horizontal="center" wrapText="1"/>
      <protection locked="0"/>
    </xf>
    <xf numFmtId="0" fontId="0" fillId="0" borderId="14" xfId="0" applyBorder="1"/>
    <xf numFmtId="0" fontId="0" fillId="0" borderId="17" xfId="0" applyBorder="1" applyAlignment="1">
      <alignment wrapText="1"/>
    </xf>
    <xf numFmtId="0" fontId="3" fillId="0" borderId="22" xfId="0" quotePrefix="1" applyFont="1" applyBorder="1" applyAlignment="1">
      <alignment horizontal="left" vertical="center" wrapText="1"/>
    </xf>
    <xf numFmtId="0" fontId="1" fillId="0" borderId="17" xfId="0" applyFont="1" applyBorder="1" applyAlignment="1" applyProtection="1">
      <alignment horizontal="center"/>
      <protection locked="0"/>
    </xf>
    <xf numFmtId="0" fontId="1" fillId="15" borderId="17" xfId="0" applyFont="1" applyFill="1" applyBorder="1" applyAlignment="1" applyProtection="1">
      <alignment horizontal="center" wrapText="1"/>
      <protection locked="0"/>
    </xf>
    <xf numFmtId="0" fontId="3" fillId="0" borderId="15" xfId="0" applyFont="1" applyBorder="1" applyAlignment="1" applyProtection="1">
      <alignment horizontal="center"/>
      <protection locked="0"/>
    </xf>
    <xf numFmtId="1" fontId="3" fillId="0" borderId="15" xfId="0" applyNumberFormat="1" applyFont="1" applyBorder="1" applyAlignment="1" applyProtection="1">
      <alignment horizontal="center" wrapText="1"/>
      <protection locked="0"/>
    </xf>
    <xf numFmtId="0" fontId="3" fillId="0" borderId="15" xfId="0" applyFont="1" applyBorder="1" applyAlignment="1" applyProtection="1">
      <alignment horizontal="center" wrapText="1"/>
      <protection locked="0"/>
    </xf>
    <xf numFmtId="0" fontId="1" fillId="0" borderId="31" xfId="0" applyFont="1" applyBorder="1" applyAlignment="1" applyProtection="1">
      <alignment horizontal="center" wrapText="1"/>
      <protection locked="0"/>
    </xf>
    <xf numFmtId="1" fontId="1" fillId="0" borderId="17" xfId="0" applyNumberFormat="1" applyFont="1" applyBorder="1" applyAlignment="1" applyProtection="1">
      <alignment horizontal="center" wrapText="1"/>
      <protection locked="0"/>
    </xf>
    <xf numFmtId="0" fontId="40" fillId="7" borderId="22" xfId="0" applyFont="1" applyFill="1" applyBorder="1" applyAlignment="1">
      <alignment vertical="top" wrapText="1"/>
    </xf>
    <xf numFmtId="0" fontId="12" fillId="0" borderId="15" xfId="0" applyFont="1" applyBorder="1" applyAlignment="1">
      <alignment horizontal="left" vertical="center" wrapText="1"/>
    </xf>
    <xf numFmtId="0" fontId="11" fillId="0" borderId="15" xfId="0" quotePrefix="1" applyFont="1" applyBorder="1" applyAlignment="1">
      <alignment horizontal="left" vertical="center" wrapText="1"/>
    </xf>
    <xf numFmtId="0" fontId="12" fillId="7" borderId="15" xfId="0" applyFont="1" applyFill="1" applyBorder="1" applyAlignment="1">
      <alignment horizontal="left" vertical="center" wrapText="1"/>
    </xf>
    <xf numFmtId="0" fontId="3" fillId="0" borderId="15" xfId="0" quotePrefix="1" applyFont="1" applyBorder="1" applyAlignment="1">
      <alignment horizontal="left" vertical="center" wrapText="1"/>
    </xf>
    <xf numFmtId="0" fontId="26" fillId="0" borderId="15" xfId="0" applyFont="1" applyBorder="1" applyAlignment="1">
      <alignment wrapText="1"/>
    </xf>
    <xf numFmtId="0" fontId="13" fillId="0" borderId="15" xfId="0" quotePrefix="1" applyFont="1" applyBorder="1" applyAlignment="1">
      <alignment horizontal="left" vertical="center" wrapText="1"/>
    </xf>
    <xf numFmtId="0" fontId="12" fillId="0" borderId="15" xfId="0" quotePrefix="1" applyFont="1" applyBorder="1" applyAlignment="1">
      <alignment horizontal="left" vertical="center" wrapText="1"/>
    </xf>
    <xf numFmtId="0" fontId="26" fillId="13" borderId="15" xfId="0" applyFont="1" applyFill="1" applyBorder="1" applyAlignment="1">
      <alignment wrapText="1"/>
    </xf>
    <xf numFmtId="0" fontId="0" fillId="7" borderId="15" xfId="0" quotePrefix="1" applyFill="1" applyBorder="1" applyAlignment="1">
      <alignment wrapText="1"/>
    </xf>
    <xf numFmtId="0" fontId="0" fillId="7" borderId="15" xfId="0" applyFill="1" applyBorder="1" applyAlignment="1">
      <alignment horizontal="left" vertical="center" wrapText="1"/>
    </xf>
    <xf numFmtId="0" fontId="3" fillId="0" borderId="22" xfId="0" quotePrefix="1" applyFont="1" applyBorder="1" applyAlignment="1">
      <alignment horizontal="left" vertical="top" wrapText="1"/>
    </xf>
    <xf numFmtId="0" fontId="0" fillId="0" borderId="22" xfId="0" quotePrefix="1" applyBorder="1" applyAlignment="1">
      <alignment horizontal="left" vertical="top" wrapText="1"/>
    </xf>
    <xf numFmtId="0" fontId="11" fillId="0" borderId="14" xfId="0" quotePrefix="1" applyFont="1" applyBorder="1" applyAlignment="1">
      <alignment horizontal="left" vertical="top" wrapText="1"/>
    </xf>
    <xf numFmtId="0" fontId="28" fillId="7" borderId="22" xfId="0" quotePrefix="1" applyFont="1" applyFill="1" applyBorder="1" applyAlignment="1">
      <alignment wrapText="1"/>
    </xf>
    <xf numFmtId="0" fontId="0" fillId="7" borderId="24" xfId="0" quotePrefix="1" applyFill="1" applyBorder="1" applyAlignment="1">
      <alignment wrapText="1"/>
    </xf>
    <xf numFmtId="0" fontId="39" fillId="7" borderId="22" xfId="0" quotePrefix="1" applyFont="1" applyFill="1" applyBorder="1" applyAlignment="1">
      <alignment wrapText="1"/>
    </xf>
    <xf numFmtId="0" fontId="0" fillId="7" borderId="14" xfId="0" applyFill="1" applyBorder="1" applyAlignment="1">
      <alignment vertical="top" wrapText="1"/>
    </xf>
    <xf numFmtId="0" fontId="3" fillId="0" borderId="14" xfId="0" quotePrefix="1" applyFont="1" applyBorder="1" applyAlignment="1">
      <alignment vertical="center" wrapText="1"/>
    </xf>
    <xf numFmtId="0" fontId="19" fillId="7" borderId="22" xfId="0" applyFont="1" applyFill="1" applyBorder="1" applyAlignment="1">
      <alignment vertical="top"/>
    </xf>
    <xf numFmtId="0" fontId="41" fillId="7" borderId="22" xfId="0" applyFont="1" applyFill="1" applyBorder="1" applyAlignment="1">
      <alignment vertical="top"/>
    </xf>
    <xf numFmtId="0" fontId="0" fillId="0" borderId="13" xfId="0" applyBorder="1" applyAlignment="1">
      <alignment horizontal="left" vertical="center" wrapText="1"/>
    </xf>
    <xf numFmtId="0" fontId="40" fillId="7" borderId="25" xfId="0" applyFont="1" applyFill="1" applyBorder="1" applyAlignment="1">
      <alignment vertical="top" wrapText="1"/>
    </xf>
    <xf numFmtId="0" fontId="40" fillId="7" borderId="30" xfId="0" applyFont="1" applyFill="1" applyBorder="1" applyAlignment="1">
      <alignment vertical="top" wrapText="1"/>
    </xf>
    <xf numFmtId="0" fontId="0" fillId="0" borderId="14" xfId="0" applyBorder="1" applyAlignment="1">
      <alignment wrapText="1"/>
    </xf>
    <xf numFmtId="0" fontId="25" fillId="0" borderId="15" xfId="0" applyFont="1" applyBorder="1" applyAlignment="1">
      <alignment horizontal="left" vertical="center" wrapText="1"/>
    </xf>
    <xf numFmtId="0" fontId="0" fillId="0" borderId="14" xfId="0" quotePrefix="1" applyBorder="1" applyAlignment="1">
      <alignment wrapText="1"/>
    </xf>
    <xf numFmtId="0" fontId="3" fillId="0" borderId="14" xfId="0" applyFont="1" applyBorder="1" applyAlignment="1">
      <alignment wrapText="1"/>
    </xf>
    <xf numFmtId="0" fontId="1" fillId="0" borderId="24" xfId="0" applyFont="1" applyBorder="1" applyAlignment="1" applyProtection="1">
      <alignment horizontal="center" wrapText="1"/>
      <protection locked="0"/>
    </xf>
    <xf numFmtId="0" fontId="11" fillId="0" borderId="13" xfId="0" applyFont="1" applyBorder="1" applyAlignment="1">
      <alignment horizontal="left" vertical="center" wrapText="1"/>
    </xf>
    <xf numFmtId="0" fontId="45" fillId="0" borderId="0" xfId="3" applyFont="1"/>
    <xf numFmtId="0" fontId="22" fillId="0" borderId="15" xfId="3" applyFont="1" applyBorder="1" applyAlignment="1">
      <alignment vertical="center"/>
    </xf>
    <xf numFmtId="0" fontId="46" fillId="13" borderId="15" xfId="0" applyFont="1" applyFill="1" applyBorder="1" applyAlignment="1">
      <alignment horizontal="left" vertical="center" wrapText="1" indent="1"/>
    </xf>
    <xf numFmtId="0" fontId="46" fillId="14" borderId="15" xfId="0" applyFont="1" applyFill="1" applyBorder="1" applyAlignment="1">
      <alignment horizontal="left" vertical="center" wrapText="1" indent="1"/>
    </xf>
    <xf numFmtId="0" fontId="35" fillId="12" borderId="17" xfId="3" applyFont="1" applyFill="1" applyBorder="1"/>
    <xf numFmtId="0" fontId="47" fillId="0" borderId="32" xfId="0" applyFont="1" applyBorder="1" applyAlignment="1">
      <alignment wrapText="1" readingOrder="1"/>
    </xf>
    <xf numFmtId="0" fontId="47" fillId="0" borderId="28" xfId="0" applyFont="1" applyBorder="1" applyAlignment="1">
      <alignment wrapText="1" readingOrder="1"/>
    </xf>
    <xf numFmtId="0" fontId="47" fillId="0" borderId="29" xfId="0" applyFont="1" applyBorder="1" applyAlignment="1">
      <alignment wrapText="1" readingOrder="1"/>
    </xf>
    <xf numFmtId="0" fontId="48" fillId="0" borderId="32" xfId="0" applyFont="1" applyBorder="1" applyAlignment="1">
      <alignment wrapText="1" readingOrder="1"/>
    </xf>
    <xf numFmtId="0" fontId="48" fillId="0" borderId="28" xfId="0" applyFont="1" applyBorder="1" applyAlignment="1">
      <alignment wrapText="1" readingOrder="1"/>
    </xf>
    <xf numFmtId="0" fontId="48" fillId="0" borderId="29" xfId="0" applyFont="1" applyBorder="1" applyAlignment="1">
      <alignment wrapText="1" readingOrder="1"/>
    </xf>
    <xf numFmtId="0" fontId="0" fillId="0" borderId="20" xfId="0" applyBorder="1"/>
    <xf numFmtId="0" fontId="22" fillId="0" borderId="20" xfId="3" applyFont="1" applyBorder="1" applyAlignment="1">
      <alignment vertical="center"/>
    </xf>
    <xf numFmtId="0" fontId="46" fillId="13" borderId="20" xfId="0" applyFont="1" applyFill="1" applyBorder="1" applyAlignment="1">
      <alignment horizontal="left" vertical="center" wrapText="1" indent="1"/>
    </xf>
    <xf numFmtId="0" fontId="16" fillId="0" borderId="15" xfId="2" applyBorder="1"/>
    <xf numFmtId="0" fontId="47" fillId="0" borderId="27" xfId="0" applyFont="1" applyBorder="1" applyAlignment="1">
      <alignment wrapText="1" readingOrder="1"/>
    </xf>
    <xf numFmtId="0" fontId="32" fillId="11" borderId="16" xfId="3" applyFont="1" applyFill="1" applyBorder="1"/>
    <xf numFmtId="0" fontId="32" fillId="11" borderId="26" xfId="3" applyFont="1" applyFill="1" applyBorder="1"/>
    <xf numFmtId="0" fontId="35" fillId="12" borderId="16" xfId="3" applyFont="1" applyFill="1" applyBorder="1"/>
    <xf numFmtId="0" fontId="35" fillId="12" borderId="26" xfId="3" applyFont="1" applyFill="1" applyBorder="1"/>
    <xf numFmtId="0" fontId="36" fillId="0" borderId="16" xfId="3" applyFont="1" applyBorder="1"/>
    <xf numFmtId="0" fontId="36" fillId="0" borderId="26" xfId="3" applyFont="1" applyBorder="1"/>
    <xf numFmtId="0" fontId="32" fillId="11" borderId="12" xfId="3" applyFont="1" applyFill="1" applyBorder="1"/>
    <xf numFmtId="0" fontId="13" fillId="0" borderId="12" xfId="3" applyFont="1" applyBorder="1" applyAlignment="1">
      <alignment vertical="center"/>
    </xf>
    <xf numFmtId="0" fontId="13" fillId="0" borderId="16" xfId="3" applyFont="1" applyBorder="1" applyAlignment="1">
      <alignment vertical="center"/>
    </xf>
    <xf numFmtId="0" fontId="13" fillId="0" borderId="14" xfId="3" applyFont="1" applyBorder="1" applyAlignment="1">
      <alignment vertical="center"/>
    </xf>
    <xf numFmtId="0" fontId="1" fillId="2" borderId="2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0" borderId="2" xfId="0" applyBorder="1"/>
    <xf numFmtId="0" fontId="47" fillId="0" borderId="27" xfId="0" applyFont="1" applyFill="1" applyBorder="1" applyAlignment="1">
      <alignment wrapText="1" readingOrder="1"/>
    </xf>
  </cellXfs>
  <cellStyles count="4">
    <cellStyle name="Hyperlink" xfId="2" builtinId="8"/>
    <cellStyle name="Normal" xfId="0" builtinId="0"/>
    <cellStyle name="Normal 2" xfId="1" xr:uid="{1DD03006-975C-4B5F-BAD6-860EEC402895}"/>
    <cellStyle name="Normal 3" xfId="3" xr:uid="{0A712ADE-6038-4828-9CB2-0CAE6A00CA47}"/>
  </cellStyles>
  <dxfs count="115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Summary of Test Scripts</a:t>
            </a:r>
          </a:p>
        </c:rich>
      </c:tx>
      <c:layout>
        <c:manualLayout>
          <c:xMode val="edge"/>
          <c:yMode val="edge"/>
          <c:x val="0.34347864598630323"/>
          <c:y val="3.30326549276805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913058246707549"/>
          <c:y val="0.18318372039144729"/>
          <c:w val="0.60434846759135907"/>
          <c:h val="0.6846866926106554"/>
        </c:manualLayout>
      </c:layout>
      <c:barChart>
        <c:barDir val="col"/>
        <c:grouping val="stacked"/>
        <c:varyColors val="0"/>
        <c:ser>
          <c:idx val="0"/>
          <c:order val="0"/>
          <c:tx>
            <c:v>Pass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8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7255-44DD-B40A-3668D7B668AE}"/>
            </c:ext>
          </c:extLst>
        </c:ser>
        <c:ser>
          <c:idx val="1"/>
          <c:order val="1"/>
          <c:tx>
            <c:v>Fail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7255-44DD-B40A-3668D7B668AE}"/>
            </c:ext>
          </c:extLst>
        </c:ser>
        <c:ser>
          <c:idx val="2"/>
          <c:order val="2"/>
          <c:tx>
            <c:v>No Run</c:v>
          </c:tx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7255-44DD-B40A-3668D7B668AE}"/>
            </c:ext>
          </c:extLst>
        </c:ser>
        <c:ser>
          <c:idx val="3"/>
          <c:order val="3"/>
          <c:tx>
            <c:v>Not Completed</c:v>
          </c:tx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7255-44DD-B40A-3668D7B668AE}"/>
            </c:ext>
          </c:extLst>
        </c:ser>
        <c:ser>
          <c:idx val="4"/>
          <c:order val="4"/>
          <c:tx>
            <c:v>In Progress</c:v>
          </c:tx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4-7255-44DD-B40A-3668D7B668AE}"/>
            </c:ext>
          </c:extLst>
        </c:ser>
        <c:ser>
          <c:idx val="5"/>
          <c:order val="5"/>
          <c:tx>
            <c:v>Out of Scope</c:v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7255-44DD-B40A-3668D7B668AE}"/>
            </c:ext>
          </c:extLst>
        </c:ser>
        <c:ser>
          <c:idx val="6"/>
          <c:order val="6"/>
          <c:tx>
            <c:v>Not Started</c:v>
          </c:tx>
          <c:spPr>
            <a:solidFill>
              <a:srgbClr val="0066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Lit>
              <c:formatCode>General</c:formatCode>
              <c:ptCount val="1"/>
              <c:pt idx="0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06-7255-44DD-B40A-3668D7B66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9666431"/>
        <c:axId val="1"/>
      </c:barChart>
      <c:catAx>
        <c:axId val="11696664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Number of scripts</a:t>
                </a:r>
              </a:p>
            </c:rich>
          </c:tx>
          <c:layout>
            <c:manualLayout>
              <c:xMode val="edge"/>
              <c:yMode val="edge"/>
              <c:x val="3.478249721449117E-2"/>
              <c:y val="0.366367867501049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169666431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25988450047744444"/>
          <c:y val="0.93731343283582091"/>
          <c:w val="0.48200800515902087"/>
          <c:h val="3.880597014925373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350" b="1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75" b="1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Summary of Test Scripts</a:t>
            </a:r>
          </a:p>
        </c:rich>
      </c:tx>
      <c:layout>
        <c:manualLayout>
          <c:xMode val="edge"/>
          <c:yMode val="edge"/>
          <c:x val="0.34490209741481426"/>
          <c:y val="4.132217847769029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882863340563992"/>
          <c:y val="0.23553719008264462"/>
          <c:w val="0.60520607375271152"/>
          <c:h val="0.5826446280991735"/>
        </c:manualLayout>
      </c:layout>
      <c:barChart>
        <c:barDir val="col"/>
        <c:grouping val="stacked"/>
        <c:varyColors val="0"/>
        <c:ser>
          <c:idx val="0"/>
          <c:order val="0"/>
          <c:tx>
            <c:v>Pass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34E4-431B-A073-CB7535B65BE9}"/>
            </c:ext>
          </c:extLst>
        </c:ser>
        <c:ser>
          <c:idx val="1"/>
          <c:order val="1"/>
          <c:tx>
            <c:v>Fail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34E4-431B-A073-CB7535B65BE9}"/>
            </c:ext>
          </c:extLst>
        </c:ser>
        <c:ser>
          <c:idx val="2"/>
          <c:order val="2"/>
          <c:tx>
            <c:v>No Run</c:v>
          </c:tx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34E4-431B-A073-CB7535B65BE9}"/>
            </c:ext>
          </c:extLst>
        </c:ser>
        <c:ser>
          <c:idx val="3"/>
          <c:order val="3"/>
          <c:tx>
            <c:v>Not Completed</c:v>
          </c:tx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34E4-431B-A073-CB7535B65BE9}"/>
            </c:ext>
          </c:extLst>
        </c:ser>
        <c:ser>
          <c:idx val="4"/>
          <c:order val="4"/>
          <c:tx>
            <c:v>In Progress</c:v>
          </c:tx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4-34E4-431B-A073-CB7535B65BE9}"/>
            </c:ext>
          </c:extLst>
        </c:ser>
        <c:ser>
          <c:idx val="5"/>
          <c:order val="5"/>
          <c:tx>
            <c:v>Out of Scope</c:v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34E4-431B-A073-CB7535B65BE9}"/>
            </c:ext>
          </c:extLst>
        </c:ser>
        <c:ser>
          <c:idx val="6"/>
          <c:order val="6"/>
          <c:tx>
            <c:v>Not Started</c:v>
          </c:tx>
          <c:spPr>
            <a:solidFill>
              <a:srgbClr val="0066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6-34E4-431B-A073-CB7535B65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9815871"/>
        <c:axId val="1"/>
      </c:barChart>
      <c:catAx>
        <c:axId val="11698158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Number of scripts</a:t>
                </a:r>
              </a:p>
            </c:rich>
          </c:tx>
          <c:layout>
            <c:manualLayout>
              <c:xMode val="edge"/>
              <c:yMode val="edge"/>
              <c:x val="3.4707221331846796E-2"/>
              <c:y val="0.3057844852726742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169815871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23894558175268604"/>
          <c:y val="0.91639231430138413"/>
          <c:w val="0.48010362259567474"/>
          <c:h val="6.5456593878670297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210" b="1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75" b="1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Summary of Test Scripts</a:t>
            </a:r>
          </a:p>
        </c:rich>
      </c:tx>
      <c:layout>
        <c:manualLayout>
          <c:xMode val="edge"/>
          <c:yMode val="edge"/>
          <c:x val="0.34810253287759069"/>
          <c:y val="3.571397325334332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135050218902911"/>
          <c:y val="0.18154814670569053"/>
          <c:w val="0.60970589750193149"/>
          <c:h val="0.68750199818056579"/>
        </c:manualLayout>
      </c:layout>
      <c:barChart>
        <c:barDir val="col"/>
        <c:grouping val="stacked"/>
        <c:varyColors val="0"/>
        <c:ser>
          <c:idx val="0"/>
          <c:order val="0"/>
          <c:tx>
            <c:v>Pass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8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873D-4B9E-BF6A-9F9D4C349B4C}"/>
            </c:ext>
          </c:extLst>
        </c:ser>
        <c:ser>
          <c:idx val="1"/>
          <c:order val="1"/>
          <c:tx>
            <c:v>Fail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8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873D-4B9E-BF6A-9F9D4C349B4C}"/>
            </c:ext>
          </c:extLst>
        </c:ser>
        <c:ser>
          <c:idx val="2"/>
          <c:order val="2"/>
          <c:tx>
            <c:v>No Run</c:v>
          </c:tx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8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873D-4B9E-BF6A-9F9D4C349B4C}"/>
            </c:ext>
          </c:extLst>
        </c:ser>
        <c:ser>
          <c:idx val="3"/>
          <c:order val="3"/>
          <c:tx>
            <c:v>Not Completed</c:v>
          </c:tx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8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873D-4B9E-BF6A-9F9D4C349B4C}"/>
            </c:ext>
          </c:extLst>
        </c:ser>
        <c:ser>
          <c:idx val="4"/>
          <c:order val="4"/>
          <c:tx>
            <c:v>In Progress</c:v>
          </c:tx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8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4-873D-4B9E-BF6A-9F9D4C349B4C}"/>
            </c:ext>
          </c:extLst>
        </c:ser>
        <c:ser>
          <c:idx val="5"/>
          <c:order val="5"/>
          <c:tx>
            <c:v>Out of Scope</c:v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8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873D-4B9E-BF6A-9F9D4C349B4C}"/>
            </c:ext>
          </c:extLst>
        </c:ser>
        <c:ser>
          <c:idx val="6"/>
          <c:order val="6"/>
          <c:tx>
            <c:v>Not Started</c:v>
          </c:tx>
          <c:spPr>
            <a:solidFill>
              <a:srgbClr val="0066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8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6-873D-4B9E-BF6A-9F9D4C349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0275039"/>
        <c:axId val="1"/>
      </c:barChart>
      <c:catAx>
        <c:axId val="117027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Number of scripts</a:t>
                </a:r>
              </a:p>
            </c:rich>
          </c:tx>
          <c:layout>
            <c:manualLayout>
              <c:xMode val="edge"/>
              <c:yMode val="edge"/>
              <c:x val="3.3755863996789502E-2"/>
              <c:y val="0.3660723659542557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170275039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31208791208791209"/>
          <c:y val="0.94103636535813084"/>
          <c:w val="0.3802197802197802"/>
          <c:h val="3.573555817815686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280" b="1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75" b="1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Summary of Test Scripts</a:t>
            </a:r>
          </a:p>
        </c:rich>
      </c:tx>
      <c:layout>
        <c:manualLayout>
          <c:xMode val="edge"/>
          <c:yMode val="edge"/>
          <c:x val="0.35232092034189927"/>
          <c:y val="4.14946048410615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80195724954932"/>
          <c:y val="0.20746930001397987"/>
          <c:w val="0.62658356940509918"/>
          <c:h val="0.62240790004193958"/>
        </c:manualLayout>
      </c:layout>
      <c:barChart>
        <c:barDir val="col"/>
        <c:grouping val="stacked"/>
        <c:varyColors val="0"/>
        <c:ser>
          <c:idx val="0"/>
          <c:order val="0"/>
          <c:tx>
            <c:v>Pass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C58B-4C8C-8C15-0D4C592A4E93}"/>
            </c:ext>
          </c:extLst>
        </c:ser>
        <c:ser>
          <c:idx val="1"/>
          <c:order val="1"/>
          <c:tx>
            <c:v>Fail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C58B-4C8C-8C15-0D4C592A4E93}"/>
            </c:ext>
          </c:extLst>
        </c:ser>
        <c:ser>
          <c:idx val="2"/>
          <c:order val="2"/>
          <c:tx>
            <c:v>No Run</c:v>
          </c:tx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C58B-4C8C-8C15-0D4C592A4E93}"/>
            </c:ext>
          </c:extLst>
        </c:ser>
        <c:ser>
          <c:idx val="3"/>
          <c:order val="3"/>
          <c:tx>
            <c:v>Not Completed</c:v>
          </c:tx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C58B-4C8C-8C15-0D4C592A4E93}"/>
            </c:ext>
          </c:extLst>
        </c:ser>
        <c:ser>
          <c:idx val="4"/>
          <c:order val="4"/>
          <c:tx>
            <c:v>In Progress</c:v>
          </c:tx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4-C58B-4C8C-8C15-0D4C592A4E93}"/>
            </c:ext>
          </c:extLst>
        </c:ser>
        <c:ser>
          <c:idx val="5"/>
          <c:order val="5"/>
          <c:tx>
            <c:v>Out of Scope</c:v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C58B-4C8C-8C15-0D4C592A4E93}"/>
            </c:ext>
          </c:extLst>
        </c:ser>
        <c:ser>
          <c:idx val="6"/>
          <c:order val="6"/>
          <c:tx>
            <c:v>Not Started</c:v>
          </c:tx>
          <c:spPr>
            <a:solidFill>
              <a:srgbClr val="0066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6-C58B-4C8C-8C15-0D4C592A4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0270719"/>
        <c:axId val="1"/>
      </c:barChart>
      <c:catAx>
        <c:axId val="117027071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Number of scripts</a:t>
                </a:r>
              </a:p>
            </c:rich>
          </c:tx>
          <c:layout>
            <c:manualLayout>
              <c:xMode val="edge"/>
              <c:yMode val="edge"/>
              <c:x val="3.3755863996789502E-2"/>
              <c:y val="0.3112040682414697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170270719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2725360272995348"/>
          <c:y val="0.90548288198827243"/>
          <c:w val="0.468146563022588"/>
          <c:h val="6.5456593878670297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200" b="1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50" b="1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Summary of Test Scripts</a:t>
            </a:r>
          </a:p>
        </c:rich>
      </c:tx>
      <c:layout>
        <c:manualLayout>
          <c:xMode val="edge"/>
          <c:yMode val="edge"/>
          <c:x val="0.34490238611713664"/>
          <c:y val="4.1322314049586778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Pass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DFA-4429-9C95-753C4CE80CB2}"/>
            </c:ext>
          </c:extLst>
        </c:ser>
        <c:ser>
          <c:idx val="1"/>
          <c:order val="1"/>
          <c:tx>
            <c:v>Fail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DDFA-4429-9C95-753C4CE80CB2}"/>
            </c:ext>
          </c:extLst>
        </c:ser>
        <c:ser>
          <c:idx val="2"/>
          <c:order val="2"/>
          <c:tx>
            <c:v>No Run</c:v>
          </c:tx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DDFA-4429-9C95-753C4CE80CB2}"/>
            </c:ext>
          </c:extLst>
        </c:ser>
        <c:ser>
          <c:idx val="3"/>
          <c:order val="3"/>
          <c:tx>
            <c:v>Not Completed</c:v>
          </c:tx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DDFA-4429-9C95-753C4CE80CB2}"/>
            </c:ext>
          </c:extLst>
        </c:ser>
        <c:ser>
          <c:idx val="4"/>
          <c:order val="4"/>
          <c:tx>
            <c:v>In Progress</c:v>
          </c:tx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4-DDFA-4429-9C95-753C4CE80CB2}"/>
            </c:ext>
          </c:extLst>
        </c:ser>
        <c:ser>
          <c:idx val="5"/>
          <c:order val="5"/>
          <c:tx>
            <c:v>Out of Scope</c:v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DDFA-4429-9C95-753C4CE80CB2}"/>
            </c:ext>
          </c:extLst>
        </c:ser>
        <c:ser>
          <c:idx val="6"/>
          <c:order val="6"/>
          <c:tx>
            <c:v>Not Started</c:v>
          </c:tx>
          <c:spPr>
            <a:solidFill>
              <a:srgbClr val="0066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6-DDFA-4429-9C95-753C4CE80C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0496431"/>
        <c:axId val="1"/>
      </c:barChart>
      <c:catAx>
        <c:axId val="11704964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Number of scripts</a:t>
                </a:r>
              </a:p>
            </c:rich>
          </c:tx>
          <c:layout>
            <c:manualLayout>
              <c:xMode val="edge"/>
              <c:yMode val="edge"/>
              <c:x val="3.4707158351409979E-2"/>
              <c:y val="0.3057851239669421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170496431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210" b="1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75" b="1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Summary of Test Scripts</a:t>
            </a:r>
          </a:p>
        </c:rich>
      </c:tx>
      <c:layout>
        <c:manualLayout>
          <c:xMode val="edge"/>
          <c:yMode val="edge"/>
          <c:x val="0.34810253287759069"/>
          <c:y val="3.571397325334332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135050218902911"/>
          <c:y val="0.18154814670569053"/>
          <c:w val="0.60970589750193149"/>
          <c:h val="0.68750199818056579"/>
        </c:manualLayout>
      </c:layout>
      <c:barChart>
        <c:barDir val="col"/>
        <c:grouping val="stacked"/>
        <c:varyColors val="0"/>
        <c:ser>
          <c:idx val="0"/>
          <c:order val="0"/>
          <c:tx>
            <c:v>Pass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8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494-4951-90F0-BABEFB9F5E40}"/>
            </c:ext>
          </c:extLst>
        </c:ser>
        <c:ser>
          <c:idx val="1"/>
          <c:order val="1"/>
          <c:tx>
            <c:v>Fail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8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D494-4951-90F0-BABEFB9F5E40}"/>
            </c:ext>
          </c:extLst>
        </c:ser>
        <c:ser>
          <c:idx val="2"/>
          <c:order val="2"/>
          <c:tx>
            <c:v>No Run</c:v>
          </c:tx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8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D494-4951-90F0-BABEFB9F5E40}"/>
            </c:ext>
          </c:extLst>
        </c:ser>
        <c:ser>
          <c:idx val="3"/>
          <c:order val="3"/>
          <c:tx>
            <c:v>Not Completed</c:v>
          </c:tx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8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D494-4951-90F0-BABEFB9F5E40}"/>
            </c:ext>
          </c:extLst>
        </c:ser>
        <c:ser>
          <c:idx val="4"/>
          <c:order val="4"/>
          <c:tx>
            <c:v>In Progress</c:v>
          </c:tx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8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4-D494-4951-90F0-BABEFB9F5E40}"/>
            </c:ext>
          </c:extLst>
        </c:ser>
        <c:ser>
          <c:idx val="5"/>
          <c:order val="5"/>
          <c:tx>
            <c:v>Out of Scope</c:v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8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D494-4951-90F0-BABEFB9F5E40}"/>
            </c:ext>
          </c:extLst>
        </c:ser>
        <c:ser>
          <c:idx val="6"/>
          <c:order val="6"/>
          <c:tx>
            <c:v>Not Started</c:v>
          </c:tx>
          <c:spPr>
            <a:solidFill>
              <a:srgbClr val="0066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8"/>
              <c:pt idx="0">
                <c:v>Script Status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6-D494-4951-90F0-BABEFB9F5E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0275039"/>
        <c:axId val="1"/>
      </c:barChart>
      <c:catAx>
        <c:axId val="117027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Number of scripts</a:t>
                </a:r>
              </a:p>
            </c:rich>
          </c:tx>
          <c:layout>
            <c:manualLayout>
              <c:xMode val="edge"/>
              <c:yMode val="edge"/>
              <c:x val="3.3755863996789502E-2"/>
              <c:y val="0.3660723659542557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170275039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31208791208791209"/>
          <c:y val="0.94103636535813084"/>
          <c:w val="0.3802197802197802"/>
          <c:h val="3.573555817815686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280" b="1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75" b="1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4</xdr:row>
      <xdr:rowOff>9525</xdr:rowOff>
    </xdr:from>
    <xdr:to>
      <xdr:col>11</xdr:col>
      <xdr:colOff>85725</xdr:colOff>
      <xdr:row>18</xdr:row>
      <xdr:rowOff>0</xdr:rowOff>
    </xdr:to>
    <xdr:graphicFrame macro="">
      <xdr:nvGraphicFramePr>
        <xdr:cNvPr id="7294372" name="Chart 1">
          <a:extLst>
            <a:ext uri="{FF2B5EF4-FFF2-40B4-BE49-F238E27FC236}">
              <a16:creationId xmlns:a16="http://schemas.microsoft.com/office/drawing/2014/main" id="{80262BCC-A3AF-83D4-94E4-A44A9BBD96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66675</xdr:colOff>
      <xdr:row>25</xdr:row>
      <xdr:rowOff>9525</xdr:rowOff>
    </xdr:from>
    <xdr:to>
      <xdr:col>11</xdr:col>
      <xdr:colOff>104775</xdr:colOff>
      <xdr:row>39</xdr:row>
      <xdr:rowOff>9525</xdr:rowOff>
    </xdr:to>
    <xdr:graphicFrame macro="">
      <xdr:nvGraphicFramePr>
        <xdr:cNvPr id="7294373" name="Chart 2">
          <a:extLst>
            <a:ext uri="{FF2B5EF4-FFF2-40B4-BE49-F238E27FC236}">
              <a16:creationId xmlns:a16="http://schemas.microsoft.com/office/drawing/2014/main" id="{A0A14BBF-6B28-1F68-6728-B522A6FBD7D1}"/>
            </a:ext>
            <a:ext uri="{147F2762-F138-4A5C-976F-8EAC2B608ADB}">
              <a16:predDERef xmlns:a16="http://schemas.microsoft.com/office/drawing/2014/main" pred="{80262BCC-A3AF-83D4-94E4-A44A9BBD96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66675</xdr:colOff>
      <xdr:row>4</xdr:row>
      <xdr:rowOff>9525</xdr:rowOff>
    </xdr:from>
    <xdr:to>
      <xdr:col>24</xdr:col>
      <xdr:colOff>133350</xdr:colOff>
      <xdr:row>18</xdr:row>
      <xdr:rowOff>9525</xdr:rowOff>
    </xdr:to>
    <xdr:graphicFrame macro="">
      <xdr:nvGraphicFramePr>
        <xdr:cNvPr id="7294374" name="Chart 3">
          <a:extLst>
            <a:ext uri="{FF2B5EF4-FFF2-40B4-BE49-F238E27FC236}">
              <a16:creationId xmlns:a16="http://schemas.microsoft.com/office/drawing/2014/main" id="{05837711-61BE-FFDF-2AAF-FDDFC857DEA7}"/>
            </a:ext>
            <a:ext uri="{147F2762-F138-4A5C-976F-8EAC2B608ADB}">
              <a16:predDERef xmlns:a16="http://schemas.microsoft.com/office/drawing/2014/main" pred="{A0A14BBF-6B28-1F68-6728-B522A6FBD7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66675</xdr:colOff>
      <xdr:row>25</xdr:row>
      <xdr:rowOff>9525</xdr:rowOff>
    </xdr:from>
    <xdr:to>
      <xdr:col>24</xdr:col>
      <xdr:colOff>133350</xdr:colOff>
      <xdr:row>39</xdr:row>
      <xdr:rowOff>9525</xdr:rowOff>
    </xdr:to>
    <xdr:graphicFrame macro="">
      <xdr:nvGraphicFramePr>
        <xdr:cNvPr id="7294375" name="Chart 4">
          <a:extLst>
            <a:ext uri="{FF2B5EF4-FFF2-40B4-BE49-F238E27FC236}">
              <a16:creationId xmlns:a16="http://schemas.microsoft.com/office/drawing/2014/main" id="{A0F24AB5-FFFF-7CB0-969C-A21159DEB036}"/>
            </a:ext>
            <a:ext uri="{147F2762-F138-4A5C-976F-8EAC2B608ADB}">
              <a16:predDERef xmlns:a16="http://schemas.microsoft.com/office/drawing/2014/main" pred="{05837711-61BE-FFDF-2AAF-FDDFC857DE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66675</xdr:colOff>
      <xdr:row>41</xdr:row>
      <xdr:rowOff>0</xdr:rowOff>
    </xdr:from>
    <xdr:to>
      <xdr:col>11</xdr:col>
      <xdr:colOff>104775</xdr:colOff>
      <xdr:row>41</xdr:row>
      <xdr:rowOff>0</xdr:rowOff>
    </xdr:to>
    <xdr:graphicFrame macro="">
      <xdr:nvGraphicFramePr>
        <xdr:cNvPr id="7294376" name="Chart 2">
          <a:extLst>
            <a:ext uri="{FF2B5EF4-FFF2-40B4-BE49-F238E27FC236}">
              <a16:creationId xmlns:a16="http://schemas.microsoft.com/office/drawing/2014/main" id="{506D8168-D810-27DC-7787-C8D8F1A836F9}"/>
            </a:ext>
            <a:ext uri="{147F2762-F138-4A5C-976F-8EAC2B608ADB}">
              <a16:predDERef xmlns:a16="http://schemas.microsoft.com/office/drawing/2014/main" pred="{A0F24AB5-FFFF-7CB0-969C-A21159DEB0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66675</xdr:colOff>
      <xdr:row>4</xdr:row>
      <xdr:rowOff>9525</xdr:rowOff>
    </xdr:from>
    <xdr:to>
      <xdr:col>38</xdr:col>
      <xdr:colOff>133350</xdr:colOff>
      <xdr:row>18</xdr:row>
      <xdr:rowOff>9525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FBFD4432-A0F1-4B6E-9B10-4D7D2C205C63}"/>
            </a:ext>
            <a:ext uri="{147F2762-F138-4A5C-976F-8EAC2B608ADB}">
              <a16:predDERef xmlns:a16="http://schemas.microsoft.com/office/drawing/2014/main" pred="{506D8168-D810-27DC-7787-C8D8F1A836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brserco.sharepoint.com/sites/SercoTestEvidenceRepository/Shared%20Documents/Forms/AllItems.aspx?id=%2Fsites%2FSercoTestEvidenceRepository%2FShared%20Documents%2FSerco%20Test%20Evidence%20Repository%2F2026%2D07%2DA%20%2D%20July%20Release%2FTest%20Evidence%20Screenshots&amp;viewid=c9881c02%2D3a11%2D47cf%2Da090%2D08b1e89356f0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910B1-E8B2-4E3B-9023-D8DBEB808A73}">
  <dimension ref="C4:H129"/>
  <sheetViews>
    <sheetView workbookViewId="0">
      <selection activeCell="I20" sqref="I20"/>
    </sheetView>
  </sheetViews>
  <sheetFormatPr baseColWidth="10" defaultColWidth="8.83203125" defaultRowHeight="15" x14ac:dyDescent="0.2"/>
  <cols>
    <col min="1" max="2" width="8.83203125" style="208"/>
    <col min="3" max="3" width="16.33203125" style="208" customWidth="1"/>
    <col min="4" max="4" width="24.5" style="208" customWidth="1"/>
    <col min="5" max="5" width="67.33203125" style="208" customWidth="1"/>
    <col min="6" max="12" width="27.1640625" style="208" customWidth="1"/>
    <col min="13" max="16384" width="8.83203125" style="208"/>
  </cols>
  <sheetData>
    <row r="4" spans="3:7" ht="16" x14ac:dyDescent="0.2">
      <c r="C4" s="357" t="s">
        <v>0</v>
      </c>
      <c r="D4" s="357"/>
      <c r="E4" s="357"/>
    </row>
    <row r="5" spans="3:7" x14ac:dyDescent="0.2">
      <c r="C5" s="209" t="s">
        <v>1</v>
      </c>
      <c r="D5" s="358" t="s">
        <v>2</v>
      </c>
      <c r="E5" s="358"/>
      <c r="G5"/>
    </row>
    <row r="6" spans="3:7" ht="14.5" customHeight="1" x14ac:dyDescent="0.2">
      <c r="C6" s="209" t="s">
        <v>1</v>
      </c>
      <c r="D6" s="359" t="s">
        <v>3</v>
      </c>
      <c r="E6" s="360"/>
      <c r="G6"/>
    </row>
    <row r="7" spans="3:7" x14ac:dyDescent="0.2">
      <c r="C7" s="209" t="s">
        <v>4</v>
      </c>
      <c r="D7" s="358" t="s">
        <v>5</v>
      </c>
      <c r="E7" s="358"/>
      <c r="G7"/>
    </row>
    <row r="8" spans="3:7" x14ac:dyDescent="0.2">
      <c r="C8" s="209" t="s">
        <v>6</v>
      </c>
      <c r="D8" s="358" t="s">
        <v>7</v>
      </c>
      <c r="E8" s="358"/>
      <c r="G8"/>
    </row>
    <row r="9" spans="3:7" x14ac:dyDescent="0.2">
      <c r="C9" s="210"/>
      <c r="D9" s="211"/>
      <c r="E9" s="211"/>
    </row>
    <row r="10" spans="3:7" ht="16" x14ac:dyDescent="0.2">
      <c r="C10" s="351" t="s">
        <v>8</v>
      </c>
      <c r="D10" s="352"/>
      <c r="E10" s="352"/>
    </row>
    <row r="11" spans="3:7" x14ac:dyDescent="0.2">
      <c r="C11" s="212" t="s">
        <v>9</v>
      </c>
      <c r="D11" s="212" t="s">
        <v>10</v>
      </c>
      <c r="E11" s="212" t="s">
        <v>11</v>
      </c>
    </row>
    <row r="12" spans="3:7" x14ac:dyDescent="0.2">
      <c r="C12" s="217">
        <v>0.1</v>
      </c>
      <c r="D12" s="235">
        <v>46239</v>
      </c>
      <c r="E12" s="218" t="s">
        <v>12</v>
      </c>
    </row>
    <row r="13" spans="3:7" x14ac:dyDescent="0.2">
      <c r="C13" s="219"/>
      <c r="D13" s="237"/>
      <c r="E13" s="238"/>
    </row>
    <row r="14" spans="3:7" x14ac:dyDescent="0.2">
      <c r="C14" s="215"/>
      <c r="D14" s="236"/>
      <c r="E14" s="214"/>
    </row>
    <row r="15" spans="3:7" x14ac:dyDescent="0.2">
      <c r="C15" s="216"/>
      <c r="D15" s="236"/>
      <c r="E15" s="214"/>
    </row>
    <row r="16" spans="3:7" x14ac:dyDescent="0.2">
      <c r="C16" s="213"/>
      <c r="D16" s="236"/>
      <c r="E16" s="214"/>
    </row>
    <row r="17" spans="3:8" x14ac:dyDescent="0.2">
      <c r="C17" s="211"/>
      <c r="D17" s="211"/>
      <c r="E17" s="211"/>
    </row>
    <row r="18" spans="3:8" ht="16" x14ac:dyDescent="0.2">
      <c r="C18" s="351" t="s">
        <v>13</v>
      </c>
      <c r="D18" s="352"/>
      <c r="E18" s="352"/>
    </row>
    <row r="19" spans="3:8" x14ac:dyDescent="0.2">
      <c r="C19" s="355" t="s">
        <v>14</v>
      </c>
      <c r="D19" s="356"/>
      <c r="E19" s="349" t="s">
        <v>15</v>
      </c>
      <c r="F19" s="335"/>
    </row>
    <row r="20" spans="3:8" x14ac:dyDescent="0.2">
      <c r="C20" s="211"/>
      <c r="D20" s="211"/>
      <c r="E20" s="211"/>
    </row>
    <row r="21" spans="3:8" ht="16" x14ac:dyDescent="0.2">
      <c r="C21" s="351" t="s">
        <v>16</v>
      </c>
      <c r="D21" s="352"/>
      <c r="E21" s="352"/>
    </row>
    <row r="22" spans="3:8" x14ac:dyDescent="0.2">
      <c r="C22" s="353" t="s">
        <v>17</v>
      </c>
      <c r="D22" s="354"/>
      <c r="E22" s="354"/>
    </row>
    <row r="23" spans="3:8" x14ac:dyDescent="0.2">
      <c r="C23" s="339" t="s">
        <v>18</v>
      </c>
      <c r="D23" s="339" t="s">
        <v>19</v>
      </c>
      <c r="E23" s="339" t="s">
        <v>20</v>
      </c>
    </row>
    <row r="24" spans="3:8" x14ac:dyDescent="0.2">
      <c r="C24" s="151" t="s">
        <v>21</v>
      </c>
      <c r="D24" s="336" t="s">
        <v>22</v>
      </c>
      <c r="E24" s="337" t="s">
        <v>23</v>
      </c>
    </row>
    <row r="25" spans="3:8" x14ac:dyDescent="0.2">
      <c r="C25" s="151" t="s">
        <v>24</v>
      </c>
      <c r="D25" s="336" t="s">
        <v>22</v>
      </c>
      <c r="E25" s="338" t="s">
        <v>25</v>
      </c>
    </row>
    <row r="26" spans="3:8" x14ac:dyDescent="0.2">
      <c r="C26" s="151" t="s">
        <v>26</v>
      </c>
      <c r="D26" s="336" t="s">
        <v>22</v>
      </c>
      <c r="E26" s="337" t="s">
        <v>27</v>
      </c>
      <c r="G26" s="231"/>
      <c r="H26" s="231"/>
    </row>
    <row r="27" spans="3:8" x14ac:dyDescent="0.2">
      <c r="C27" s="151" t="s">
        <v>28</v>
      </c>
      <c r="D27" s="336" t="s">
        <v>22</v>
      </c>
      <c r="E27" s="338" t="s">
        <v>29</v>
      </c>
      <c r="G27" s="231"/>
      <c r="H27" s="231"/>
    </row>
    <row r="28" spans="3:8" x14ac:dyDescent="0.2">
      <c r="C28" s="151" t="s">
        <v>30</v>
      </c>
      <c r="D28" s="336" t="s">
        <v>22</v>
      </c>
      <c r="E28" s="337" t="s">
        <v>31</v>
      </c>
      <c r="G28" s="231"/>
      <c r="H28" s="231"/>
    </row>
    <row r="29" spans="3:8" x14ac:dyDescent="0.2">
      <c r="C29" s="151" t="s">
        <v>32</v>
      </c>
      <c r="D29" s="336" t="s">
        <v>22</v>
      </c>
      <c r="E29" s="338" t="s">
        <v>33</v>
      </c>
      <c r="G29" s="231"/>
      <c r="H29" s="231"/>
    </row>
    <row r="30" spans="3:8" x14ac:dyDescent="0.2">
      <c r="C30" s="151" t="s">
        <v>34</v>
      </c>
      <c r="D30" s="336" t="s">
        <v>22</v>
      </c>
      <c r="E30" s="337" t="s">
        <v>35</v>
      </c>
      <c r="G30" s="231"/>
      <c r="H30" s="231"/>
    </row>
    <row r="31" spans="3:8" x14ac:dyDescent="0.2">
      <c r="C31" s="151" t="s">
        <v>36</v>
      </c>
      <c r="D31" s="336" t="s">
        <v>22</v>
      </c>
      <c r="E31" s="338" t="s">
        <v>37</v>
      </c>
    </row>
    <row r="32" spans="3:8" x14ac:dyDescent="0.2">
      <c r="C32" s="151" t="s">
        <v>38</v>
      </c>
      <c r="D32" s="336" t="s">
        <v>22</v>
      </c>
      <c r="E32" s="337" t="s">
        <v>39</v>
      </c>
      <c r="G32" s="231"/>
      <c r="H32" s="231"/>
    </row>
    <row r="33" spans="3:8" x14ac:dyDescent="0.2">
      <c r="C33" s="151" t="s">
        <v>40</v>
      </c>
      <c r="D33" s="336" t="s">
        <v>22</v>
      </c>
      <c r="E33" s="338" t="s">
        <v>41</v>
      </c>
      <c r="G33" s="231"/>
      <c r="H33" s="231"/>
    </row>
    <row r="34" spans="3:8" x14ac:dyDescent="0.2">
      <c r="C34" s="151" t="s">
        <v>42</v>
      </c>
      <c r="D34" s="336" t="s">
        <v>22</v>
      </c>
      <c r="E34" s="337" t="s">
        <v>43</v>
      </c>
    </row>
    <row r="35" spans="3:8" x14ac:dyDescent="0.2">
      <c r="C35" s="151" t="s">
        <v>44</v>
      </c>
      <c r="D35" s="336" t="s">
        <v>22</v>
      </c>
      <c r="E35" s="338" t="s">
        <v>45</v>
      </c>
    </row>
    <row r="36" spans="3:8" x14ac:dyDescent="0.2">
      <c r="C36" s="151" t="s">
        <v>46</v>
      </c>
      <c r="D36" s="336" t="s">
        <v>22</v>
      </c>
      <c r="E36" s="337" t="s">
        <v>47</v>
      </c>
    </row>
    <row r="37" spans="3:8" x14ac:dyDescent="0.2">
      <c r="C37" s="151" t="s">
        <v>48</v>
      </c>
      <c r="D37" s="336" t="s">
        <v>22</v>
      </c>
      <c r="E37" s="338" t="s">
        <v>49</v>
      </c>
    </row>
    <row r="38" spans="3:8" x14ac:dyDescent="0.2">
      <c r="C38" s="151" t="s">
        <v>50</v>
      </c>
      <c r="D38" s="336" t="s">
        <v>22</v>
      </c>
      <c r="E38" s="337" t="s">
        <v>51</v>
      </c>
    </row>
    <row r="39" spans="3:8" x14ac:dyDescent="0.2">
      <c r="C39" s="151" t="s">
        <v>52</v>
      </c>
      <c r="D39" s="336" t="s">
        <v>22</v>
      </c>
      <c r="E39" s="338" t="s">
        <v>53</v>
      </c>
    </row>
    <row r="40" spans="3:8" x14ac:dyDescent="0.2">
      <c r="C40" s="151" t="s">
        <v>54</v>
      </c>
      <c r="D40" s="336" t="s">
        <v>22</v>
      </c>
      <c r="E40" s="337" t="s">
        <v>55</v>
      </c>
    </row>
    <row r="41" spans="3:8" x14ac:dyDescent="0.2">
      <c r="C41" s="151" t="s">
        <v>56</v>
      </c>
      <c r="D41" s="336" t="s">
        <v>22</v>
      </c>
      <c r="E41" s="338" t="s">
        <v>57</v>
      </c>
    </row>
    <row r="42" spans="3:8" x14ac:dyDescent="0.2">
      <c r="C42" s="151" t="s">
        <v>58</v>
      </c>
      <c r="D42" s="336" t="s">
        <v>22</v>
      </c>
      <c r="E42" s="337" t="s">
        <v>59</v>
      </c>
      <c r="F42"/>
    </row>
    <row r="43" spans="3:8" x14ac:dyDescent="0.2">
      <c r="C43" s="151" t="s">
        <v>60</v>
      </c>
      <c r="D43" s="336" t="s">
        <v>22</v>
      </c>
      <c r="E43" s="338" t="s">
        <v>61</v>
      </c>
      <c r="F43"/>
    </row>
    <row r="44" spans="3:8" x14ac:dyDescent="0.2">
      <c r="C44" s="151" t="s">
        <v>62</v>
      </c>
      <c r="D44" s="336" t="s">
        <v>22</v>
      </c>
      <c r="E44" s="337" t="s">
        <v>63</v>
      </c>
      <c r="F44"/>
    </row>
    <row r="45" spans="3:8" x14ac:dyDescent="0.2">
      <c r="C45" s="151" t="s">
        <v>64</v>
      </c>
      <c r="D45" s="336" t="s">
        <v>22</v>
      </c>
      <c r="E45" s="338" t="s">
        <v>65</v>
      </c>
      <c r="F45"/>
    </row>
    <row r="46" spans="3:8" x14ac:dyDescent="0.2">
      <c r="C46" s="151" t="s">
        <v>66</v>
      </c>
      <c r="D46" s="336" t="s">
        <v>22</v>
      </c>
      <c r="E46" s="337" t="s">
        <v>67</v>
      </c>
      <c r="F46"/>
    </row>
    <row r="47" spans="3:8" x14ac:dyDescent="0.2">
      <c r="C47" s="151" t="s">
        <v>68</v>
      </c>
      <c r="D47" s="336" t="s">
        <v>22</v>
      </c>
      <c r="E47" s="338" t="s">
        <v>69</v>
      </c>
      <c r="F47"/>
    </row>
    <row r="48" spans="3:8" x14ac:dyDescent="0.2">
      <c r="C48" s="151" t="s">
        <v>70</v>
      </c>
      <c r="D48" s="336" t="s">
        <v>22</v>
      </c>
      <c r="E48" s="337" t="s">
        <v>71</v>
      </c>
      <c r="F48"/>
    </row>
    <row r="49" spans="3:6" x14ac:dyDescent="0.2">
      <c r="C49" s="151" t="s">
        <v>72</v>
      </c>
      <c r="D49" s="336" t="s">
        <v>22</v>
      </c>
      <c r="E49" s="338" t="s">
        <v>73</v>
      </c>
      <c r="F49"/>
    </row>
    <row r="50" spans="3:6" x14ac:dyDescent="0.2">
      <c r="C50" s="151" t="s">
        <v>74</v>
      </c>
      <c r="D50" s="336" t="s">
        <v>22</v>
      </c>
      <c r="E50" s="337" t="s">
        <v>75</v>
      </c>
      <c r="F50"/>
    </row>
    <row r="51" spans="3:6" x14ac:dyDescent="0.2">
      <c r="C51" s="151" t="s">
        <v>76</v>
      </c>
      <c r="D51" s="336" t="s">
        <v>22</v>
      </c>
      <c r="E51" s="338" t="s">
        <v>77</v>
      </c>
      <c r="F51"/>
    </row>
    <row r="52" spans="3:6" x14ac:dyDescent="0.2">
      <c r="C52" s="151" t="s">
        <v>78</v>
      </c>
      <c r="D52" s="336" t="s">
        <v>22</v>
      </c>
      <c r="E52" s="337" t="s">
        <v>79</v>
      </c>
    </row>
    <row r="53" spans="3:6" x14ac:dyDescent="0.2">
      <c r="C53" s="151" t="s">
        <v>80</v>
      </c>
      <c r="D53" s="336" t="s">
        <v>22</v>
      </c>
      <c r="E53" s="338" t="s">
        <v>81</v>
      </c>
    </row>
    <row r="54" spans="3:6" x14ac:dyDescent="0.2">
      <c r="C54" s="151" t="s">
        <v>82</v>
      </c>
      <c r="D54" s="336" t="s">
        <v>22</v>
      </c>
      <c r="E54" s="337" t="s">
        <v>83</v>
      </c>
    </row>
    <row r="55" spans="3:6" x14ac:dyDescent="0.2">
      <c r="C55" s="151" t="s">
        <v>84</v>
      </c>
      <c r="D55" s="336" t="s">
        <v>22</v>
      </c>
      <c r="E55" s="338" t="s">
        <v>85</v>
      </c>
    </row>
    <row r="56" spans="3:6" x14ac:dyDescent="0.2">
      <c r="C56" s="151" t="s">
        <v>86</v>
      </c>
      <c r="D56" s="336" t="s">
        <v>22</v>
      </c>
      <c r="E56" s="337" t="s">
        <v>87</v>
      </c>
    </row>
    <row r="57" spans="3:6" x14ac:dyDescent="0.2">
      <c r="C57" s="151" t="s">
        <v>88</v>
      </c>
      <c r="D57" s="336" t="s">
        <v>22</v>
      </c>
      <c r="E57" s="338" t="s">
        <v>89</v>
      </c>
    </row>
    <row r="58" spans="3:6" x14ac:dyDescent="0.2">
      <c r="C58" s="151" t="s">
        <v>90</v>
      </c>
      <c r="D58" s="336" t="s">
        <v>22</v>
      </c>
      <c r="E58" s="337" t="s">
        <v>91</v>
      </c>
    </row>
    <row r="59" spans="3:6" x14ac:dyDescent="0.2">
      <c r="C59" s="151" t="s">
        <v>92</v>
      </c>
      <c r="D59" s="336" t="s">
        <v>22</v>
      </c>
      <c r="E59" s="338" t="s">
        <v>93</v>
      </c>
    </row>
    <row r="60" spans="3:6" x14ac:dyDescent="0.2">
      <c r="C60" s="151" t="s">
        <v>94</v>
      </c>
      <c r="D60" s="336" t="s">
        <v>22</v>
      </c>
      <c r="E60" s="337" t="s">
        <v>95</v>
      </c>
    </row>
    <row r="61" spans="3:6" x14ac:dyDescent="0.2">
      <c r="C61" s="151" t="s">
        <v>96</v>
      </c>
      <c r="D61" s="336" t="s">
        <v>22</v>
      </c>
      <c r="E61" s="338" t="s">
        <v>97</v>
      </c>
    </row>
    <row r="62" spans="3:6" x14ac:dyDescent="0.2">
      <c r="C62" s="151" t="s">
        <v>98</v>
      </c>
      <c r="D62" s="336" t="s">
        <v>22</v>
      </c>
      <c r="E62" s="337" t="s">
        <v>99</v>
      </c>
    </row>
    <row r="63" spans="3:6" x14ac:dyDescent="0.2">
      <c r="C63" s="151" t="s">
        <v>100</v>
      </c>
      <c r="D63" s="336" t="s">
        <v>22</v>
      </c>
      <c r="E63" s="338" t="s">
        <v>101</v>
      </c>
    </row>
    <row r="64" spans="3:6" x14ac:dyDescent="0.2">
      <c r="C64" s="151" t="s">
        <v>102</v>
      </c>
      <c r="D64" s="336" t="s">
        <v>22</v>
      </c>
      <c r="E64" s="337" t="s">
        <v>103</v>
      </c>
    </row>
    <row r="65" spans="3:5" x14ac:dyDescent="0.2">
      <c r="C65" s="151" t="s">
        <v>104</v>
      </c>
      <c r="D65" s="336" t="s">
        <v>22</v>
      </c>
      <c r="E65" s="338" t="s">
        <v>105</v>
      </c>
    </row>
    <row r="66" spans="3:5" x14ac:dyDescent="0.2">
      <c r="C66" s="151" t="s">
        <v>106</v>
      </c>
      <c r="D66" s="336" t="s">
        <v>22</v>
      </c>
      <c r="E66" s="337" t="s">
        <v>107</v>
      </c>
    </row>
    <row r="67" spans="3:5" x14ac:dyDescent="0.2">
      <c r="C67" s="151" t="s">
        <v>108</v>
      </c>
      <c r="D67" s="336" t="s">
        <v>22</v>
      </c>
      <c r="E67" s="338" t="s">
        <v>109</v>
      </c>
    </row>
    <row r="68" spans="3:5" x14ac:dyDescent="0.2">
      <c r="C68" s="151" t="s">
        <v>110</v>
      </c>
      <c r="D68" s="336" t="s">
        <v>22</v>
      </c>
      <c r="E68" s="337" t="s">
        <v>111</v>
      </c>
    </row>
    <row r="69" spans="3:5" x14ac:dyDescent="0.2">
      <c r="C69" s="151" t="s">
        <v>112</v>
      </c>
      <c r="D69" s="336" t="s">
        <v>22</v>
      </c>
      <c r="E69" s="338" t="s">
        <v>113</v>
      </c>
    </row>
    <row r="70" spans="3:5" x14ac:dyDescent="0.2">
      <c r="C70" s="151" t="s">
        <v>114</v>
      </c>
      <c r="D70" s="336" t="s">
        <v>22</v>
      </c>
      <c r="E70" s="337" t="s">
        <v>115</v>
      </c>
    </row>
    <row r="71" spans="3:5" x14ac:dyDescent="0.2">
      <c r="C71" s="151" t="s">
        <v>116</v>
      </c>
      <c r="D71" s="336" t="s">
        <v>22</v>
      </c>
      <c r="E71" s="338" t="s">
        <v>117</v>
      </c>
    </row>
    <row r="72" spans="3:5" x14ac:dyDescent="0.2">
      <c r="C72" s="151" t="s">
        <v>118</v>
      </c>
      <c r="D72" s="336" t="s">
        <v>22</v>
      </c>
      <c r="E72" s="337" t="s">
        <v>119</v>
      </c>
    </row>
    <row r="73" spans="3:5" x14ac:dyDescent="0.2">
      <c r="C73" s="151" t="s">
        <v>120</v>
      </c>
      <c r="D73" s="336" t="s">
        <v>22</v>
      </c>
      <c r="E73" s="338" t="s">
        <v>121</v>
      </c>
    </row>
    <row r="74" spans="3:5" x14ac:dyDescent="0.2">
      <c r="C74" s="151" t="s">
        <v>122</v>
      </c>
      <c r="D74" s="336" t="s">
        <v>22</v>
      </c>
      <c r="E74" s="337" t="s">
        <v>123</v>
      </c>
    </row>
    <row r="75" spans="3:5" x14ac:dyDescent="0.2">
      <c r="C75" s="151" t="s">
        <v>124</v>
      </c>
      <c r="D75" s="336" t="s">
        <v>22</v>
      </c>
      <c r="E75" s="338" t="s">
        <v>125</v>
      </c>
    </row>
    <row r="76" spans="3:5" x14ac:dyDescent="0.2">
      <c r="C76" s="151" t="s">
        <v>126</v>
      </c>
      <c r="D76" s="336" t="s">
        <v>22</v>
      </c>
      <c r="E76" s="337" t="s">
        <v>127</v>
      </c>
    </row>
    <row r="77" spans="3:5" x14ac:dyDescent="0.2">
      <c r="C77" s="151" t="s">
        <v>128</v>
      </c>
      <c r="D77" s="336" t="s">
        <v>22</v>
      </c>
      <c r="E77" s="338" t="s">
        <v>129</v>
      </c>
    </row>
    <row r="78" spans="3:5" x14ac:dyDescent="0.2">
      <c r="C78" s="151" t="s">
        <v>130</v>
      </c>
      <c r="D78" s="336" t="s">
        <v>22</v>
      </c>
      <c r="E78" s="337" t="s">
        <v>131</v>
      </c>
    </row>
    <row r="79" spans="3:5" x14ac:dyDescent="0.2">
      <c r="C79" s="151" t="s">
        <v>132</v>
      </c>
      <c r="D79" s="336" t="s">
        <v>22</v>
      </c>
      <c r="E79" s="338" t="s">
        <v>133</v>
      </c>
    </row>
    <row r="80" spans="3:5" x14ac:dyDescent="0.2">
      <c r="C80" s="151" t="s">
        <v>134</v>
      </c>
      <c r="D80" s="336" t="s">
        <v>22</v>
      </c>
      <c r="E80" s="337" t="s">
        <v>135</v>
      </c>
    </row>
    <row r="81" spans="3:5" x14ac:dyDescent="0.2">
      <c r="C81" s="151" t="s">
        <v>136</v>
      </c>
      <c r="D81" s="336" t="s">
        <v>22</v>
      </c>
      <c r="E81" s="338" t="s">
        <v>137</v>
      </c>
    </row>
    <row r="82" spans="3:5" x14ac:dyDescent="0.2">
      <c r="C82" s="151" t="s">
        <v>138</v>
      </c>
      <c r="D82" s="336" t="s">
        <v>22</v>
      </c>
      <c r="E82" s="337" t="s">
        <v>139</v>
      </c>
    </row>
    <row r="83" spans="3:5" x14ac:dyDescent="0.2">
      <c r="C83" s="151" t="s">
        <v>140</v>
      </c>
      <c r="D83" s="336" t="s">
        <v>22</v>
      </c>
      <c r="E83" s="338" t="s">
        <v>141</v>
      </c>
    </row>
    <row r="84" spans="3:5" x14ac:dyDescent="0.2">
      <c r="C84" s="151" t="s">
        <v>142</v>
      </c>
      <c r="D84" s="336" t="s">
        <v>22</v>
      </c>
      <c r="E84" s="337" t="s">
        <v>143</v>
      </c>
    </row>
    <row r="85" spans="3:5" x14ac:dyDescent="0.2">
      <c r="C85" s="151" t="s">
        <v>144</v>
      </c>
      <c r="D85" s="336" t="s">
        <v>22</v>
      </c>
      <c r="E85" s="338" t="s">
        <v>145</v>
      </c>
    </row>
    <row r="86" spans="3:5" x14ac:dyDescent="0.2">
      <c r="C86" s="151" t="s">
        <v>146</v>
      </c>
      <c r="D86" s="336" t="s">
        <v>22</v>
      </c>
      <c r="E86" s="337" t="s">
        <v>147</v>
      </c>
    </row>
    <row r="87" spans="3:5" x14ac:dyDescent="0.2">
      <c r="C87" s="151" t="s">
        <v>148</v>
      </c>
      <c r="D87" s="336" t="s">
        <v>22</v>
      </c>
      <c r="E87" s="338" t="s">
        <v>149</v>
      </c>
    </row>
    <row r="88" spans="3:5" x14ac:dyDescent="0.2">
      <c r="C88" s="151" t="s">
        <v>150</v>
      </c>
      <c r="D88" s="336" t="s">
        <v>22</v>
      </c>
      <c r="E88" s="337" t="s">
        <v>151</v>
      </c>
    </row>
    <row r="89" spans="3:5" x14ac:dyDescent="0.2">
      <c r="C89" s="151" t="s">
        <v>152</v>
      </c>
      <c r="D89" s="336" t="s">
        <v>22</v>
      </c>
      <c r="E89" s="338" t="s">
        <v>153</v>
      </c>
    </row>
    <row r="90" spans="3:5" x14ac:dyDescent="0.2">
      <c r="C90" s="151" t="s">
        <v>154</v>
      </c>
      <c r="D90" s="336" t="s">
        <v>22</v>
      </c>
      <c r="E90" s="337" t="s">
        <v>155</v>
      </c>
    </row>
    <row r="91" spans="3:5" x14ac:dyDescent="0.2">
      <c r="C91" s="151" t="s">
        <v>156</v>
      </c>
      <c r="D91" s="336" t="s">
        <v>22</v>
      </c>
      <c r="E91" s="338" t="s">
        <v>157</v>
      </c>
    </row>
    <row r="92" spans="3:5" x14ac:dyDescent="0.2">
      <c r="C92" s="151" t="s">
        <v>158</v>
      </c>
      <c r="D92" s="336" t="s">
        <v>22</v>
      </c>
      <c r="E92" s="337" t="s">
        <v>159</v>
      </c>
    </row>
    <row r="93" spans="3:5" x14ac:dyDescent="0.2">
      <c r="C93" s="151" t="s">
        <v>160</v>
      </c>
      <c r="D93" s="336" t="s">
        <v>22</v>
      </c>
      <c r="E93" s="338" t="s">
        <v>161</v>
      </c>
    </row>
    <row r="94" spans="3:5" x14ac:dyDescent="0.2">
      <c r="C94" s="151" t="s">
        <v>162</v>
      </c>
      <c r="D94" s="336" t="s">
        <v>22</v>
      </c>
      <c r="E94" s="337" t="s">
        <v>163</v>
      </c>
    </row>
    <row r="95" spans="3:5" x14ac:dyDescent="0.2">
      <c r="C95" s="151" t="s">
        <v>164</v>
      </c>
      <c r="D95" s="336" t="s">
        <v>22</v>
      </c>
      <c r="E95" s="338" t="s">
        <v>165</v>
      </c>
    </row>
    <row r="96" spans="3:5" x14ac:dyDescent="0.2">
      <c r="C96" s="151" t="s">
        <v>166</v>
      </c>
      <c r="D96" s="336" t="s">
        <v>22</v>
      </c>
      <c r="E96" s="337" t="s">
        <v>167</v>
      </c>
    </row>
    <row r="97" spans="3:5" x14ac:dyDescent="0.2">
      <c r="C97" s="151" t="s">
        <v>168</v>
      </c>
      <c r="D97" s="336" t="s">
        <v>22</v>
      </c>
      <c r="E97" s="338" t="s">
        <v>169</v>
      </c>
    </row>
    <row r="98" spans="3:5" x14ac:dyDescent="0.2">
      <c r="C98" s="151" t="s">
        <v>170</v>
      </c>
      <c r="D98" s="336" t="s">
        <v>22</v>
      </c>
      <c r="E98" s="337" t="s">
        <v>171</v>
      </c>
    </row>
    <row r="99" spans="3:5" x14ac:dyDescent="0.2">
      <c r="C99" s="151" t="s">
        <v>172</v>
      </c>
      <c r="D99" s="336" t="s">
        <v>22</v>
      </c>
      <c r="E99" s="338" t="s">
        <v>173</v>
      </c>
    </row>
    <row r="100" spans="3:5" x14ac:dyDescent="0.2">
      <c r="C100" s="151" t="s">
        <v>174</v>
      </c>
      <c r="D100" s="336" t="s">
        <v>22</v>
      </c>
      <c r="E100" s="337" t="s">
        <v>175</v>
      </c>
    </row>
    <row r="101" spans="3:5" x14ac:dyDescent="0.2">
      <c r="C101" s="151" t="s">
        <v>176</v>
      </c>
      <c r="D101" s="336" t="s">
        <v>22</v>
      </c>
      <c r="E101" s="338" t="s">
        <v>177</v>
      </c>
    </row>
    <row r="102" spans="3:5" x14ac:dyDescent="0.2">
      <c r="C102" s="151" t="s">
        <v>178</v>
      </c>
      <c r="D102" s="336" t="s">
        <v>22</v>
      </c>
      <c r="E102" s="337" t="s">
        <v>179</v>
      </c>
    </row>
    <row r="103" spans="3:5" x14ac:dyDescent="0.2">
      <c r="C103" s="151" t="s">
        <v>180</v>
      </c>
      <c r="D103" s="336" t="s">
        <v>22</v>
      </c>
      <c r="E103" s="338" t="s">
        <v>181</v>
      </c>
    </row>
    <row r="104" spans="3:5" x14ac:dyDescent="0.2">
      <c r="C104" s="151" t="s">
        <v>182</v>
      </c>
      <c r="D104" s="336" t="s">
        <v>22</v>
      </c>
      <c r="E104" s="337" t="s">
        <v>183</v>
      </c>
    </row>
    <row r="105" spans="3:5" x14ac:dyDescent="0.2">
      <c r="C105" s="151" t="s">
        <v>184</v>
      </c>
      <c r="D105" s="336" t="s">
        <v>22</v>
      </c>
      <c r="E105" s="338" t="s">
        <v>185</v>
      </c>
    </row>
    <row r="106" spans="3:5" x14ac:dyDescent="0.2">
      <c r="C106" s="151" t="s">
        <v>186</v>
      </c>
      <c r="D106" s="336" t="s">
        <v>22</v>
      </c>
      <c r="E106" s="337" t="s">
        <v>187</v>
      </c>
    </row>
    <row r="107" spans="3:5" x14ac:dyDescent="0.2">
      <c r="C107" s="151" t="s">
        <v>188</v>
      </c>
      <c r="D107" s="336" t="s">
        <v>22</v>
      </c>
      <c r="E107" s="338" t="s">
        <v>189</v>
      </c>
    </row>
    <row r="108" spans="3:5" x14ac:dyDescent="0.2">
      <c r="C108" s="151" t="s">
        <v>190</v>
      </c>
      <c r="D108" s="336" t="s">
        <v>22</v>
      </c>
      <c r="E108" s="337" t="s">
        <v>191</v>
      </c>
    </row>
    <row r="109" spans="3:5" x14ac:dyDescent="0.2">
      <c r="C109" s="151" t="s">
        <v>192</v>
      </c>
      <c r="D109" s="336" t="s">
        <v>22</v>
      </c>
      <c r="E109" s="338" t="s">
        <v>193</v>
      </c>
    </row>
    <row r="110" spans="3:5" x14ac:dyDescent="0.2">
      <c r="C110" s="151" t="s">
        <v>194</v>
      </c>
      <c r="D110" s="336" t="s">
        <v>22</v>
      </c>
      <c r="E110" s="337" t="s">
        <v>195</v>
      </c>
    </row>
    <row r="111" spans="3:5" x14ac:dyDescent="0.2">
      <c r="C111" s="151" t="s">
        <v>196</v>
      </c>
      <c r="D111" s="336" t="s">
        <v>22</v>
      </c>
      <c r="E111" s="338" t="s">
        <v>197</v>
      </c>
    </row>
    <row r="112" spans="3:5" x14ac:dyDescent="0.2">
      <c r="C112" s="151" t="s">
        <v>198</v>
      </c>
      <c r="D112" s="336" t="s">
        <v>22</v>
      </c>
      <c r="E112" s="338" t="s">
        <v>199</v>
      </c>
    </row>
    <row r="113" spans="3:5" x14ac:dyDescent="0.2">
      <c r="C113" s="151" t="s">
        <v>200</v>
      </c>
      <c r="D113" s="336" t="s">
        <v>22</v>
      </c>
      <c r="E113" s="337" t="s">
        <v>201</v>
      </c>
    </row>
    <row r="114" spans="3:5" x14ac:dyDescent="0.2">
      <c r="C114" s="151" t="s">
        <v>202</v>
      </c>
      <c r="D114" s="336" t="s">
        <v>22</v>
      </c>
      <c r="E114" s="338" t="s">
        <v>203</v>
      </c>
    </row>
    <row r="115" spans="3:5" x14ac:dyDescent="0.2">
      <c r="C115" s="151" t="s">
        <v>204</v>
      </c>
      <c r="D115" s="336" t="s">
        <v>22</v>
      </c>
      <c r="E115" s="337" t="s">
        <v>205</v>
      </c>
    </row>
    <row r="116" spans="3:5" x14ac:dyDescent="0.2">
      <c r="C116" s="151" t="s">
        <v>206</v>
      </c>
      <c r="D116" s="336" t="s">
        <v>22</v>
      </c>
      <c r="E116" s="338" t="s">
        <v>207</v>
      </c>
    </row>
    <row r="117" spans="3:5" x14ac:dyDescent="0.2">
      <c r="C117" s="346" t="s">
        <v>208</v>
      </c>
      <c r="D117" s="347" t="s">
        <v>22</v>
      </c>
      <c r="E117" s="348" t="s">
        <v>209</v>
      </c>
    </row>
    <row r="118" spans="3:5" x14ac:dyDescent="0.2">
      <c r="C118" s="151" t="s">
        <v>210</v>
      </c>
      <c r="D118" s="336" t="s">
        <v>22</v>
      </c>
      <c r="E118" s="337" t="s">
        <v>211</v>
      </c>
    </row>
    <row r="119" spans="3:5" x14ac:dyDescent="0.2">
      <c r="C119" s="151" t="s">
        <v>212</v>
      </c>
      <c r="D119" s="336" t="s">
        <v>22</v>
      </c>
      <c r="E119" s="338" t="s">
        <v>213</v>
      </c>
    </row>
    <row r="120" spans="3:5" x14ac:dyDescent="0.2">
      <c r="C120" s="151" t="s">
        <v>214</v>
      </c>
      <c r="D120" s="336" t="s">
        <v>22</v>
      </c>
      <c r="E120" s="337" t="s">
        <v>215</v>
      </c>
    </row>
    <row r="121" spans="3:5" x14ac:dyDescent="0.2">
      <c r="C121" s="151" t="s">
        <v>216</v>
      </c>
      <c r="D121" s="336" t="s">
        <v>22</v>
      </c>
      <c r="E121" s="338" t="s">
        <v>217</v>
      </c>
    </row>
    <row r="122" spans="3:5" x14ac:dyDescent="0.2">
      <c r="C122" s="151" t="s">
        <v>218</v>
      </c>
      <c r="D122" s="336" t="s">
        <v>22</v>
      </c>
      <c r="E122" s="337" t="s">
        <v>219</v>
      </c>
    </row>
    <row r="123" spans="3:5" x14ac:dyDescent="0.2">
      <c r="C123" s="151" t="s">
        <v>220</v>
      </c>
      <c r="D123" s="336" t="s">
        <v>22</v>
      </c>
      <c r="E123" s="338" t="s">
        <v>221</v>
      </c>
    </row>
    <row r="124" spans="3:5" x14ac:dyDescent="0.2">
      <c r="C124" s="151" t="s">
        <v>222</v>
      </c>
      <c r="D124" s="336" t="s">
        <v>22</v>
      </c>
      <c r="E124" s="337" t="s">
        <v>223</v>
      </c>
    </row>
    <row r="125" spans="3:5" x14ac:dyDescent="0.2">
      <c r="C125" s="151" t="s">
        <v>224</v>
      </c>
      <c r="D125" s="336" t="s">
        <v>22</v>
      </c>
      <c r="E125" s="338" t="s">
        <v>225</v>
      </c>
    </row>
    <row r="126" spans="3:5" x14ac:dyDescent="0.2">
      <c r="C126" s="151" t="s">
        <v>226</v>
      </c>
      <c r="D126" s="336" t="s">
        <v>22</v>
      </c>
      <c r="E126" s="337" t="s">
        <v>227</v>
      </c>
    </row>
    <row r="127" spans="3:5" x14ac:dyDescent="0.2">
      <c r="C127" s="151" t="s">
        <v>228</v>
      </c>
      <c r="D127" s="336" t="s">
        <v>22</v>
      </c>
      <c r="E127" s="338" t="s">
        <v>229</v>
      </c>
    </row>
    <row r="128" spans="3:5" x14ac:dyDescent="0.2">
      <c r="C128" s="151" t="s">
        <v>230</v>
      </c>
      <c r="D128" s="336" t="s">
        <v>22</v>
      </c>
      <c r="E128" s="337" t="s">
        <v>231</v>
      </c>
    </row>
    <row r="129" spans="3:5" x14ac:dyDescent="0.2">
      <c r="C129" s="151" t="s">
        <v>232</v>
      </c>
      <c r="D129" s="336" t="s">
        <v>22</v>
      </c>
      <c r="E129" s="338" t="s">
        <v>233</v>
      </c>
    </row>
  </sheetData>
  <mergeCells count="10">
    <mergeCell ref="C21:E21"/>
    <mergeCell ref="C22:E22"/>
    <mergeCell ref="C18:E18"/>
    <mergeCell ref="C19:D19"/>
    <mergeCell ref="C4:E4"/>
    <mergeCell ref="D5:E5"/>
    <mergeCell ref="D6:E6"/>
    <mergeCell ref="D7:E7"/>
    <mergeCell ref="D8:E8"/>
    <mergeCell ref="C10:E10"/>
  </mergeCells>
  <hyperlinks>
    <hyperlink ref="E19" r:id="rId1" xr:uid="{B2A33D41-C6C9-4088-93B6-D22CDC5F097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2951-2FF1-41DF-98D6-38A29A288441}">
  <dimension ref="A1:AM41"/>
  <sheetViews>
    <sheetView zoomScale="70" zoomScaleNormal="70" workbookViewId="0">
      <selection activeCell="AE35" sqref="AE35"/>
    </sheetView>
  </sheetViews>
  <sheetFormatPr baseColWidth="10" defaultColWidth="8.83203125" defaultRowHeight="13" x14ac:dyDescent="0.15"/>
  <cols>
    <col min="1" max="1" width="1.83203125" customWidth="1"/>
    <col min="2" max="2" width="18.1640625" customWidth="1"/>
    <col min="3" max="3" width="9.83203125" customWidth="1"/>
    <col min="5" max="5" width="11.5" customWidth="1"/>
    <col min="12" max="12" width="7.33203125" customWidth="1"/>
    <col min="13" max="13" width="2.5" customWidth="1"/>
    <col min="14" max="14" width="1.83203125" customWidth="1"/>
    <col min="15" max="15" width="15.5" customWidth="1"/>
    <col min="16" max="16" width="10" customWidth="1"/>
    <col min="25" max="25" width="7.6640625" customWidth="1"/>
    <col min="29" max="29" width="13.83203125" customWidth="1"/>
  </cols>
  <sheetData>
    <row r="1" spans="1:39" ht="14" thickBo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39" x14ac:dyDescent="0.15">
      <c r="A2" s="5"/>
      <c r="B2" s="5"/>
      <c r="C2" s="5"/>
      <c r="D2" s="5"/>
      <c r="E2" s="361" t="s">
        <v>234</v>
      </c>
      <c r="F2" s="361"/>
      <c r="G2" s="361"/>
      <c r="H2" s="361"/>
      <c r="I2" s="5"/>
      <c r="J2" s="5"/>
      <c r="K2" s="5"/>
      <c r="L2" s="5"/>
      <c r="M2" s="1"/>
      <c r="N2" s="42"/>
      <c r="O2" s="43"/>
      <c r="P2" s="43"/>
      <c r="Q2" s="43"/>
      <c r="R2" s="363" t="s">
        <v>235</v>
      </c>
      <c r="S2" s="363"/>
      <c r="T2" s="363"/>
      <c r="U2" s="363"/>
      <c r="V2" s="43"/>
      <c r="W2" s="43"/>
      <c r="X2" s="43"/>
      <c r="Y2" s="44"/>
      <c r="AB2" s="42"/>
      <c r="AC2" s="43"/>
      <c r="AD2" s="43"/>
      <c r="AE2" s="43"/>
      <c r="AF2" s="363" t="s">
        <v>236</v>
      </c>
      <c r="AG2" s="363"/>
      <c r="AH2" s="363"/>
      <c r="AI2" s="363"/>
      <c r="AJ2" s="43"/>
      <c r="AK2" s="43"/>
      <c r="AL2" s="43"/>
      <c r="AM2" s="44"/>
    </row>
    <row r="3" spans="1:39" ht="14" thickBot="1" x14ac:dyDescent="0.2">
      <c r="A3" s="5"/>
      <c r="B3" s="6"/>
      <c r="C3" s="6"/>
      <c r="D3" s="5"/>
      <c r="E3" s="5"/>
      <c r="F3" s="5"/>
      <c r="G3" s="5"/>
      <c r="H3" s="5"/>
      <c r="I3" s="5"/>
      <c r="J3" s="5"/>
      <c r="K3" s="5"/>
      <c r="L3" s="5"/>
      <c r="M3" s="1"/>
      <c r="N3" s="40"/>
      <c r="O3" s="39"/>
      <c r="P3" s="39"/>
      <c r="Q3" s="38"/>
      <c r="R3" s="38"/>
      <c r="S3" s="38"/>
      <c r="T3" s="38"/>
      <c r="U3" s="38"/>
      <c r="V3" s="38"/>
      <c r="W3" s="38"/>
      <c r="X3" s="38"/>
      <c r="Y3" s="45"/>
      <c r="AB3" s="40"/>
      <c r="AC3" s="39"/>
      <c r="AD3" s="39"/>
      <c r="AE3" s="38"/>
      <c r="AF3" s="38"/>
      <c r="AG3" s="38"/>
      <c r="AH3" s="38"/>
      <c r="AI3" s="38"/>
      <c r="AJ3" s="38"/>
      <c r="AK3" s="38"/>
      <c r="AL3" s="38"/>
      <c r="AM3" s="45"/>
    </row>
    <row r="4" spans="1:39" ht="18" customHeight="1" x14ac:dyDescent="0.15">
      <c r="A4" s="7"/>
      <c r="B4" s="9" t="s">
        <v>237</v>
      </c>
      <c r="C4" s="10"/>
      <c r="D4" s="5"/>
      <c r="E4" s="5"/>
      <c r="F4" s="5"/>
      <c r="G4" s="5"/>
      <c r="H4" s="5"/>
      <c r="I4" s="5"/>
      <c r="J4" s="5"/>
      <c r="K4" s="5"/>
      <c r="L4" s="5"/>
      <c r="M4" s="1"/>
      <c r="N4" s="40"/>
      <c r="O4" s="14" t="s">
        <v>237</v>
      </c>
      <c r="P4" s="16"/>
      <c r="Q4" s="38"/>
      <c r="R4" s="38"/>
      <c r="S4" s="38"/>
      <c r="T4" s="38"/>
      <c r="U4" s="38"/>
      <c r="V4" s="38"/>
      <c r="W4" s="38"/>
      <c r="X4" s="38"/>
      <c r="Y4" s="45"/>
      <c r="AB4" s="40"/>
      <c r="AC4" s="14" t="s">
        <v>237</v>
      </c>
      <c r="AD4" s="16"/>
      <c r="AE4" s="38"/>
      <c r="AF4" s="38"/>
      <c r="AG4" s="38"/>
      <c r="AH4" s="38"/>
      <c r="AI4" s="38"/>
      <c r="AJ4" s="38"/>
      <c r="AK4" s="38"/>
      <c r="AL4" s="38"/>
      <c r="AM4" s="45"/>
    </row>
    <row r="5" spans="1:39" ht="18" customHeight="1" x14ac:dyDescent="0.15">
      <c r="A5" s="7"/>
      <c r="B5" s="11" t="s">
        <v>238</v>
      </c>
      <c r="C5" s="56">
        <f>SUM('DS and Optimisation'!H2:H10)</f>
        <v>0</v>
      </c>
      <c r="D5" s="5"/>
      <c r="E5" s="5"/>
      <c r="F5" s="5"/>
      <c r="G5" s="5"/>
      <c r="H5" s="5"/>
      <c r="I5" s="5"/>
      <c r="J5" s="5"/>
      <c r="K5" s="5"/>
      <c r="L5" s="5"/>
      <c r="M5" s="1"/>
      <c r="N5" s="40"/>
      <c r="O5" s="11" t="s">
        <v>238</v>
      </c>
      <c r="P5" s="56">
        <f>SUM('Sheet 4'!J2:J38)</f>
        <v>0</v>
      </c>
      <c r="Q5" s="38"/>
      <c r="R5" s="38"/>
      <c r="S5" s="38"/>
      <c r="T5" s="38"/>
      <c r="U5" s="38"/>
      <c r="V5" s="38"/>
      <c r="W5" s="38"/>
      <c r="X5" s="38"/>
      <c r="Y5" s="45"/>
      <c r="AB5" s="40"/>
      <c r="AC5" s="11" t="s">
        <v>238</v>
      </c>
      <c r="AD5" s="56">
        <f>SUM(OVERALL!F2:F82)</f>
        <v>0</v>
      </c>
      <c r="AE5" s="38"/>
      <c r="AF5" s="38"/>
      <c r="AG5" s="38"/>
      <c r="AH5" s="38"/>
      <c r="AI5" s="38"/>
      <c r="AJ5" s="38"/>
      <c r="AK5" s="38"/>
      <c r="AL5" s="38"/>
      <c r="AM5" s="45"/>
    </row>
    <row r="6" spans="1:39" ht="18" customHeight="1" x14ac:dyDescent="0.15">
      <c r="A6" s="7"/>
      <c r="B6" s="11" t="s">
        <v>239</v>
      </c>
      <c r="C6" s="10">
        <f>C7-C5</f>
        <v>9</v>
      </c>
      <c r="D6" s="5"/>
      <c r="E6" s="5"/>
      <c r="F6" s="5"/>
      <c r="G6" s="5"/>
      <c r="H6" s="5"/>
      <c r="I6" s="5"/>
      <c r="J6" s="5"/>
      <c r="K6" s="5"/>
      <c r="L6" s="5"/>
      <c r="M6" s="1"/>
      <c r="N6" s="40"/>
      <c r="O6" s="11" t="s">
        <v>239</v>
      </c>
      <c r="P6" s="10">
        <f>SUM(P7-P5)</f>
        <v>0</v>
      </c>
      <c r="Q6" s="38"/>
      <c r="R6" s="38"/>
      <c r="S6" s="38"/>
      <c r="T6" s="38"/>
      <c r="U6" s="38"/>
      <c r="V6" s="38"/>
      <c r="W6" s="38"/>
      <c r="X6" s="38"/>
      <c r="Y6" s="45"/>
      <c r="AB6" s="40"/>
      <c r="AC6" s="11" t="s">
        <v>239</v>
      </c>
      <c r="AD6" s="10">
        <f>SUM(AD7-AD5)</f>
        <v>0</v>
      </c>
      <c r="AE6" s="38"/>
      <c r="AF6" s="38"/>
      <c r="AG6" s="38"/>
      <c r="AH6" s="38"/>
      <c r="AI6" s="38"/>
      <c r="AJ6" s="38"/>
      <c r="AK6" s="38"/>
      <c r="AL6" s="38"/>
      <c r="AM6" s="45"/>
    </row>
    <row r="7" spans="1:39" ht="18" customHeight="1" x14ac:dyDescent="0.15">
      <c r="A7" s="7"/>
      <c r="B7" s="11" t="s">
        <v>240</v>
      </c>
      <c r="C7" s="10">
        <f>SUM('DS and Optimisation'!G2:G10)</f>
        <v>9</v>
      </c>
      <c r="D7" s="5"/>
      <c r="E7" s="5"/>
      <c r="F7" s="5"/>
      <c r="G7" s="5"/>
      <c r="H7" s="5"/>
      <c r="I7" s="5"/>
      <c r="J7" s="5"/>
      <c r="K7" s="5"/>
      <c r="L7" s="5"/>
      <c r="M7" s="1"/>
      <c r="N7" s="40"/>
      <c r="O7" s="11" t="s">
        <v>240</v>
      </c>
      <c r="P7" s="10">
        <f>SUM('Sheet 4'!I2:I38)</f>
        <v>0</v>
      </c>
      <c r="Q7" s="38"/>
      <c r="R7" s="38"/>
      <c r="S7" s="38"/>
      <c r="T7" s="38"/>
      <c r="U7" s="38"/>
      <c r="V7" s="38"/>
      <c r="W7" s="38"/>
      <c r="X7" s="38"/>
      <c r="Y7" s="45"/>
      <c r="AB7" s="40"/>
      <c r="AC7" s="11" t="s">
        <v>240</v>
      </c>
      <c r="AD7" s="10">
        <f>SUM(OVERALL!E2:E82)</f>
        <v>0</v>
      </c>
      <c r="AE7" s="38"/>
      <c r="AF7" s="38"/>
      <c r="AG7" s="38"/>
      <c r="AH7" s="38"/>
      <c r="AI7" s="38"/>
      <c r="AJ7" s="38"/>
      <c r="AK7" s="38"/>
      <c r="AL7" s="38"/>
      <c r="AM7" s="45"/>
    </row>
    <row r="8" spans="1:39" ht="18" customHeight="1" x14ac:dyDescent="0.15">
      <c r="A8" s="7"/>
      <c r="B8" s="11"/>
      <c r="C8" s="10"/>
      <c r="D8" s="5"/>
      <c r="E8" s="5"/>
      <c r="F8" s="5"/>
      <c r="G8" s="5"/>
      <c r="H8" s="5"/>
      <c r="I8" s="5"/>
      <c r="J8" s="5"/>
      <c r="K8" s="5"/>
      <c r="L8" s="5"/>
      <c r="M8" s="1"/>
      <c r="N8" s="40"/>
      <c r="O8" s="11"/>
      <c r="P8" s="10"/>
      <c r="Q8" s="38"/>
      <c r="R8" s="38"/>
      <c r="S8" s="38"/>
      <c r="T8" s="38"/>
      <c r="U8" s="38"/>
      <c r="V8" s="38"/>
      <c r="W8" s="38"/>
      <c r="X8" s="38"/>
      <c r="Y8" s="45"/>
      <c r="AB8" s="40"/>
      <c r="AC8" s="11"/>
      <c r="AD8" s="10"/>
      <c r="AE8" s="38"/>
      <c r="AF8" s="38"/>
      <c r="AG8" s="38"/>
      <c r="AH8" s="38"/>
      <c r="AI8" s="38"/>
      <c r="AJ8" s="38"/>
      <c r="AK8" s="38"/>
      <c r="AL8" s="38"/>
      <c r="AM8" s="45"/>
    </row>
    <row r="9" spans="1:39" ht="18" customHeight="1" thickBot="1" x14ac:dyDescent="0.2">
      <c r="A9" s="7"/>
      <c r="B9" s="12" t="s">
        <v>241</v>
      </c>
      <c r="C9" s="13">
        <f>C5/C7</f>
        <v>0</v>
      </c>
      <c r="D9" s="5"/>
      <c r="E9" s="5"/>
      <c r="F9" s="5"/>
      <c r="G9" s="5"/>
      <c r="H9" s="5"/>
      <c r="I9" s="5"/>
      <c r="J9" s="5"/>
      <c r="K9" s="5"/>
      <c r="L9" s="5"/>
      <c r="M9" s="1"/>
      <c r="N9" s="40"/>
      <c r="O9" s="12" t="s">
        <v>241</v>
      </c>
      <c r="P9" s="13" t="e">
        <f>P5/P7</f>
        <v>#DIV/0!</v>
      </c>
      <c r="Q9" s="38"/>
      <c r="R9" s="38"/>
      <c r="S9" s="38"/>
      <c r="T9" s="38"/>
      <c r="U9" s="38"/>
      <c r="V9" s="38"/>
      <c r="W9" s="38"/>
      <c r="X9" s="38"/>
      <c r="Y9" s="45"/>
      <c r="AB9" s="40"/>
      <c r="AC9" s="12" t="s">
        <v>241</v>
      </c>
      <c r="AD9" s="13" t="e">
        <f>AD5/AD7</f>
        <v>#DIV/0!</v>
      </c>
      <c r="AE9" s="38"/>
      <c r="AF9" s="38"/>
      <c r="AG9" s="38"/>
      <c r="AH9" s="38"/>
      <c r="AI9" s="38"/>
      <c r="AJ9" s="38"/>
      <c r="AK9" s="38"/>
      <c r="AL9" s="38"/>
      <c r="AM9" s="45"/>
    </row>
    <row r="10" spans="1:39" ht="18" customHeight="1" thickBot="1" x14ac:dyDescent="0.2">
      <c r="A10" s="7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1"/>
      <c r="N10" s="40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45"/>
      <c r="AB10" s="40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45"/>
    </row>
    <row r="11" spans="1:39" ht="18" customHeight="1" x14ac:dyDescent="0.15">
      <c r="A11" s="7"/>
      <c r="B11" s="14" t="s">
        <v>242</v>
      </c>
      <c r="C11" s="15"/>
      <c r="D11" s="16"/>
      <c r="E11" s="5"/>
      <c r="F11" s="5"/>
      <c r="G11" s="5"/>
      <c r="H11" s="5"/>
      <c r="I11" s="5"/>
      <c r="J11" s="5"/>
      <c r="K11" s="5"/>
      <c r="L11" s="5"/>
      <c r="M11" s="1"/>
      <c r="N11" s="40"/>
      <c r="O11" s="14" t="s">
        <v>242</v>
      </c>
      <c r="P11" s="15"/>
      <c r="Q11" s="16"/>
      <c r="R11" s="38"/>
      <c r="S11" s="38"/>
      <c r="T11" s="38"/>
      <c r="U11" s="38"/>
      <c r="V11" s="38"/>
      <c r="W11" s="38"/>
      <c r="X11" s="38"/>
      <c r="Y11" s="45"/>
      <c r="AB11" s="40"/>
      <c r="AC11" s="14" t="s">
        <v>242</v>
      </c>
      <c r="AD11" s="15"/>
      <c r="AE11" s="16"/>
      <c r="AF11" s="38"/>
      <c r="AG11" s="38"/>
      <c r="AH11" s="38"/>
      <c r="AI11" s="38"/>
      <c r="AJ11" s="38"/>
      <c r="AK11" s="38"/>
      <c r="AL11" s="38"/>
      <c r="AM11" s="45"/>
    </row>
    <row r="12" spans="1:39" ht="18" customHeight="1" x14ac:dyDescent="0.15">
      <c r="A12" s="7"/>
      <c r="B12" s="11" t="s">
        <v>243</v>
      </c>
      <c r="C12" s="17">
        <f>COUNTIF('DS and Optimisation'!$I$2:$I$10,Summary!B12)</f>
        <v>9</v>
      </c>
      <c r="D12" s="18">
        <f>C12/$C$19</f>
        <v>1</v>
      </c>
      <c r="E12" s="5"/>
      <c r="F12" s="5"/>
      <c r="G12" s="5"/>
      <c r="H12" s="5"/>
      <c r="I12" s="5"/>
      <c r="J12" s="5"/>
      <c r="K12" s="5"/>
      <c r="L12" s="5"/>
      <c r="M12" s="1"/>
      <c r="N12" s="40"/>
      <c r="O12" s="11" t="s">
        <v>243</v>
      </c>
      <c r="P12" s="17">
        <f>COUNTIF('Sheet 4'!$I$2:$I$145,Summary!O12)</f>
        <v>0</v>
      </c>
      <c r="Q12" s="18" t="e">
        <f t="shared" ref="Q12:Q18" si="0">P12/$P$19</f>
        <v>#DIV/0!</v>
      </c>
      <c r="R12" s="38"/>
      <c r="S12" s="38"/>
      <c r="T12" s="38"/>
      <c r="U12" s="38"/>
      <c r="V12" s="38"/>
      <c r="W12" s="38"/>
      <c r="X12" s="38"/>
      <c r="Y12" s="45"/>
      <c r="AB12" s="40"/>
      <c r="AC12" s="11" t="s">
        <v>243</v>
      </c>
      <c r="AD12" s="17">
        <f>COUNTIF(OVERALL!$G$2:$G$150,Summary!AC12)</f>
        <v>0</v>
      </c>
      <c r="AE12" s="18" t="e">
        <f t="shared" ref="AE12:AE18" si="1">AD12/$AD$19</f>
        <v>#DIV/0!</v>
      </c>
      <c r="AF12" s="38"/>
      <c r="AG12" s="38"/>
      <c r="AH12" s="38"/>
      <c r="AI12" s="38"/>
      <c r="AJ12" s="38"/>
      <c r="AK12" s="38"/>
      <c r="AL12" s="38"/>
      <c r="AM12" s="45"/>
    </row>
    <row r="13" spans="1:39" ht="18" customHeight="1" x14ac:dyDescent="0.15">
      <c r="A13" s="7"/>
      <c r="B13" s="54" t="s">
        <v>244</v>
      </c>
      <c r="C13" s="17">
        <f>COUNTIF('DS and Optimisation'!$I$2:$I$10,Summary!B13)</f>
        <v>0</v>
      </c>
      <c r="D13" s="18">
        <f t="shared" ref="D13:D18" si="2">C13/$C$19</f>
        <v>0</v>
      </c>
      <c r="E13" s="5"/>
      <c r="F13" s="5"/>
      <c r="G13" s="5"/>
      <c r="H13" s="5"/>
      <c r="I13" s="5"/>
      <c r="J13" s="5"/>
      <c r="K13" s="5"/>
      <c r="L13" s="5"/>
      <c r="M13" s="1"/>
      <c r="N13" s="40"/>
      <c r="O13" s="11" t="s">
        <v>244</v>
      </c>
      <c r="P13" s="17">
        <f>COUNTIF('Sheet 4'!$I$2:$I$145,Summary!O13)</f>
        <v>0</v>
      </c>
      <c r="Q13" s="18" t="e">
        <f t="shared" si="0"/>
        <v>#DIV/0!</v>
      </c>
      <c r="R13" s="38"/>
      <c r="S13" s="38"/>
      <c r="T13" s="38"/>
      <c r="U13" s="38"/>
      <c r="V13" s="38"/>
      <c r="W13" s="38"/>
      <c r="X13" s="38"/>
      <c r="Y13" s="45"/>
      <c r="AB13" s="40"/>
      <c r="AC13" s="11" t="s">
        <v>244</v>
      </c>
      <c r="AD13" s="17">
        <f>COUNTIF(OVERALL!$G$2:$G$150,Summary!AC13)</f>
        <v>0</v>
      </c>
      <c r="AE13" s="18" t="e">
        <f t="shared" si="1"/>
        <v>#DIV/0!</v>
      </c>
      <c r="AF13" s="38"/>
      <c r="AG13" s="38"/>
      <c r="AH13" s="38"/>
      <c r="AI13" s="38"/>
      <c r="AJ13" s="38"/>
      <c r="AK13" s="38"/>
      <c r="AL13" s="38"/>
      <c r="AM13" s="45"/>
    </row>
    <row r="14" spans="1:39" ht="18" customHeight="1" x14ac:dyDescent="0.15">
      <c r="A14" s="7"/>
      <c r="B14" s="11" t="s">
        <v>245</v>
      </c>
      <c r="C14" s="17">
        <f>COUNTIF('DS and Optimisation'!$I$2:$I$10,Summary!B14)</f>
        <v>0</v>
      </c>
      <c r="D14" s="18">
        <f t="shared" si="2"/>
        <v>0</v>
      </c>
      <c r="E14" s="5"/>
      <c r="F14" s="5"/>
      <c r="G14" s="5"/>
      <c r="H14" s="5"/>
      <c r="I14" s="5"/>
      <c r="J14" s="5"/>
      <c r="K14" s="5"/>
      <c r="L14" s="5"/>
      <c r="M14" s="1"/>
      <c r="N14" s="40"/>
      <c r="O14" s="11" t="s">
        <v>245</v>
      </c>
      <c r="P14" s="17">
        <f>COUNTIF('Sheet 4'!$I$2:$I$145,Summary!O14)</f>
        <v>0</v>
      </c>
      <c r="Q14" s="18" t="e">
        <f t="shared" si="0"/>
        <v>#DIV/0!</v>
      </c>
      <c r="R14" s="38"/>
      <c r="S14" s="38"/>
      <c r="T14" s="38"/>
      <c r="U14" s="38"/>
      <c r="V14" s="38"/>
      <c r="W14" s="38"/>
      <c r="X14" s="38"/>
      <c r="Y14" s="45"/>
      <c r="AB14" s="40"/>
      <c r="AC14" s="11" t="s">
        <v>245</v>
      </c>
      <c r="AD14" s="17">
        <f>COUNTIF(OVERALL!$G$2:$G$150,Summary!AC14)</f>
        <v>0</v>
      </c>
      <c r="AE14" s="18" t="e">
        <f t="shared" si="1"/>
        <v>#DIV/0!</v>
      </c>
      <c r="AF14" s="38"/>
      <c r="AG14" s="38"/>
      <c r="AH14" s="38"/>
      <c r="AI14" s="38"/>
      <c r="AJ14" s="38"/>
      <c r="AK14" s="38"/>
      <c r="AL14" s="38"/>
      <c r="AM14" s="45"/>
    </row>
    <row r="15" spans="1:39" ht="18" customHeight="1" x14ac:dyDescent="0.15">
      <c r="A15" s="7"/>
      <c r="B15" s="11" t="s">
        <v>246</v>
      </c>
      <c r="C15" s="17">
        <f>COUNTIF('DS and Optimisation'!$I$2:$I$10,Summary!B15)</f>
        <v>0</v>
      </c>
      <c r="D15" s="18">
        <f t="shared" si="2"/>
        <v>0</v>
      </c>
      <c r="E15" s="5"/>
      <c r="F15" s="5"/>
      <c r="G15" s="5"/>
      <c r="H15" s="5"/>
      <c r="I15" s="5"/>
      <c r="J15" s="5"/>
      <c r="K15" s="5"/>
      <c r="L15" s="5"/>
      <c r="M15" s="1"/>
      <c r="N15" s="40"/>
      <c r="O15" s="11" t="s">
        <v>246</v>
      </c>
      <c r="P15" s="17">
        <f>COUNTIF('Sheet 4'!$I$2:$I$145,Summary!O15)</f>
        <v>0</v>
      </c>
      <c r="Q15" s="18" t="e">
        <f t="shared" si="0"/>
        <v>#DIV/0!</v>
      </c>
      <c r="R15" s="38"/>
      <c r="S15" s="38"/>
      <c r="T15" s="38"/>
      <c r="U15" s="38"/>
      <c r="V15" s="38"/>
      <c r="W15" s="38"/>
      <c r="X15" s="38"/>
      <c r="Y15" s="45"/>
      <c r="AB15" s="40"/>
      <c r="AC15" s="11" t="s">
        <v>246</v>
      </c>
      <c r="AD15" s="17">
        <f>COUNTIF(OVERALL!$G$2:$G$150,Summary!AC15)</f>
        <v>0</v>
      </c>
      <c r="AE15" s="18" t="e">
        <f t="shared" si="1"/>
        <v>#DIV/0!</v>
      </c>
      <c r="AF15" s="38"/>
      <c r="AG15" s="38"/>
      <c r="AH15" s="38"/>
      <c r="AI15" s="38"/>
      <c r="AJ15" s="38"/>
      <c r="AK15" s="38"/>
      <c r="AL15" s="38"/>
      <c r="AM15" s="45"/>
    </row>
    <row r="16" spans="1:39" ht="18" customHeight="1" x14ac:dyDescent="0.15">
      <c r="A16" s="7"/>
      <c r="B16" s="11" t="s">
        <v>247</v>
      </c>
      <c r="C16" s="17">
        <f>COUNTIF('DS and Optimisation'!$I$2:$I$10,Summary!B16)</f>
        <v>0</v>
      </c>
      <c r="D16" s="18">
        <f t="shared" si="2"/>
        <v>0</v>
      </c>
      <c r="E16" s="5"/>
      <c r="F16" s="5"/>
      <c r="G16" s="5"/>
      <c r="H16" s="5"/>
      <c r="I16" s="5"/>
      <c r="J16" s="5"/>
      <c r="K16" s="5"/>
      <c r="L16" s="5"/>
      <c r="M16" s="1"/>
      <c r="N16" s="40"/>
      <c r="O16" s="11" t="s">
        <v>247</v>
      </c>
      <c r="P16" s="17">
        <f>COUNTIF('Sheet 4'!$I$2:$I$145,Summary!O16)</f>
        <v>0</v>
      </c>
      <c r="Q16" s="18" t="e">
        <f t="shared" si="0"/>
        <v>#DIV/0!</v>
      </c>
      <c r="R16" s="38"/>
      <c r="S16" s="38"/>
      <c r="T16" s="38"/>
      <c r="U16" s="38"/>
      <c r="V16" s="38"/>
      <c r="W16" s="38"/>
      <c r="X16" s="38"/>
      <c r="Y16" s="45"/>
      <c r="AB16" s="40"/>
      <c r="AC16" s="11" t="s">
        <v>247</v>
      </c>
      <c r="AD16" s="17">
        <f>COUNTIF(OVERALL!$G$2:$G$150,Summary!AC16)</f>
        <v>0</v>
      </c>
      <c r="AE16" s="18" t="e">
        <f t="shared" si="1"/>
        <v>#DIV/0!</v>
      </c>
      <c r="AF16" s="38"/>
      <c r="AG16" s="38"/>
      <c r="AH16" s="38"/>
      <c r="AI16" s="38"/>
      <c r="AJ16" s="38"/>
      <c r="AK16" s="38"/>
      <c r="AL16" s="38"/>
      <c r="AM16" s="45"/>
    </row>
    <row r="17" spans="1:39" ht="18" customHeight="1" x14ac:dyDescent="0.15">
      <c r="A17" s="7"/>
      <c r="B17" s="11" t="s">
        <v>248</v>
      </c>
      <c r="C17" s="17">
        <f>COUNTIF('DS and Optimisation'!$I$2:$I$10,Summary!B17)</f>
        <v>0</v>
      </c>
      <c r="D17" s="18">
        <f t="shared" si="2"/>
        <v>0</v>
      </c>
      <c r="E17" s="5"/>
      <c r="F17" s="5"/>
      <c r="G17" s="5"/>
      <c r="H17" s="5"/>
      <c r="I17" s="5"/>
      <c r="J17" s="5"/>
      <c r="K17" s="5"/>
      <c r="L17" s="5"/>
      <c r="M17" s="1"/>
      <c r="N17" s="40"/>
      <c r="O17" s="11" t="s">
        <v>248</v>
      </c>
      <c r="P17" s="17">
        <f>COUNTIF('Sheet 4'!$I$2:$I$145,Summary!O17)</f>
        <v>0</v>
      </c>
      <c r="Q17" s="18" t="e">
        <f t="shared" si="0"/>
        <v>#DIV/0!</v>
      </c>
      <c r="R17" s="38"/>
      <c r="S17" s="38"/>
      <c r="T17" s="38"/>
      <c r="U17" s="38"/>
      <c r="V17" s="38"/>
      <c r="W17" s="38"/>
      <c r="X17" s="38"/>
      <c r="Y17" s="45"/>
      <c r="AB17" s="40"/>
      <c r="AC17" s="11" t="s">
        <v>248</v>
      </c>
      <c r="AD17" s="17">
        <f>COUNTIF(OVERALL!$G$2:$G$150,Summary!AC17)</f>
        <v>0</v>
      </c>
      <c r="AE17" s="18" t="e">
        <f t="shared" si="1"/>
        <v>#DIV/0!</v>
      </c>
      <c r="AF17" s="38"/>
      <c r="AG17" s="38"/>
      <c r="AH17" s="38"/>
      <c r="AI17" s="38"/>
      <c r="AJ17" s="38"/>
      <c r="AK17" s="38"/>
      <c r="AL17" s="38"/>
      <c r="AM17" s="45"/>
    </row>
    <row r="18" spans="1:39" ht="18" customHeight="1" thickBot="1" x14ac:dyDescent="0.2">
      <c r="A18" s="7"/>
      <c r="B18" s="12" t="s">
        <v>249</v>
      </c>
      <c r="C18" s="17">
        <f>COUNTIF('DS and Optimisation'!$I$2:$I$10,Summary!B18)</f>
        <v>0</v>
      </c>
      <c r="D18" s="13">
        <f t="shared" si="2"/>
        <v>0</v>
      </c>
      <c r="E18" s="5"/>
      <c r="F18" s="5"/>
      <c r="G18" s="5"/>
      <c r="H18" s="5"/>
      <c r="I18" s="5"/>
      <c r="J18" s="5"/>
      <c r="K18" s="5"/>
      <c r="L18" s="5"/>
      <c r="M18" s="1"/>
      <c r="N18" s="40"/>
      <c r="O18" s="12" t="s">
        <v>249</v>
      </c>
      <c r="P18" s="17">
        <f>COUNTIF('Sheet 4'!$I$2:$I$145,Summary!O18)</f>
        <v>0</v>
      </c>
      <c r="Q18" s="13" t="e">
        <f t="shared" si="0"/>
        <v>#DIV/0!</v>
      </c>
      <c r="R18" s="38"/>
      <c r="S18" s="38"/>
      <c r="T18" s="38"/>
      <c r="U18" s="38"/>
      <c r="V18" s="38"/>
      <c r="W18" s="38"/>
      <c r="X18" s="38"/>
      <c r="Y18" s="45"/>
      <c r="AB18" s="40"/>
      <c r="AC18" s="12" t="s">
        <v>249</v>
      </c>
      <c r="AD18" s="17">
        <f>COUNTIF(OVERALL!$G$2:$G$150,Summary!AC18)</f>
        <v>0</v>
      </c>
      <c r="AE18" s="18" t="e">
        <f t="shared" si="1"/>
        <v>#DIV/0!</v>
      </c>
      <c r="AF18" s="38"/>
      <c r="AG18" s="38"/>
      <c r="AH18" s="38"/>
      <c r="AI18" s="38"/>
      <c r="AJ18" s="38"/>
      <c r="AK18" s="38"/>
      <c r="AL18" s="38"/>
      <c r="AM18" s="45"/>
    </row>
    <row r="19" spans="1:39" ht="14" thickBot="1" x14ac:dyDescent="0.2">
      <c r="A19" s="7"/>
      <c r="B19" s="19" t="s">
        <v>250</v>
      </c>
      <c r="C19" s="20">
        <f>SUM(C12:C18)</f>
        <v>9</v>
      </c>
      <c r="D19" s="21"/>
      <c r="E19" s="5"/>
      <c r="F19" s="5"/>
      <c r="G19" s="5"/>
      <c r="H19" s="5"/>
      <c r="I19" s="5"/>
      <c r="J19" s="5"/>
      <c r="K19" s="5"/>
      <c r="L19" s="5"/>
      <c r="M19" s="1"/>
      <c r="N19" s="40"/>
      <c r="O19" s="19" t="s">
        <v>250</v>
      </c>
      <c r="P19" s="20">
        <f>SUM(P12:P18)</f>
        <v>0</v>
      </c>
      <c r="Q19" s="21"/>
      <c r="R19" s="38"/>
      <c r="S19" s="38"/>
      <c r="T19" s="38"/>
      <c r="U19" s="38"/>
      <c r="V19" s="38"/>
      <c r="W19" s="38"/>
      <c r="X19" s="38"/>
      <c r="Y19" s="45"/>
      <c r="AB19" s="40"/>
      <c r="AC19" s="19" t="s">
        <v>250</v>
      </c>
      <c r="AD19" s="20">
        <f>SUM(AD12:AD18)</f>
        <v>0</v>
      </c>
      <c r="AE19" s="21"/>
      <c r="AF19" s="38"/>
      <c r="AG19" s="38"/>
      <c r="AH19" s="38"/>
      <c r="AI19" s="38"/>
      <c r="AJ19" s="38"/>
      <c r="AK19" s="38"/>
      <c r="AL19" s="38"/>
      <c r="AM19" s="45"/>
    </row>
    <row r="20" spans="1:39" ht="14" thickBot="1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1"/>
      <c r="N20" s="41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46"/>
      <c r="AB20" s="41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46"/>
    </row>
    <row r="21" spans="1:39" x14ac:dyDescent="0.1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39" ht="14" thickBot="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39" x14ac:dyDescent="0.15">
      <c r="A23" s="22"/>
      <c r="B23" s="22"/>
      <c r="C23" s="22"/>
      <c r="D23" s="22"/>
      <c r="E23" s="362" t="s">
        <v>251</v>
      </c>
      <c r="F23" s="362"/>
      <c r="G23" s="362"/>
      <c r="H23" s="362"/>
      <c r="I23" s="22"/>
      <c r="J23" s="22"/>
      <c r="K23" s="22"/>
      <c r="L23" s="22"/>
      <c r="M23" s="1"/>
      <c r="N23" s="26"/>
      <c r="O23" s="27"/>
      <c r="P23" s="27"/>
      <c r="Q23" s="364" t="s">
        <v>252</v>
      </c>
      <c r="R23" s="365"/>
      <c r="S23" s="365"/>
      <c r="T23" s="365"/>
      <c r="U23" s="365"/>
      <c r="V23" s="365"/>
      <c r="W23" s="27"/>
      <c r="X23" s="27"/>
      <c r="Y23" s="28"/>
    </row>
    <row r="24" spans="1:39" ht="14" thickBot="1" x14ac:dyDescent="0.2">
      <c r="A24" s="22"/>
      <c r="B24" s="23"/>
      <c r="C24" s="23"/>
      <c r="D24" s="22"/>
      <c r="E24" s="22"/>
      <c r="F24" s="22"/>
      <c r="G24" s="22"/>
      <c r="H24" s="22"/>
      <c r="I24" s="22"/>
      <c r="J24" s="22"/>
      <c r="K24" s="22"/>
      <c r="L24" s="22"/>
      <c r="M24" s="1"/>
      <c r="N24" s="29"/>
      <c r="O24" s="30"/>
      <c r="P24" s="30"/>
      <c r="Q24" s="31"/>
      <c r="R24" s="31"/>
      <c r="S24" s="31"/>
      <c r="T24" s="31"/>
      <c r="U24" s="31"/>
      <c r="V24" s="31"/>
      <c r="W24" s="31"/>
      <c r="X24" s="31"/>
      <c r="Y24" s="32"/>
    </row>
    <row r="25" spans="1:39" x14ac:dyDescent="0.15">
      <c r="A25" s="24"/>
      <c r="B25" s="9" t="s">
        <v>237</v>
      </c>
      <c r="C25" s="10"/>
      <c r="D25" s="22"/>
      <c r="E25" s="22"/>
      <c r="F25" s="22"/>
      <c r="G25" s="22"/>
      <c r="H25" s="22"/>
      <c r="I25" s="22"/>
      <c r="J25" s="22"/>
      <c r="K25" s="22"/>
      <c r="L25" s="22"/>
      <c r="M25" s="1"/>
      <c r="N25" s="29"/>
      <c r="O25" s="14" t="s">
        <v>237</v>
      </c>
      <c r="P25" s="16"/>
      <c r="Q25" s="31"/>
      <c r="R25" s="31"/>
      <c r="S25" s="31"/>
      <c r="T25" s="31"/>
      <c r="U25" s="31"/>
      <c r="V25" s="31"/>
      <c r="W25" s="31"/>
      <c r="X25" s="31"/>
      <c r="Y25" s="32"/>
    </row>
    <row r="26" spans="1:39" x14ac:dyDescent="0.15">
      <c r="A26" s="24"/>
      <c r="B26" s="11" t="s">
        <v>238</v>
      </c>
      <c r="C26" s="56">
        <f>SUM('Sheet 3'!H2:H32)</f>
        <v>0</v>
      </c>
      <c r="D26" s="22"/>
      <c r="E26" s="22"/>
      <c r="F26" s="22"/>
      <c r="G26" s="22"/>
      <c r="H26" s="22"/>
      <c r="I26" s="22"/>
      <c r="J26" s="22"/>
      <c r="K26" s="22"/>
      <c r="L26" s="22"/>
      <c r="M26" s="1"/>
      <c r="N26" s="29"/>
      <c r="O26" s="11" t="s">
        <v>238</v>
      </c>
      <c r="P26" s="56">
        <f>SUM('Sheet 2'!H2:H21)</f>
        <v>0</v>
      </c>
      <c r="Q26" s="31"/>
      <c r="R26" s="31"/>
      <c r="S26" s="31"/>
      <c r="T26" s="31"/>
      <c r="U26" s="31"/>
      <c r="V26" s="31"/>
      <c r="W26" s="31"/>
      <c r="X26" s="31"/>
      <c r="Y26" s="32"/>
    </row>
    <row r="27" spans="1:39" x14ac:dyDescent="0.15">
      <c r="A27" s="24"/>
      <c r="B27" s="11" t="s">
        <v>239</v>
      </c>
      <c r="C27" s="10">
        <f>SUM(C28-C26)</f>
        <v>0</v>
      </c>
      <c r="D27" s="22"/>
      <c r="E27" s="22"/>
      <c r="F27" s="22"/>
      <c r="G27" s="22"/>
      <c r="H27" s="22"/>
      <c r="I27" s="22"/>
      <c r="J27" s="22"/>
      <c r="K27" s="22"/>
      <c r="L27" s="22"/>
      <c r="M27" s="1"/>
      <c r="N27" s="29"/>
      <c r="O27" s="11" t="s">
        <v>239</v>
      </c>
      <c r="P27" s="10">
        <f>P28-P26</f>
        <v>0</v>
      </c>
      <c r="Q27" s="31"/>
      <c r="R27" s="31"/>
      <c r="S27" s="31"/>
      <c r="T27" s="31"/>
      <c r="U27" s="31"/>
      <c r="V27" s="31"/>
      <c r="W27" s="31"/>
      <c r="X27" s="31"/>
      <c r="Y27" s="32"/>
    </row>
    <row r="28" spans="1:39" x14ac:dyDescent="0.15">
      <c r="A28" s="24"/>
      <c r="B28" s="11" t="s">
        <v>240</v>
      </c>
      <c r="C28" s="56">
        <f>SUM('Sheet 3'!G2:G32)</f>
        <v>0</v>
      </c>
      <c r="D28" s="22"/>
      <c r="E28" s="22"/>
      <c r="F28" s="22"/>
      <c r="G28" s="22"/>
      <c r="H28" s="22"/>
      <c r="I28" s="22"/>
      <c r="J28" s="22"/>
      <c r="K28" s="22"/>
      <c r="L28" s="22"/>
      <c r="M28" s="1"/>
      <c r="N28" s="29"/>
      <c r="O28" s="11" t="s">
        <v>240</v>
      </c>
      <c r="P28" s="10">
        <f>SUM('Sheet 2'!G2:G21)</f>
        <v>0</v>
      </c>
      <c r="Q28" s="31"/>
      <c r="R28" s="31"/>
      <c r="S28" s="31"/>
      <c r="T28" s="31"/>
      <c r="U28" s="31"/>
      <c r="V28" s="31"/>
      <c r="W28" s="31"/>
      <c r="X28" s="31"/>
      <c r="Y28" s="32"/>
    </row>
    <row r="29" spans="1:39" x14ac:dyDescent="0.15">
      <c r="A29" s="24"/>
      <c r="B29" s="11"/>
      <c r="C29" s="10"/>
      <c r="D29" s="22"/>
      <c r="E29" s="22"/>
      <c r="F29" s="22"/>
      <c r="G29" s="22"/>
      <c r="H29" s="22"/>
      <c r="I29" s="22"/>
      <c r="J29" s="22"/>
      <c r="K29" s="22"/>
      <c r="L29" s="22"/>
      <c r="M29" s="1"/>
      <c r="N29" s="29"/>
      <c r="O29" s="11"/>
      <c r="P29" s="10"/>
      <c r="Q29" s="31"/>
      <c r="R29" s="31"/>
      <c r="S29" s="31"/>
      <c r="T29" s="31"/>
      <c r="U29" s="31"/>
      <c r="V29" s="31"/>
      <c r="W29" s="31"/>
      <c r="X29" s="31"/>
      <c r="Y29" s="32"/>
    </row>
    <row r="30" spans="1:39" ht="14" thickBot="1" x14ac:dyDescent="0.2">
      <c r="A30" s="24"/>
      <c r="B30" s="12" t="s">
        <v>241</v>
      </c>
      <c r="C30" s="13" t="e">
        <f>C26/C28</f>
        <v>#DIV/0!</v>
      </c>
      <c r="D30" s="22"/>
      <c r="E30" s="22"/>
      <c r="F30" s="22"/>
      <c r="G30" s="22"/>
      <c r="H30" s="22"/>
      <c r="I30" s="22"/>
      <c r="J30" s="22"/>
      <c r="K30" s="22"/>
      <c r="L30" s="22"/>
      <c r="M30" s="1"/>
      <c r="N30" s="29"/>
      <c r="O30" s="12" t="s">
        <v>241</v>
      </c>
      <c r="P30" s="13" t="e">
        <f>P26/P28</f>
        <v>#DIV/0!</v>
      </c>
      <c r="Q30" s="31"/>
      <c r="R30" s="31"/>
      <c r="S30" s="31"/>
      <c r="T30" s="31"/>
      <c r="U30" s="31"/>
      <c r="V30" s="31"/>
      <c r="W30" s="31"/>
      <c r="X30" s="31"/>
      <c r="Y30" s="32"/>
    </row>
    <row r="31" spans="1:39" ht="14" thickBot="1" x14ac:dyDescent="0.2">
      <c r="A31" s="24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1"/>
      <c r="N31" s="29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2"/>
    </row>
    <row r="32" spans="1:39" x14ac:dyDescent="0.15">
      <c r="A32" s="24"/>
      <c r="B32" s="14" t="s">
        <v>242</v>
      </c>
      <c r="C32" s="15"/>
      <c r="D32" s="16"/>
      <c r="E32" s="22"/>
      <c r="F32" s="22"/>
      <c r="G32" s="22"/>
      <c r="H32" s="22"/>
      <c r="I32" s="22"/>
      <c r="J32" s="22"/>
      <c r="K32" s="22"/>
      <c r="L32" s="22"/>
      <c r="M32" s="1"/>
      <c r="N32" s="29"/>
      <c r="O32" s="14" t="s">
        <v>242</v>
      </c>
      <c r="P32" s="15"/>
      <c r="Q32" s="16"/>
      <c r="R32" s="31"/>
      <c r="S32" s="31"/>
      <c r="T32" s="31"/>
      <c r="U32" s="31"/>
      <c r="V32" s="31"/>
      <c r="W32" s="31"/>
      <c r="X32" s="31"/>
      <c r="Y32" s="32"/>
    </row>
    <row r="33" spans="1:25" x14ac:dyDescent="0.15">
      <c r="A33" s="24"/>
      <c r="B33" s="11" t="s">
        <v>243</v>
      </c>
      <c r="C33" s="17">
        <f>COUNTIF('Sheet 3'!$I$14:$I$119,Summary!B33)</f>
        <v>0</v>
      </c>
      <c r="D33" s="18" t="e">
        <f t="shared" ref="D33:D39" si="3">C33/$C$40</f>
        <v>#DIV/0!</v>
      </c>
      <c r="E33" s="22"/>
      <c r="F33" s="22"/>
      <c r="G33" s="22"/>
      <c r="H33" s="22"/>
      <c r="I33" s="22"/>
      <c r="J33" s="22"/>
      <c r="K33" s="22"/>
      <c r="L33" s="22"/>
      <c r="M33" s="1"/>
      <c r="N33" s="29"/>
      <c r="O33" s="11" t="s">
        <v>243</v>
      </c>
      <c r="P33" s="17">
        <f>COUNTIF('Sheet 2'!$I$2:$I$109,Summary!O33)</f>
        <v>0</v>
      </c>
      <c r="Q33" s="18" t="e">
        <f t="shared" ref="Q33:Q39" si="4">P33/$P$40</f>
        <v>#DIV/0!</v>
      </c>
      <c r="R33" s="31"/>
      <c r="S33" s="31"/>
      <c r="T33" s="31"/>
      <c r="U33" s="31"/>
      <c r="V33" s="31"/>
      <c r="W33" s="31"/>
      <c r="X33" s="31"/>
      <c r="Y33" s="32"/>
    </row>
    <row r="34" spans="1:25" x14ac:dyDescent="0.15">
      <c r="A34" s="24"/>
      <c r="B34" s="11" t="s">
        <v>244</v>
      </c>
      <c r="C34" s="17">
        <f>COUNTIF('Sheet 3'!$I$14:$I$119,Summary!B34)</f>
        <v>0</v>
      </c>
      <c r="D34" s="18" t="e">
        <f t="shared" si="3"/>
        <v>#DIV/0!</v>
      </c>
      <c r="E34" s="22"/>
      <c r="F34" s="22"/>
      <c r="G34" s="22"/>
      <c r="H34" s="22"/>
      <c r="I34" s="22"/>
      <c r="J34" s="22"/>
      <c r="K34" s="22"/>
      <c r="L34" s="22"/>
      <c r="M34" s="1"/>
      <c r="N34" s="29"/>
      <c r="O34" s="11" t="s">
        <v>244</v>
      </c>
      <c r="P34" s="17">
        <f>COUNTIF('Sheet 2'!$I$2:$I$109,Summary!O34)</f>
        <v>0</v>
      </c>
      <c r="Q34" s="18" t="e">
        <f t="shared" si="4"/>
        <v>#DIV/0!</v>
      </c>
      <c r="R34" s="31"/>
      <c r="S34" s="31"/>
      <c r="T34" s="31"/>
      <c r="U34" s="31"/>
      <c r="V34" s="31"/>
      <c r="W34" s="31"/>
      <c r="X34" s="31"/>
      <c r="Y34" s="32"/>
    </row>
    <row r="35" spans="1:25" x14ac:dyDescent="0.15">
      <c r="A35" s="24"/>
      <c r="B35" s="11" t="s">
        <v>245</v>
      </c>
      <c r="C35" s="17">
        <f>COUNTIF('Sheet 3'!$I$14:$I$119,Summary!B35)</f>
        <v>0</v>
      </c>
      <c r="D35" s="18" t="e">
        <f t="shared" si="3"/>
        <v>#DIV/0!</v>
      </c>
      <c r="E35" s="22"/>
      <c r="F35" s="22"/>
      <c r="G35" s="22"/>
      <c r="H35" s="22"/>
      <c r="I35" s="22"/>
      <c r="J35" s="22"/>
      <c r="K35" s="22"/>
      <c r="L35" s="22"/>
      <c r="M35" s="1"/>
      <c r="N35" s="29"/>
      <c r="O35" s="11" t="s">
        <v>245</v>
      </c>
      <c r="P35" s="17">
        <f>COUNTIF('Sheet 2'!$I$2:$I$109,Summary!O35)</f>
        <v>0</v>
      </c>
      <c r="Q35" s="18" t="e">
        <f t="shared" si="4"/>
        <v>#DIV/0!</v>
      </c>
      <c r="R35" s="31"/>
      <c r="S35" s="31"/>
      <c r="T35" s="31"/>
      <c r="U35" s="31"/>
      <c r="V35" s="31"/>
      <c r="W35" s="31"/>
      <c r="X35" s="31"/>
      <c r="Y35" s="32"/>
    </row>
    <row r="36" spans="1:25" x14ac:dyDescent="0.15">
      <c r="A36" s="24"/>
      <c r="B36" s="11" t="s">
        <v>246</v>
      </c>
      <c r="C36" s="17">
        <f>COUNTIF('Sheet 3'!$I$14:$I$119,Summary!B36)</f>
        <v>0</v>
      </c>
      <c r="D36" s="18" t="e">
        <f t="shared" si="3"/>
        <v>#DIV/0!</v>
      </c>
      <c r="E36" s="22"/>
      <c r="F36" s="22"/>
      <c r="G36" s="22"/>
      <c r="H36" s="22"/>
      <c r="I36" s="22"/>
      <c r="J36" s="22"/>
      <c r="K36" s="22"/>
      <c r="L36" s="22"/>
      <c r="M36" s="1"/>
      <c r="N36" s="29"/>
      <c r="O36" s="11" t="s">
        <v>246</v>
      </c>
      <c r="P36" s="17">
        <f>COUNTIF('Sheet 2'!$I$2:$I$109,Summary!O36)</f>
        <v>0</v>
      </c>
      <c r="Q36" s="18" t="e">
        <f t="shared" si="4"/>
        <v>#DIV/0!</v>
      </c>
      <c r="R36" s="31"/>
      <c r="S36" s="31"/>
      <c r="T36" s="31"/>
      <c r="U36" s="31"/>
      <c r="V36" s="31"/>
      <c r="W36" s="31"/>
      <c r="X36" s="31"/>
      <c r="Y36" s="32"/>
    </row>
    <row r="37" spans="1:25" x14ac:dyDescent="0.15">
      <c r="A37" s="24"/>
      <c r="B37" s="11" t="s">
        <v>247</v>
      </c>
      <c r="C37" s="17">
        <f>COUNTIF('Sheet 3'!$I$14:$I$119,Summary!B37)</f>
        <v>0</v>
      </c>
      <c r="D37" s="18" t="e">
        <f t="shared" si="3"/>
        <v>#DIV/0!</v>
      </c>
      <c r="E37" s="22"/>
      <c r="F37" s="22"/>
      <c r="G37" s="22"/>
      <c r="H37" s="22"/>
      <c r="I37" s="22"/>
      <c r="J37" s="22"/>
      <c r="K37" s="22"/>
      <c r="L37" s="22"/>
      <c r="M37" s="1"/>
      <c r="N37" s="29"/>
      <c r="O37" s="11" t="s">
        <v>247</v>
      </c>
      <c r="P37" s="17">
        <f>COUNTIF('Sheet 2'!$I$2:$I$109,Summary!O37)</f>
        <v>0</v>
      </c>
      <c r="Q37" s="18" t="e">
        <f t="shared" si="4"/>
        <v>#DIV/0!</v>
      </c>
      <c r="R37" s="31"/>
      <c r="S37" s="31"/>
      <c r="T37" s="31"/>
      <c r="U37" s="31"/>
      <c r="V37" s="31"/>
      <c r="W37" s="31"/>
      <c r="X37" s="31"/>
      <c r="Y37" s="32"/>
    </row>
    <row r="38" spans="1:25" x14ac:dyDescent="0.15">
      <c r="A38" s="24"/>
      <c r="B38" s="11" t="s">
        <v>248</v>
      </c>
      <c r="C38" s="17">
        <f>COUNTIF('Sheet 3'!$I$14:$I$119,Summary!B38)</f>
        <v>0</v>
      </c>
      <c r="D38" s="18" t="e">
        <f t="shared" si="3"/>
        <v>#DIV/0!</v>
      </c>
      <c r="E38" s="22"/>
      <c r="F38" s="22"/>
      <c r="G38" s="22"/>
      <c r="H38" s="22"/>
      <c r="I38" s="22"/>
      <c r="J38" s="22"/>
      <c r="K38" s="22"/>
      <c r="L38" s="22"/>
      <c r="M38" s="1"/>
      <c r="N38" s="29"/>
      <c r="O38" s="11" t="s">
        <v>248</v>
      </c>
      <c r="P38" s="17">
        <f>COUNTIF('Sheet 2'!$I$2:$I$109,Summary!O38)</f>
        <v>0</v>
      </c>
      <c r="Q38" s="18" t="e">
        <f t="shared" si="4"/>
        <v>#DIV/0!</v>
      </c>
      <c r="R38" s="31"/>
      <c r="S38" s="31"/>
      <c r="T38" s="31"/>
      <c r="U38" s="31"/>
      <c r="V38" s="31"/>
      <c r="W38" s="31"/>
      <c r="X38" s="31"/>
      <c r="Y38" s="32"/>
    </row>
    <row r="39" spans="1:25" ht="14" thickBot="1" x14ac:dyDescent="0.2">
      <c r="A39" s="24"/>
      <c r="B39" s="12" t="s">
        <v>249</v>
      </c>
      <c r="C39" s="17">
        <f>COUNTIF('Sheet 3'!$I$2:$I$119,Summary!B39)</f>
        <v>0</v>
      </c>
      <c r="D39" s="18" t="e">
        <f t="shared" si="3"/>
        <v>#DIV/0!</v>
      </c>
      <c r="E39" s="22"/>
      <c r="F39" s="22"/>
      <c r="G39" s="22"/>
      <c r="H39" s="22"/>
      <c r="I39" s="22"/>
      <c r="J39" s="22"/>
      <c r="K39" s="22"/>
      <c r="L39" s="22"/>
      <c r="M39" s="1"/>
      <c r="N39" s="29"/>
      <c r="O39" s="12" t="s">
        <v>249</v>
      </c>
      <c r="P39" s="17">
        <f>COUNTIF('Sheet 2'!$I$2:$I$109,Summary!O39)</f>
        <v>0</v>
      </c>
      <c r="Q39" s="13" t="e">
        <f t="shared" si="4"/>
        <v>#DIV/0!</v>
      </c>
      <c r="R39" s="31"/>
      <c r="S39" s="31"/>
      <c r="T39" s="31"/>
      <c r="U39" s="31"/>
      <c r="V39" s="31"/>
      <c r="W39" s="31"/>
      <c r="X39" s="31"/>
      <c r="Y39" s="32"/>
    </row>
    <row r="40" spans="1:25" ht="14" thickBot="1" x14ac:dyDescent="0.2">
      <c r="A40" s="24"/>
      <c r="B40" s="19" t="s">
        <v>250</v>
      </c>
      <c r="C40" s="20">
        <f>SUM(C33:C39)</f>
        <v>0</v>
      </c>
      <c r="D40" s="21"/>
      <c r="E40" s="22"/>
      <c r="F40" s="22"/>
      <c r="G40" s="22"/>
      <c r="H40" s="22"/>
      <c r="I40" s="22"/>
      <c r="J40" s="22"/>
      <c r="K40" s="22"/>
      <c r="L40" s="22"/>
      <c r="M40" s="1"/>
      <c r="N40" s="29"/>
      <c r="O40" s="19" t="s">
        <v>250</v>
      </c>
      <c r="P40" s="20">
        <f>SUM(P33:P39)</f>
        <v>0</v>
      </c>
      <c r="Q40" s="21"/>
      <c r="R40" s="31"/>
      <c r="S40" s="31"/>
      <c r="T40" s="31"/>
      <c r="U40" s="31"/>
      <c r="V40" s="31"/>
      <c r="W40" s="31"/>
      <c r="X40" s="31"/>
      <c r="Y40" s="32"/>
    </row>
    <row r="41" spans="1:25" ht="14" thickBot="1" x14ac:dyDescent="0.2">
      <c r="A41" s="25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1"/>
      <c r="N41" s="33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4"/>
    </row>
  </sheetData>
  <mergeCells count="5">
    <mergeCell ref="E2:H2"/>
    <mergeCell ref="E23:H23"/>
    <mergeCell ref="R2:U2"/>
    <mergeCell ref="Q23:V23"/>
    <mergeCell ref="AF2:AI2"/>
  </mergeCells>
  <phoneticPr fontId="2" type="noConversion"/>
  <pageMargins left="0.75" right="0.75" top="1" bottom="1" header="0.5" footer="0.5"/>
  <pageSetup paperSize="9" scale="55" orientation="landscape" r:id="rId1"/>
  <headerFooter alignWithMargins="0">
    <oddHeader>&amp;C&amp;"Calibri"&amp;10&amp;K737373 Serco Business - Commercial in Confidence&amp;1#_x000D_</oddHeader>
    <oddFooter>&amp;CSerco Internal</oddFooter>
    <evenFooter>&amp;CSerco Internal</evenFooter>
    <firstFooter>&amp;CSerco Internal</first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A8DA-539C-4D78-84E6-93DBE5BAAFB9}">
  <sheetPr>
    <tabColor indexed="44"/>
    <pageSetUpPr fitToPage="1"/>
  </sheetPr>
  <dimension ref="A1:M384"/>
  <sheetViews>
    <sheetView tabSelected="1" zoomScaleNormal="100" workbookViewId="0">
      <pane ySplit="1" topLeftCell="A2" activePane="bottomLeft" state="frozen"/>
      <selection pane="bottomLeft" activeCell="B19" sqref="B19"/>
    </sheetView>
  </sheetViews>
  <sheetFormatPr baseColWidth="10" defaultColWidth="8.6640625" defaultRowHeight="12.75" customHeight="1" x14ac:dyDescent="0.15"/>
  <cols>
    <col min="1" max="1" width="14.83203125" style="57" customWidth="1"/>
    <col min="2" max="2" width="16.83203125" style="57" customWidth="1"/>
    <col min="3" max="4" width="41.33203125" style="57" customWidth="1"/>
    <col min="5" max="5" width="43.5" style="57" bestFit="1" customWidth="1"/>
    <col min="6" max="6" width="41.33203125" style="57" customWidth="1"/>
    <col min="7" max="7" width="12.33203125" style="72" bestFit="1" customWidth="1"/>
    <col min="8" max="8" width="14.1640625" style="73" bestFit="1" customWidth="1"/>
    <col min="9" max="9" width="12.33203125" style="72" customWidth="1"/>
    <col min="10" max="10" width="30.83203125" style="55" customWidth="1"/>
    <col min="11" max="11" width="27.5" style="57" customWidth="1"/>
    <col min="12" max="12" width="18.6640625" style="57" customWidth="1"/>
    <col min="13" max="13" width="18" style="57" customWidth="1"/>
    <col min="14" max="520" width="8.6640625" style="57"/>
    <col min="521" max="521" width="11" style="57" customWidth="1"/>
    <col min="522" max="16384" width="8.6640625" style="57"/>
  </cols>
  <sheetData>
    <row r="1" spans="1:13" customFormat="1" ht="28" x14ac:dyDescent="0.15">
      <c r="A1" s="298" t="s">
        <v>253</v>
      </c>
      <c r="B1" s="234" t="s">
        <v>254</v>
      </c>
      <c r="C1" s="299" t="s">
        <v>255</v>
      </c>
      <c r="D1" s="299" t="s">
        <v>256</v>
      </c>
      <c r="E1" s="299" t="s">
        <v>257</v>
      </c>
      <c r="F1" s="299" t="s">
        <v>258</v>
      </c>
      <c r="G1" s="298" t="s">
        <v>259</v>
      </c>
      <c r="H1" s="304" t="s">
        <v>260</v>
      </c>
      <c r="I1" s="131" t="s">
        <v>261</v>
      </c>
      <c r="J1" s="207" t="s">
        <v>262</v>
      </c>
      <c r="K1" s="234" t="s">
        <v>263</v>
      </c>
      <c r="L1" s="276" t="s">
        <v>264</v>
      </c>
      <c r="M1" s="234" t="s">
        <v>254</v>
      </c>
    </row>
    <row r="2" spans="1:13" customFormat="1" ht="36" customHeight="1" x14ac:dyDescent="0.2">
      <c r="A2" s="340" t="s">
        <v>265</v>
      </c>
      <c r="B2" s="340" t="s">
        <v>413</v>
      </c>
      <c r="C2" s="340" t="s">
        <v>414</v>
      </c>
      <c r="D2" s="342" t="s">
        <v>266</v>
      </c>
      <c r="E2" s="340" t="s">
        <v>267</v>
      </c>
      <c r="F2" s="340" t="s">
        <v>268</v>
      </c>
      <c r="G2" s="300">
        <v>1</v>
      </c>
      <c r="H2" s="301"/>
      <c r="I2" s="302" t="s">
        <v>243</v>
      </c>
      <c r="J2" s="303"/>
      <c r="K2" s="207"/>
      <c r="L2" s="207"/>
      <c r="M2" s="293"/>
    </row>
    <row r="3" spans="1:13" customFormat="1" ht="36" customHeight="1" x14ac:dyDescent="0.2">
      <c r="A3" s="340" t="s">
        <v>419</v>
      </c>
      <c r="B3" s="340" t="s">
        <v>413</v>
      </c>
      <c r="C3" s="340" t="s">
        <v>414</v>
      </c>
      <c r="D3" s="342" t="s">
        <v>266</v>
      </c>
      <c r="E3" s="340" t="s">
        <v>267</v>
      </c>
      <c r="F3" s="340" t="s">
        <v>268</v>
      </c>
      <c r="G3" s="300">
        <v>1</v>
      </c>
      <c r="H3" s="301"/>
      <c r="I3" s="302" t="s">
        <v>243</v>
      </c>
      <c r="J3" s="303"/>
      <c r="K3" s="207"/>
      <c r="L3" s="207"/>
      <c r="M3" s="293"/>
    </row>
    <row r="4" spans="1:13" customFormat="1" ht="36" customHeight="1" x14ac:dyDescent="0.2">
      <c r="A4" s="340" t="s">
        <v>420</v>
      </c>
      <c r="B4" s="340" t="s">
        <v>413</v>
      </c>
      <c r="C4" s="340" t="s">
        <v>414</v>
      </c>
      <c r="D4" s="342" t="s">
        <v>266</v>
      </c>
      <c r="E4" s="340" t="s">
        <v>267</v>
      </c>
      <c r="F4" s="340" t="s">
        <v>268</v>
      </c>
      <c r="G4" s="300">
        <v>1</v>
      </c>
      <c r="H4" s="301"/>
      <c r="I4" s="302" t="s">
        <v>243</v>
      </c>
      <c r="J4" s="303"/>
      <c r="K4" s="207"/>
      <c r="L4" s="207"/>
      <c r="M4" s="293"/>
    </row>
    <row r="5" spans="1:13" customFormat="1" ht="15" x14ac:dyDescent="0.2">
      <c r="A5" s="341" t="s">
        <v>421</v>
      </c>
      <c r="B5" s="341" t="s">
        <v>417</v>
      </c>
      <c r="C5" s="341" t="s">
        <v>415</v>
      </c>
      <c r="D5" s="342" t="s">
        <v>269</v>
      </c>
      <c r="E5" s="341" t="s">
        <v>270</v>
      </c>
      <c r="F5" s="341" t="s">
        <v>271</v>
      </c>
      <c r="G5" s="300">
        <v>1</v>
      </c>
      <c r="H5" s="301"/>
      <c r="I5" s="302" t="s">
        <v>243</v>
      </c>
      <c r="J5" s="303"/>
      <c r="K5" s="207"/>
      <c r="L5" s="207"/>
      <c r="M5" s="293"/>
    </row>
    <row r="6" spans="1:13" customFormat="1" ht="15" x14ac:dyDescent="0.2">
      <c r="A6" s="341" t="s">
        <v>422</v>
      </c>
      <c r="B6" s="341" t="s">
        <v>417</v>
      </c>
      <c r="C6" s="341" t="s">
        <v>415</v>
      </c>
      <c r="D6" s="342" t="s">
        <v>269</v>
      </c>
      <c r="E6" s="341" t="s">
        <v>270</v>
      </c>
      <c r="F6" s="341" t="s">
        <v>271</v>
      </c>
      <c r="G6" s="300">
        <v>1</v>
      </c>
      <c r="H6" s="301"/>
      <c r="I6" s="302" t="s">
        <v>243</v>
      </c>
      <c r="J6" s="303"/>
      <c r="K6" s="207"/>
      <c r="L6" s="207"/>
      <c r="M6" s="293"/>
    </row>
    <row r="7" spans="1:13" customFormat="1" ht="15" x14ac:dyDescent="0.2">
      <c r="A7" s="341" t="s">
        <v>423</v>
      </c>
      <c r="B7" s="341" t="s">
        <v>417</v>
      </c>
      <c r="C7" s="341" t="s">
        <v>415</v>
      </c>
      <c r="D7" s="342" t="s">
        <v>269</v>
      </c>
      <c r="E7" s="341" t="s">
        <v>270</v>
      </c>
      <c r="F7" s="341" t="s">
        <v>271</v>
      </c>
      <c r="G7" s="300">
        <v>1</v>
      </c>
      <c r="H7" s="301"/>
      <c r="I7" s="302" t="s">
        <v>243</v>
      </c>
      <c r="J7" s="303"/>
      <c r="K7" s="207"/>
      <c r="L7" s="207"/>
      <c r="M7" s="293"/>
    </row>
    <row r="8" spans="1:13" customFormat="1" ht="15" x14ac:dyDescent="0.2">
      <c r="A8" s="341" t="s">
        <v>424</v>
      </c>
      <c r="B8" s="341" t="s">
        <v>417</v>
      </c>
      <c r="C8" s="341" t="s">
        <v>415</v>
      </c>
      <c r="D8" s="342" t="s">
        <v>269</v>
      </c>
      <c r="E8" s="341" t="s">
        <v>270</v>
      </c>
      <c r="F8" s="341" t="s">
        <v>271</v>
      </c>
      <c r="G8" s="300">
        <v>1</v>
      </c>
      <c r="H8" s="301"/>
      <c r="I8" s="302" t="s">
        <v>243</v>
      </c>
      <c r="J8" s="303"/>
      <c r="K8" s="207"/>
      <c r="L8" s="207"/>
      <c r="M8" s="293"/>
    </row>
    <row r="9" spans="1:13" customFormat="1" ht="15" x14ac:dyDescent="0.2">
      <c r="A9" s="341" t="s">
        <v>426</v>
      </c>
      <c r="B9" s="341" t="s">
        <v>418</v>
      </c>
      <c r="C9" s="341" t="s">
        <v>416</v>
      </c>
      <c r="D9" s="342" t="s">
        <v>272</v>
      </c>
      <c r="E9" s="341" t="s">
        <v>273</v>
      </c>
      <c r="F9" s="341" t="s">
        <v>274</v>
      </c>
      <c r="G9" s="300">
        <v>1</v>
      </c>
      <c r="H9" s="301"/>
      <c r="I9" s="302" t="s">
        <v>243</v>
      </c>
      <c r="J9" s="303"/>
      <c r="K9" s="207"/>
      <c r="L9" s="207"/>
      <c r="M9" s="293"/>
    </row>
    <row r="10" spans="1:13" customFormat="1" ht="15" x14ac:dyDescent="0.2">
      <c r="A10" s="341" t="s">
        <v>426</v>
      </c>
      <c r="B10" s="341" t="s">
        <v>428</v>
      </c>
      <c r="C10" s="341" t="s">
        <v>416</v>
      </c>
      <c r="D10" s="342" t="s">
        <v>272</v>
      </c>
      <c r="E10" s="341" t="s">
        <v>273</v>
      </c>
      <c r="F10" s="341" t="s">
        <v>274</v>
      </c>
      <c r="G10" s="300">
        <v>1</v>
      </c>
      <c r="H10" s="301"/>
      <c r="I10" s="302" t="s">
        <v>243</v>
      </c>
      <c r="J10" s="303"/>
      <c r="K10" s="207"/>
      <c r="L10" s="207"/>
      <c r="M10" s="293"/>
    </row>
    <row r="11" spans="1:13" customFormat="1" ht="15" x14ac:dyDescent="0.2">
      <c r="A11" s="341" t="s">
        <v>425</v>
      </c>
      <c r="B11" s="341" t="s">
        <v>418</v>
      </c>
      <c r="C11" s="341" t="s">
        <v>416</v>
      </c>
      <c r="D11" s="342" t="s">
        <v>272</v>
      </c>
      <c r="E11" s="341" t="s">
        <v>273</v>
      </c>
      <c r="F11" s="341" t="s">
        <v>274</v>
      </c>
      <c r="G11" s="300">
        <v>1</v>
      </c>
      <c r="H11" s="301"/>
      <c r="I11" s="302" t="s">
        <v>243</v>
      </c>
      <c r="J11" s="303"/>
      <c r="K11" s="207"/>
      <c r="L11" s="207"/>
      <c r="M11" s="293"/>
    </row>
    <row r="12" spans="1:13" customFormat="1" ht="15" x14ac:dyDescent="0.2">
      <c r="A12" s="341" t="s">
        <v>427</v>
      </c>
      <c r="B12" s="341" t="s">
        <v>418</v>
      </c>
      <c r="C12" s="341" t="s">
        <v>416</v>
      </c>
      <c r="D12" s="342" t="s">
        <v>272</v>
      </c>
      <c r="E12" s="341" t="s">
        <v>273</v>
      </c>
      <c r="F12" s="341" t="s">
        <v>274</v>
      </c>
      <c r="G12" s="300">
        <v>1</v>
      </c>
      <c r="H12" s="301"/>
      <c r="I12" s="302" t="s">
        <v>243</v>
      </c>
      <c r="J12" s="303"/>
      <c r="K12" s="207"/>
      <c r="L12" s="207"/>
      <c r="M12" s="293"/>
    </row>
    <row r="13" spans="1:13" ht="13.25" customHeight="1" x14ac:dyDescent="0.2">
      <c r="A13" s="350" t="s">
        <v>429</v>
      </c>
      <c r="B13" s="341" t="s">
        <v>418</v>
      </c>
      <c r="C13" s="341" t="s">
        <v>430</v>
      </c>
      <c r="D13" s="342" t="s">
        <v>272</v>
      </c>
      <c r="E13" s="341" t="s">
        <v>273</v>
      </c>
      <c r="F13" s="341" t="s">
        <v>274</v>
      </c>
      <c r="G13" s="300">
        <v>1</v>
      </c>
      <c r="H13" s="301"/>
      <c r="I13" s="302" t="s">
        <v>243</v>
      </c>
    </row>
    <row r="14" spans="1:13" ht="13.25" customHeight="1" x14ac:dyDescent="0.2">
      <c r="A14" s="366" t="s">
        <v>432</v>
      </c>
      <c r="B14" s="57" t="s">
        <v>431</v>
      </c>
      <c r="C14" s="366" t="s">
        <v>433</v>
      </c>
      <c r="D14" s="342" t="s">
        <v>272</v>
      </c>
      <c r="E14" s="341" t="s">
        <v>273</v>
      </c>
      <c r="F14" s="341" t="s">
        <v>274</v>
      </c>
      <c r="G14" s="300">
        <v>1</v>
      </c>
      <c r="H14" s="301"/>
      <c r="I14" s="302" t="s">
        <v>243</v>
      </c>
    </row>
    <row r="15" spans="1:13" ht="13.25" customHeight="1" x14ac:dyDescent="0.15"/>
    <row r="17" ht="13.25" customHeight="1" x14ac:dyDescent="0.15"/>
    <row r="18" ht="13.25" customHeight="1" x14ac:dyDescent="0.15"/>
    <row r="19" ht="13.25" customHeight="1" x14ac:dyDescent="0.15"/>
    <row r="20" ht="13.25" customHeight="1" x14ac:dyDescent="0.15"/>
    <row r="21" ht="13.25" customHeight="1" x14ac:dyDescent="0.15"/>
    <row r="22" ht="13.25" customHeight="1" x14ac:dyDescent="0.15"/>
    <row r="23" ht="13.25" customHeight="1" x14ac:dyDescent="0.15"/>
    <row r="24" ht="13.25" customHeight="1" x14ac:dyDescent="0.15"/>
    <row r="26" ht="13.25" customHeight="1" x14ac:dyDescent="0.15"/>
    <row r="27" ht="13.25" customHeight="1" x14ac:dyDescent="0.15"/>
    <row r="28" ht="13.25" customHeight="1" x14ac:dyDescent="0.15"/>
    <row r="29" ht="13.25" customHeight="1" x14ac:dyDescent="0.15"/>
    <row r="30" ht="13.25" customHeight="1" x14ac:dyDescent="0.15"/>
    <row r="31" ht="13.25" customHeight="1" x14ac:dyDescent="0.15"/>
    <row r="32" ht="13.25" customHeight="1" x14ac:dyDescent="0.15"/>
    <row r="33" ht="13.25" customHeight="1" x14ac:dyDescent="0.15"/>
    <row r="35" ht="13.25" customHeight="1" x14ac:dyDescent="0.15"/>
    <row r="36" ht="13.25" customHeight="1" x14ac:dyDescent="0.15"/>
    <row r="37" ht="13.25" customHeight="1" x14ac:dyDescent="0.15"/>
    <row r="38" ht="13.25" customHeight="1" x14ac:dyDescent="0.15"/>
    <row r="39" ht="13.25" customHeight="1" x14ac:dyDescent="0.15"/>
    <row r="40" ht="13.25" customHeight="1" x14ac:dyDescent="0.15"/>
    <row r="41" ht="13.25" customHeight="1" x14ac:dyDescent="0.15"/>
    <row r="42" ht="13.25" customHeight="1" x14ac:dyDescent="0.15"/>
    <row r="44" ht="13.25" customHeight="1" x14ac:dyDescent="0.15"/>
    <row r="45" ht="13.25" customHeight="1" x14ac:dyDescent="0.15"/>
    <row r="46" ht="13.25" customHeight="1" x14ac:dyDescent="0.15"/>
    <row r="47" ht="13.25" customHeight="1" x14ac:dyDescent="0.15"/>
    <row r="48" ht="13.25" customHeight="1" x14ac:dyDescent="0.15"/>
    <row r="49" ht="13.25" customHeight="1" x14ac:dyDescent="0.15"/>
    <row r="50" ht="13.25" customHeight="1" x14ac:dyDescent="0.15"/>
    <row r="51" ht="13.25" customHeight="1" x14ac:dyDescent="0.15"/>
    <row r="53" ht="13.25" customHeight="1" x14ac:dyDescent="0.15"/>
    <row r="54" ht="13.25" customHeight="1" x14ac:dyDescent="0.15"/>
    <row r="55" ht="13.25" customHeight="1" x14ac:dyDescent="0.15"/>
    <row r="56" ht="13.25" customHeight="1" x14ac:dyDescent="0.15"/>
    <row r="57" ht="13.25" customHeight="1" x14ac:dyDescent="0.15"/>
    <row r="58" ht="13.25" customHeight="1" x14ac:dyDescent="0.15"/>
    <row r="59" ht="13.25" customHeight="1" x14ac:dyDescent="0.15"/>
    <row r="60" ht="13.25" customHeight="1" x14ac:dyDescent="0.15"/>
    <row r="62" ht="13.25" customHeight="1" x14ac:dyDescent="0.15"/>
    <row r="63" ht="13.25" customHeight="1" x14ac:dyDescent="0.15"/>
    <row r="64" ht="13.25" customHeight="1" x14ac:dyDescent="0.15"/>
    <row r="65" ht="13.25" customHeight="1" x14ac:dyDescent="0.15"/>
    <row r="66" ht="13.25" customHeight="1" x14ac:dyDescent="0.15"/>
    <row r="67" ht="13.25" customHeight="1" x14ac:dyDescent="0.15"/>
    <row r="68" ht="13.25" customHeight="1" x14ac:dyDescent="0.15"/>
    <row r="69" ht="13.25" customHeight="1" x14ac:dyDescent="0.15"/>
    <row r="71" ht="13.25" customHeight="1" x14ac:dyDescent="0.15"/>
    <row r="72" ht="13.25" customHeight="1" x14ac:dyDescent="0.15"/>
    <row r="73" ht="13.25" customHeight="1" x14ac:dyDescent="0.15"/>
    <row r="74" ht="13.25" customHeight="1" x14ac:dyDescent="0.15"/>
    <row r="75" ht="13.25" customHeight="1" x14ac:dyDescent="0.15"/>
    <row r="76" ht="13.25" customHeight="1" x14ac:dyDescent="0.15"/>
    <row r="77" ht="13.25" customHeight="1" x14ac:dyDescent="0.15"/>
    <row r="78" ht="13.25" customHeight="1" x14ac:dyDescent="0.15"/>
    <row r="80" ht="13.25" customHeight="1" x14ac:dyDescent="0.15"/>
    <row r="81" ht="13.25" customHeight="1" x14ac:dyDescent="0.15"/>
    <row r="82" ht="13.25" customHeight="1" x14ac:dyDescent="0.15"/>
    <row r="83" ht="13.25" customHeight="1" x14ac:dyDescent="0.15"/>
    <row r="84" ht="13.25" customHeight="1" x14ac:dyDescent="0.15"/>
    <row r="85" ht="13.25" customHeight="1" x14ac:dyDescent="0.15"/>
    <row r="86" ht="13.25" customHeight="1" x14ac:dyDescent="0.15"/>
    <row r="87" ht="13.25" customHeight="1" x14ac:dyDescent="0.15"/>
    <row r="89" ht="13.25" customHeight="1" x14ac:dyDescent="0.15"/>
    <row r="90" ht="13.25" customHeight="1" x14ac:dyDescent="0.15"/>
    <row r="91" ht="13.25" customHeight="1" x14ac:dyDescent="0.15"/>
    <row r="92" ht="13.25" customHeight="1" x14ac:dyDescent="0.15"/>
    <row r="93" ht="13.25" customHeight="1" x14ac:dyDescent="0.15"/>
    <row r="94" ht="13.25" customHeight="1" x14ac:dyDescent="0.15"/>
    <row r="95" ht="13.25" customHeight="1" x14ac:dyDescent="0.15"/>
    <row r="96" ht="13.25" customHeight="1" x14ac:dyDescent="0.15"/>
    <row r="97" ht="13" x14ac:dyDescent="0.15"/>
    <row r="98" ht="13.25" customHeight="1" x14ac:dyDescent="0.15"/>
    <row r="99" ht="13.25" customHeight="1" x14ac:dyDescent="0.15"/>
    <row r="100" ht="13.25" customHeight="1" x14ac:dyDescent="0.15"/>
    <row r="101" ht="13.25" customHeight="1" x14ac:dyDescent="0.15"/>
    <row r="102" ht="13.25" customHeight="1" x14ac:dyDescent="0.15"/>
    <row r="103" ht="13.25" customHeight="1" x14ac:dyDescent="0.15"/>
    <row r="104" ht="13.25" customHeight="1" x14ac:dyDescent="0.15"/>
    <row r="105" ht="13.25" customHeight="1" x14ac:dyDescent="0.15"/>
    <row r="106" ht="13" x14ac:dyDescent="0.15"/>
    <row r="107" ht="13.25" customHeight="1" x14ac:dyDescent="0.15"/>
    <row r="108" ht="13.25" customHeight="1" x14ac:dyDescent="0.15"/>
    <row r="109" ht="13.25" customHeight="1" x14ac:dyDescent="0.15"/>
    <row r="110" ht="13.25" customHeight="1" x14ac:dyDescent="0.15"/>
    <row r="111" ht="13.25" customHeight="1" x14ac:dyDescent="0.15"/>
    <row r="112" ht="13.25" customHeight="1" x14ac:dyDescent="0.15"/>
    <row r="113" ht="13.25" customHeight="1" x14ac:dyDescent="0.15"/>
    <row r="114" ht="13.25" customHeight="1" x14ac:dyDescent="0.15"/>
    <row r="116" ht="13.25" customHeight="1" x14ac:dyDescent="0.15"/>
    <row r="117" ht="13.25" customHeight="1" x14ac:dyDescent="0.15"/>
    <row r="118" ht="13.25" customHeight="1" x14ac:dyDescent="0.15"/>
    <row r="119" ht="13.25" customHeight="1" x14ac:dyDescent="0.15"/>
    <row r="120" ht="13.25" customHeight="1" x14ac:dyDescent="0.15"/>
    <row r="121" ht="13.25" customHeight="1" x14ac:dyDescent="0.15"/>
    <row r="122" ht="13.25" customHeight="1" x14ac:dyDescent="0.15"/>
    <row r="123" ht="13.25" customHeight="1" x14ac:dyDescent="0.15"/>
    <row r="124" ht="13" x14ac:dyDescent="0.15"/>
    <row r="125" ht="13.25" customHeight="1" x14ac:dyDescent="0.15"/>
    <row r="126" ht="13.25" customHeight="1" x14ac:dyDescent="0.15"/>
    <row r="127" ht="13.25" customHeight="1" x14ac:dyDescent="0.15"/>
    <row r="128" ht="13.25" customHeight="1" x14ac:dyDescent="0.15"/>
    <row r="129" ht="13.25" customHeight="1" x14ac:dyDescent="0.15"/>
    <row r="130" ht="13.25" customHeight="1" x14ac:dyDescent="0.15"/>
    <row r="131" ht="13.25" customHeight="1" x14ac:dyDescent="0.15"/>
    <row r="132" ht="13.25" customHeight="1" x14ac:dyDescent="0.15"/>
    <row r="133" ht="13" x14ac:dyDescent="0.15"/>
    <row r="134" ht="13.25" customHeight="1" x14ac:dyDescent="0.15"/>
    <row r="135" ht="13.25" customHeight="1" x14ac:dyDescent="0.15"/>
    <row r="136" ht="13.25" customHeight="1" x14ac:dyDescent="0.15"/>
    <row r="137" ht="13.25" customHeight="1" x14ac:dyDescent="0.15"/>
    <row r="138" ht="13.25" customHeight="1" x14ac:dyDescent="0.15"/>
    <row r="139" ht="13.25" customHeight="1" x14ac:dyDescent="0.15"/>
    <row r="140" ht="13.25" customHeight="1" x14ac:dyDescent="0.15"/>
    <row r="141" ht="13.25" customHeight="1" x14ac:dyDescent="0.15"/>
    <row r="143" ht="13.25" customHeight="1" x14ac:dyDescent="0.15"/>
    <row r="144" ht="13.25" customHeight="1" x14ac:dyDescent="0.15"/>
    <row r="145" ht="13.25" customHeight="1" x14ac:dyDescent="0.15"/>
    <row r="146" ht="13.25" customHeight="1" x14ac:dyDescent="0.15"/>
    <row r="147" ht="13.25" customHeight="1" x14ac:dyDescent="0.15"/>
    <row r="148" ht="13.25" customHeight="1" x14ac:dyDescent="0.15"/>
    <row r="149" ht="13.25" customHeight="1" x14ac:dyDescent="0.15"/>
    <row r="150" ht="13.25" customHeight="1" x14ac:dyDescent="0.15"/>
    <row r="152" ht="13.25" customHeight="1" x14ac:dyDescent="0.15"/>
    <row r="153" ht="13.25" customHeight="1" x14ac:dyDescent="0.15"/>
    <row r="154" ht="13.25" customHeight="1" x14ac:dyDescent="0.15"/>
    <row r="155" ht="13.25" customHeight="1" x14ac:dyDescent="0.15"/>
    <row r="156" ht="13.25" customHeight="1" x14ac:dyDescent="0.15"/>
    <row r="157" ht="13.25" customHeight="1" x14ac:dyDescent="0.15"/>
    <row r="158" ht="13.25" customHeight="1" x14ac:dyDescent="0.15"/>
    <row r="159" ht="13.25" customHeight="1" x14ac:dyDescent="0.15"/>
    <row r="161" ht="13.25" customHeight="1" x14ac:dyDescent="0.15"/>
    <row r="162" ht="13.25" customHeight="1" x14ac:dyDescent="0.15"/>
    <row r="163" ht="13.25" customHeight="1" x14ac:dyDescent="0.15"/>
    <row r="164" ht="13.25" customHeight="1" x14ac:dyDescent="0.15"/>
    <row r="165" ht="13.25" customHeight="1" x14ac:dyDescent="0.15"/>
    <row r="166" ht="13.25" customHeight="1" x14ac:dyDescent="0.15"/>
    <row r="167" ht="13.25" customHeight="1" x14ac:dyDescent="0.15"/>
    <row r="168" ht="13.25" customHeight="1" x14ac:dyDescent="0.15"/>
    <row r="170" ht="13.25" customHeight="1" x14ac:dyDescent="0.15"/>
    <row r="171" ht="13.25" customHeight="1" x14ac:dyDescent="0.15"/>
    <row r="172" ht="13.25" customHeight="1" x14ac:dyDescent="0.15"/>
    <row r="173" ht="13.25" customHeight="1" x14ac:dyDescent="0.15"/>
    <row r="174" ht="13.25" customHeight="1" x14ac:dyDescent="0.15"/>
    <row r="175" ht="13.25" customHeight="1" x14ac:dyDescent="0.15"/>
    <row r="176" ht="13.25" customHeight="1" x14ac:dyDescent="0.15"/>
    <row r="177" ht="13.25" customHeight="1" x14ac:dyDescent="0.15"/>
    <row r="179" ht="13.25" customHeight="1" x14ac:dyDescent="0.15"/>
    <row r="180" ht="13.25" customHeight="1" x14ac:dyDescent="0.15"/>
    <row r="181" ht="13.25" customHeight="1" x14ac:dyDescent="0.15"/>
    <row r="182" ht="13.25" customHeight="1" x14ac:dyDescent="0.15"/>
    <row r="183" ht="13.25" customHeight="1" x14ac:dyDescent="0.15"/>
    <row r="184" ht="13.25" customHeight="1" x14ac:dyDescent="0.15"/>
    <row r="185" ht="13.25" customHeight="1" x14ac:dyDescent="0.15"/>
    <row r="186" ht="13.25" customHeight="1" x14ac:dyDescent="0.15"/>
    <row r="188" ht="13.25" customHeight="1" x14ac:dyDescent="0.15"/>
    <row r="189" ht="13.25" customHeight="1" x14ac:dyDescent="0.15"/>
    <row r="190" ht="13.25" customHeight="1" x14ac:dyDescent="0.15"/>
    <row r="191" ht="13.25" customHeight="1" x14ac:dyDescent="0.15"/>
    <row r="192" ht="13.25" customHeight="1" x14ac:dyDescent="0.15"/>
    <row r="193" ht="13.25" customHeight="1" x14ac:dyDescent="0.15"/>
    <row r="194" ht="13.25" customHeight="1" x14ac:dyDescent="0.15"/>
    <row r="195" ht="13.25" customHeight="1" x14ac:dyDescent="0.15"/>
    <row r="197" ht="13.25" customHeight="1" x14ac:dyDescent="0.15"/>
    <row r="198" ht="13.25" customHeight="1" x14ac:dyDescent="0.15"/>
    <row r="199" ht="13.25" customHeight="1" x14ac:dyDescent="0.15"/>
    <row r="200" ht="13.25" customHeight="1" x14ac:dyDescent="0.15"/>
    <row r="201" ht="13.25" customHeight="1" x14ac:dyDescent="0.15"/>
    <row r="202" ht="13.25" customHeight="1" x14ac:dyDescent="0.15"/>
    <row r="203" ht="13.25" customHeight="1" x14ac:dyDescent="0.15"/>
    <row r="204" ht="13.25" customHeight="1" x14ac:dyDescent="0.15"/>
    <row r="206" ht="13.25" customHeight="1" x14ac:dyDescent="0.15"/>
    <row r="207" ht="13.25" customHeight="1" x14ac:dyDescent="0.15"/>
    <row r="208" ht="13.25" customHeight="1" x14ac:dyDescent="0.15"/>
    <row r="209" ht="13.25" customHeight="1" x14ac:dyDescent="0.15"/>
    <row r="210" ht="13.25" customHeight="1" x14ac:dyDescent="0.15"/>
    <row r="211" ht="13.25" customHeight="1" x14ac:dyDescent="0.15"/>
    <row r="212" ht="13.25" customHeight="1" x14ac:dyDescent="0.15"/>
    <row r="213" ht="13.25" customHeight="1" x14ac:dyDescent="0.15"/>
    <row r="215" ht="13.25" customHeight="1" x14ac:dyDescent="0.15"/>
    <row r="216" ht="13.25" customHeight="1" x14ac:dyDescent="0.15"/>
    <row r="217" ht="13.25" customHeight="1" x14ac:dyDescent="0.15"/>
    <row r="218" ht="13.25" customHeight="1" x14ac:dyDescent="0.15"/>
    <row r="219" ht="13.25" customHeight="1" x14ac:dyDescent="0.15"/>
    <row r="220" ht="13.25" customHeight="1" x14ac:dyDescent="0.15"/>
    <row r="221" ht="13.25" customHeight="1" x14ac:dyDescent="0.15"/>
    <row r="222" ht="13.25" customHeight="1" x14ac:dyDescent="0.15"/>
    <row r="224" ht="13.25" customHeight="1" x14ac:dyDescent="0.15"/>
    <row r="225" ht="13.25" customHeight="1" x14ac:dyDescent="0.15"/>
    <row r="226" ht="13.25" customHeight="1" x14ac:dyDescent="0.15"/>
    <row r="227" ht="13.25" customHeight="1" x14ac:dyDescent="0.15"/>
    <row r="228" ht="13.25" customHeight="1" x14ac:dyDescent="0.15"/>
    <row r="229" ht="13.25" customHeight="1" x14ac:dyDescent="0.15"/>
    <row r="230" ht="13.25" customHeight="1" x14ac:dyDescent="0.15"/>
    <row r="231" ht="13.25" customHeight="1" x14ac:dyDescent="0.15"/>
    <row r="233" ht="13.25" customHeight="1" x14ac:dyDescent="0.15"/>
    <row r="234" ht="13.25" customHeight="1" x14ac:dyDescent="0.15"/>
    <row r="235" ht="13.25" customHeight="1" x14ac:dyDescent="0.15"/>
    <row r="236" ht="13.25" customHeight="1" x14ac:dyDescent="0.15"/>
    <row r="237" ht="13.25" customHeight="1" x14ac:dyDescent="0.15"/>
    <row r="238" ht="13.25" customHeight="1" x14ac:dyDescent="0.15"/>
    <row r="239" ht="13.25" customHeight="1" x14ac:dyDescent="0.15"/>
    <row r="240" ht="13.25" customHeight="1" x14ac:dyDescent="0.15"/>
    <row r="242" ht="13.25" customHeight="1" x14ac:dyDescent="0.15"/>
    <row r="243" ht="13.25" customHeight="1" x14ac:dyDescent="0.15"/>
    <row r="244" ht="13.25" customHeight="1" x14ac:dyDescent="0.15"/>
    <row r="245" ht="13.25" customHeight="1" x14ac:dyDescent="0.15"/>
    <row r="246" ht="13.25" customHeight="1" x14ac:dyDescent="0.15"/>
    <row r="247" ht="13.25" customHeight="1" x14ac:dyDescent="0.15"/>
    <row r="248" ht="13.25" customHeight="1" x14ac:dyDescent="0.15"/>
    <row r="249" ht="13.25" customHeight="1" x14ac:dyDescent="0.15"/>
    <row r="251" ht="13.25" customHeight="1" x14ac:dyDescent="0.15"/>
    <row r="252" ht="13.25" customHeight="1" x14ac:dyDescent="0.15"/>
    <row r="253" ht="13.25" customHeight="1" x14ac:dyDescent="0.15"/>
    <row r="254" ht="13.25" customHeight="1" x14ac:dyDescent="0.15"/>
    <row r="255" ht="13.25" customHeight="1" x14ac:dyDescent="0.15"/>
    <row r="256" ht="13.25" customHeight="1" x14ac:dyDescent="0.15"/>
    <row r="257" ht="13.25" customHeight="1" x14ac:dyDescent="0.15"/>
    <row r="258" ht="13.25" customHeight="1" x14ac:dyDescent="0.15"/>
    <row r="260" ht="13.25" customHeight="1" x14ac:dyDescent="0.15"/>
    <row r="261" ht="13.25" customHeight="1" x14ac:dyDescent="0.15"/>
    <row r="262" ht="13.25" customHeight="1" x14ac:dyDescent="0.15"/>
    <row r="263" ht="13.25" customHeight="1" x14ac:dyDescent="0.15"/>
    <row r="264" ht="13.25" customHeight="1" x14ac:dyDescent="0.15"/>
    <row r="265" ht="13.25" customHeight="1" x14ac:dyDescent="0.15"/>
    <row r="266" ht="13.25" customHeight="1" x14ac:dyDescent="0.15"/>
    <row r="267" ht="13.25" customHeight="1" x14ac:dyDescent="0.15"/>
    <row r="269" ht="13.25" customHeight="1" x14ac:dyDescent="0.15"/>
    <row r="270" ht="13.25" customHeight="1" x14ac:dyDescent="0.15"/>
    <row r="271" ht="13.25" customHeight="1" x14ac:dyDescent="0.15"/>
    <row r="272" ht="13.25" customHeight="1" x14ac:dyDescent="0.15"/>
    <row r="273" ht="13.25" customHeight="1" x14ac:dyDescent="0.15"/>
    <row r="274" ht="13.25" customHeight="1" x14ac:dyDescent="0.15"/>
    <row r="275" ht="13.25" customHeight="1" x14ac:dyDescent="0.15"/>
    <row r="276" ht="13.25" customHeight="1" x14ac:dyDescent="0.15"/>
    <row r="278" ht="13.25" customHeight="1" x14ac:dyDescent="0.15"/>
    <row r="279" ht="13.25" customHeight="1" x14ac:dyDescent="0.15"/>
    <row r="280" ht="13.25" customHeight="1" x14ac:dyDescent="0.15"/>
    <row r="281" ht="13.25" customHeight="1" x14ac:dyDescent="0.15"/>
    <row r="282" ht="13.25" customHeight="1" x14ac:dyDescent="0.15"/>
    <row r="283" ht="13.25" customHeight="1" x14ac:dyDescent="0.15"/>
    <row r="284" ht="13.25" customHeight="1" x14ac:dyDescent="0.15"/>
    <row r="285" ht="13.25" customHeight="1" x14ac:dyDescent="0.15"/>
    <row r="286" ht="13" x14ac:dyDescent="0.15"/>
    <row r="287" ht="13.25" customHeight="1" x14ac:dyDescent="0.15"/>
    <row r="288" ht="13.25" customHeight="1" x14ac:dyDescent="0.15"/>
    <row r="289" ht="13.25" customHeight="1" x14ac:dyDescent="0.15"/>
    <row r="290" ht="13.25" customHeight="1" x14ac:dyDescent="0.15"/>
    <row r="291" ht="13.25" customHeight="1" x14ac:dyDescent="0.15"/>
    <row r="292" ht="13.25" customHeight="1" x14ac:dyDescent="0.15"/>
    <row r="293" ht="13.25" customHeight="1" x14ac:dyDescent="0.15"/>
    <row r="294" ht="13.25" customHeight="1" x14ac:dyDescent="0.15"/>
    <row r="296" ht="13.25" customHeight="1" x14ac:dyDescent="0.15"/>
    <row r="297" ht="13.25" customHeight="1" x14ac:dyDescent="0.15"/>
    <row r="298" ht="13.25" customHeight="1" x14ac:dyDescent="0.15"/>
    <row r="299" ht="13.25" customHeight="1" x14ac:dyDescent="0.15"/>
    <row r="300" ht="13.25" customHeight="1" x14ac:dyDescent="0.15"/>
    <row r="301" ht="13.25" customHeight="1" x14ac:dyDescent="0.15"/>
    <row r="302" ht="13.25" customHeight="1" x14ac:dyDescent="0.15"/>
    <row r="303" ht="13.25" customHeight="1" x14ac:dyDescent="0.15"/>
    <row r="305" ht="13.25" customHeight="1" x14ac:dyDescent="0.15"/>
    <row r="306" ht="13.25" customHeight="1" x14ac:dyDescent="0.15"/>
    <row r="307" ht="13.25" customHeight="1" x14ac:dyDescent="0.15"/>
    <row r="308" ht="13.25" customHeight="1" x14ac:dyDescent="0.15"/>
    <row r="309" ht="13.25" customHeight="1" x14ac:dyDescent="0.15"/>
    <row r="310" ht="13.25" customHeight="1" x14ac:dyDescent="0.15"/>
    <row r="311" ht="13.25" customHeight="1" x14ac:dyDescent="0.15"/>
    <row r="312" ht="13.25" customHeight="1" x14ac:dyDescent="0.15"/>
    <row r="314" ht="13.25" customHeight="1" x14ac:dyDescent="0.15"/>
    <row r="315" ht="13.25" customHeight="1" x14ac:dyDescent="0.15"/>
    <row r="316" ht="13.25" customHeight="1" x14ac:dyDescent="0.15"/>
    <row r="317" ht="13.25" customHeight="1" x14ac:dyDescent="0.15"/>
    <row r="318" ht="13.25" customHeight="1" x14ac:dyDescent="0.15"/>
    <row r="319" ht="13.25" customHeight="1" x14ac:dyDescent="0.15"/>
    <row r="320" ht="13.25" customHeight="1" x14ac:dyDescent="0.15"/>
    <row r="321" ht="13.25" customHeight="1" x14ac:dyDescent="0.15"/>
    <row r="322" ht="13" x14ac:dyDescent="0.15"/>
    <row r="323" ht="13.25" customHeight="1" x14ac:dyDescent="0.15"/>
    <row r="324" ht="13.25" customHeight="1" x14ac:dyDescent="0.15"/>
    <row r="325" ht="13.25" customHeight="1" x14ac:dyDescent="0.15"/>
    <row r="326" ht="13.25" customHeight="1" x14ac:dyDescent="0.15"/>
    <row r="327" ht="13.25" customHeight="1" x14ac:dyDescent="0.15"/>
    <row r="328" ht="13.25" customHeight="1" x14ac:dyDescent="0.15"/>
    <row r="329" ht="13.25" customHeight="1" x14ac:dyDescent="0.15"/>
    <row r="330" ht="13.25" customHeight="1" x14ac:dyDescent="0.15"/>
    <row r="332" ht="13.25" customHeight="1" x14ac:dyDescent="0.15"/>
    <row r="333" ht="13.25" customHeight="1" x14ac:dyDescent="0.15"/>
    <row r="334" ht="13.25" customHeight="1" x14ac:dyDescent="0.15"/>
    <row r="335" ht="13.25" customHeight="1" x14ac:dyDescent="0.15"/>
    <row r="336" ht="13.25" customHeight="1" x14ac:dyDescent="0.15"/>
    <row r="337" ht="13.25" customHeight="1" x14ac:dyDescent="0.15"/>
    <row r="338" ht="13.25" customHeight="1" x14ac:dyDescent="0.15"/>
    <row r="339" ht="13.25" customHeight="1" x14ac:dyDescent="0.15"/>
    <row r="341" ht="13.25" customHeight="1" x14ac:dyDescent="0.15"/>
    <row r="342" ht="13.25" customHeight="1" x14ac:dyDescent="0.15"/>
    <row r="343" ht="13.25" customHeight="1" x14ac:dyDescent="0.15"/>
    <row r="344" ht="13.25" customHeight="1" x14ac:dyDescent="0.15"/>
    <row r="345" ht="13.25" customHeight="1" x14ac:dyDescent="0.15"/>
    <row r="346" ht="13.25" customHeight="1" x14ac:dyDescent="0.15"/>
    <row r="347" ht="13.25" customHeight="1" x14ac:dyDescent="0.15"/>
    <row r="348" ht="13.25" customHeight="1" x14ac:dyDescent="0.15"/>
    <row r="350" ht="13.25" customHeight="1" x14ac:dyDescent="0.15"/>
    <row r="351" ht="13.25" customHeight="1" x14ac:dyDescent="0.15"/>
    <row r="352" ht="13.25" customHeight="1" x14ac:dyDescent="0.15"/>
    <row r="353" ht="13.25" customHeight="1" x14ac:dyDescent="0.15"/>
    <row r="354" ht="13.25" customHeight="1" x14ac:dyDescent="0.15"/>
    <row r="355" ht="13.25" customHeight="1" x14ac:dyDescent="0.15"/>
    <row r="356" ht="13.25" customHeight="1" x14ac:dyDescent="0.15"/>
    <row r="357" ht="13.25" customHeight="1" x14ac:dyDescent="0.15"/>
    <row r="359" ht="13.25" customHeight="1" x14ac:dyDescent="0.15"/>
    <row r="360" ht="13.25" customHeight="1" x14ac:dyDescent="0.15"/>
    <row r="361" ht="13.25" customHeight="1" x14ac:dyDescent="0.15"/>
    <row r="362" ht="13.25" customHeight="1" x14ac:dyDescent="0.15"/>
    <row r="363" ht="13.25" customHeight="1" x14ac:dyDescent="0.15"/>
    <row r="364" ht="13.25" customHeight="1" x14ac:dyDescent="0.15"/>
    <row r="365" ht="13.25" customHeight="1" x14ac:dyDescent="0.15"/>
    <row r="366" ht="13.25" customHeight="1" x14ac:dyDescent="0.15"/>
    <row r="368" ht="13.25" customHeight="1" x14ac:dyDescent="0.15"/>
    <row r="369" ht="13.25" customHeight="1" x14ac:dyDescent="0.15"/>
    <row r="370" ht="13.25" customHeight="1" x14ac:dyDescent="0.15"/>
    <row r="371" ht="13.25" customHeight="1" x14ac:dyDescent="0.15"/>
    <row r="372" ht="13.25" customHeight="1" x14ac:dyDescent="0.15"/>
    <row r="373" ht="13.25" customHeight="1" x14ac:dyDescent="0.15"/>
    <row r="374" ht="13.25" customHeight="1" x14ac:dyDescent="0.15"/>
    <row r="375" ht="13.25" customHeight="1" x14ac:dyDescent="0.15"/>
    <row r="377" ht="13.25" customHeight="1" x14ac:dyDescent="0.15"/>
    <row r="378" ht="13.25" customHeight="1" x14ac:dyDescent="0.15"/>
    <row r="379" ht="13.25" customHeight="1" x14ac:dyDescent="0.15"/>
    <row r="380" ht="13.25" customHeight="1" x14ac:dyDescent="0.15"/>
    <row r="381" ht="13.25" customHeight="1" x14ac:dyDescent="0.15"/>
    <row r="382" ht="13.25" customHeight="1" x14ac:dyDescent="0.15"/>
    <row r="383" ht="13.25" customHeight="1" x14ac:dyDescent="0.15"/>
    <row r="384" ht="13.25" customHeight="1" x14ac:dyDescent="0.15"/>
  </sheetData>
  <autoFilter ref="A1:M10" xr:uid="{D1C5A8DA-539C-4D78-84E6-93DBE5BAAFB9}"/>
  <phoneticPr fontId="2" type="noConversion"/>
  <dataValidations count="1">
    <dataValidation type="list" allowBlank="1" showInputMessage="1" showErrorMessage="1" sqref="I1:I1048576" xr:uid="{8C9B7158-30C4-49A9-B4E1-A265D03D5913}">
      <formula1>statuslist</formula1>
    </dataValidation>
  </dataValidations>
  <pageMargins left="0.51181102362204722" right="0.51181102362204722" top="0.74803149606299213" bottom="0.51181102362204722" header="0.51181102362204722" footer="0.51181102362204722"/>
  <pageSetup paperSize="8" scale="62" fitToHeight="0" orientation="landscape" horizontalDpi="4294967295" verticalDpi="4294967295" r:id="rId1"/>
  <headerFooter alignWithMargins="0">
    <oddHeader>&amp;C&amp;"Calibri"&amp;10&amp;K737373 Serco Business - Commercial in Confidence&amp;1#_x000D_</oddHeader>
    <oddFooter>&amp;CSerco Internal</oddFooter>
    <evenFooter>&amp;CSerco Internal</evenFooter>
    <firstFooter>&amp;CSerco Internal</first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1A539-3A9E-4C6D-B38B-62A292B61864}">
  <sheetPr>
    <tabColor theme="9" tint="0.39997558519241921"/>
  </sheetPr>
  <dimension ref="A1:TA90"/>
  <sheetViews>
    <sheetView zoomScale="86" zoomScaleNormal="86" workbookViewId="0">
      <pane ySplit="1" topLeftCell="A2" activePane="bottomLeft" state="frozen"/>
      <selection pane="bottomLeft" activeCell="A54" sqref="A54:XFD58"/>
    </sheetView>
  </sheetViews>
  <sheetFormatPr baseColWidth="10" defaultColWidth="8.6640625" defaultRowHeight="12.75" customHeight="1" x14ac:dyDescent="0.15"/>
  <cols>
    <col min="1" max="2" width="11.1640625" style="57" customWidth="1"/>
    <col min="3" max="3" width="44.33203125" style="71" customWidth="1"/>
    <col min="4" max="5" width="42.6640625" style="49" customWidth="1"/>
    <col min="6" max="6" width="33.5" style="48" customWidth="1"/>
    <col min="7" max="7" width="10.5" style="72" bestFit="1" customWidth="1"/>
    <col min="8" max="8" width="11.83203125" style="73" customWidth="1"/>
    <col min="9" max="9" width="15.33203125" style="72" customWidth="1"/>
    <col min="10" max="10" width="46.83203125" style="55" customWidth="1"/>
    <col min="11" max="11" width="27.6640625" style="57" customWidth="1"/>
    <col min="12" max="12" width="14.33203125" style="57" customWidth="1"/>
    <col min="13" max="13" width="18.33203125" style="57" customWidth="1"/>
    <col min="14" max="16384" width="8.6640625" style="57"/>
  </cols>
  <sheetData>
    <row r="1" spans="1:521" ht="28" x14ac:dyDescent="0.15">
      <c r="A1" s="274" t="s">
        <v>253</v>
      </c>
      <c r="B1" s="234" t="s">
        <v>254</v>
      </c>
      <c r="C1" s="299" t="s">
        <v>255</v>
      </c>
      <c r="D1" s="299" t="s">
        <v>256</v>
      </c>
      <c r="E1" s="299" t="s">
        <v>257</v>
      </c>
      <c r="F1" s="299" t="s">
        <v>258</v>
      </c>
      <c r="G1" s="274" t="s">
        <v>259</v>
      </c>
      <c r="H1" s="275" t="s">
        <v>260</v>
      </c>
      <c r="I1" s="234" t="s">
        <v>261</v>
      </c>
      <c r="J1" s="207" t="s">
        <v>262</v>
      </c>
      <c r="K1" s="234" t="s">
        <v>263</v>
      </c>
      <c r="L1" s="276" t="s">
        <v>264</v>
      </c>
      <c r="M1" s="234" t="s">
        <v>254</v>
      </c>
    </row>
    <row r="2" spans="1:521" ht="14" x14ac:dyDescent="0.2">
      <c r="A2" s="340"/>
      <c r="B2" s="340"/>
      <c r="C2" s="340"/>
      <c r="D2" s="342"/>
      <c r="E2" s="343"/>
      <c r="F2" s="343"/>
      <c r="G2" s="300"/>
      <c r="H2" s="301"/>
      <c r="I2" s="302"/>
      <c r="J2" s="303"/>
      <c r="K2" s="207"/>
      <c r="L2" s="207"/>
      <c r="M2" s="293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  <c r="LO2"/>
      <c r="LP2"/>
      <c r="LQ2"/>
      <c r="LR2"/>
      <c r="LS2"/>
      <c r="LT2"/>
      <c r="LU2"/>
      <c r="LV2"/>
      <c r="LW2"/>
      <c r="LX2"/>
      <c r="LY2"/>
      <c r="LZ2"/>
      <c r="MA2"/>
      <c r="MB2"/>
      <c r="MC2"/>
      <c r="MD2"/>
      <c r="ME2"/>
      <c r="MF2"/>
      <c r="MG2"/>
      <c r="MH2"/>
      <c r="MI2"/>
      <c r="MJ2"/>
      <c r="MK2"/>
      <c r="ML2"/>
      <c r="MM2"/>
      <c r="MN2"/>
      <c r="MO2"/>
      <c r="MP2"/>
      <c r="MQ2"/>
      <c r="MR2"/>
      <c r="MS2"/>
      <c r="MT2"/>
      <c r="MU2"/>
      <c r="MV2"/>
      <c r="MW2"/>
      <c r="MX2"/>
      <c r="MY2"/>
      <c r="MZ2"/>
      <c r="NA2"/>
      <c r="NB2"/>
      <c r="NC2"/>
      <c r="ND2"/>
      <c r="NE2"/>
      <c r="NF2"/>
      <c r="NG2"/>
      <c r="NH2"/>
      <c r="NI2"/>
      <c r="NJ2"/>
      <c r="NK2"/>
      <c r="NL2"/>
      <c r="NM2"/>
      <c r="NN2"/>
      <c r="NO2"/>
      <c r="NP2"/>
      <c r="NQ2"/>
      <c r="NR2"/>
      <c r="NS2"/>
      <c r="NT2"/>
      <c r="NU2"/>
      <c r="NV2"/>
      <c r="NW2"/>
      <c r="NX2"/>
      <c r="NY2"/>
      <c r="NZ2"/>
      <c r="OA2"/>
      <c r="OB2"/>
      <c r="OC2"/>
      <c r="OD2"/>
      <c r="OE2"/>
      <c r="OF2"/>
      <c r="OG2"/>
      <c r="OH2"/>
      <c r="OI2"/>
      <c r="OJ2"/>
      <c r="OK2"/>
      <c r="OL2"/>
      <c r="OM2"/>
      <c r="ON2"/>
      <c r="OO2"/>
      <c r="OP2"/>
      <c r="OQ2"/>
      <c r="OR2"/>
      <c r="OS2"/>
      <c r="OT2"/>
      <c r="OU2"/>
      <c r="OV2"/>
      <c r="OW2"/>
      <c r="OX2"/>
      <c r="OY2"/>
      <c r="OZ2"/>
      <c r="PA2"/>
      <c r="PB2"/>
      <c r="PC2"/>
      <c r="PD2"/>
      <c r="PE2"/>
      <c r="PF2"/>
      <c r="PG2"/>
      <c r="PH2"/>
      <c r="PI2"/>
      <c r="PJ2"/>
      <c r="PK2"/>
      <c r="PL2"/>
      <c r="PM2"/>
      <c r="PN2"/>
      <c r="PO2"/>
      <c r="PP2"/>
      <c r="PQ2"/>
      <c r="PR2"/>
      <c r="PS2"/>
      <c r="PT2"/>
      <c r="PU2"/>
      <c r="PV2"/>
      <c r="PW2"/>
      <c r="PX2"/>
      <c r="PY2"/>
      <c r="PZ2"/>
      <c r="QA2"/>
      <c r="QB2"/>
      <c r="QC2"/>
      <c r="QD2"/>
      <c r="QE2"/>
      <c r="QF2"/>
      <c r="QG2"/>
      <c r="QH2"/>
      <c r="QI2"/>
      <c r="QJ2"/>
      <c r="QK2"/>
      <c r="QL2"/>
      <c r="QM2"/>
      <c r="QN2"/>
      <c r="QO2"/>
      <c r="QP2"/>
      <c r="QQ2"/>
      <c r="QR2"/>
      <c r="QS2"/>
      <c r="QT2"/>
      <c r="QU2"/>
      <c r="QV2"/>
      <c r="QW2"/>
      <c r="QX2"/>
      <c r="QY2"/>
      <c r="QZ2"/>
      <c r="RA2"/>
      <c r="RB2"/>
      <c r="RC2"/>
      <c r="RD2"/>
      <c r="RE2"/>
      <c r="RF2"/>
      <c r="RG2"/>
      <c r="RH2"/>
      <c r="RI2"/>
      <c r="RJ2"/>
      <c r="RK2"/>
      <c r="RL2"/>
      <c r="RM2"/>
      <c r="RN2"/>
      <c r="RO2"/>
      <c r="RP2"/>
      <c r="RQ2"/>
      <c r="RR2"/>
      <c r="RS2"/>
      <c r="RT2"/>
      <c r="RU2"/>
      <c r="RV2"/>
      <c r="RW2"/>
      <c r="RX2"/>
      <c r="RY2"/>
      <c r="RZ2"/>
      <c r="SA2"/>
      <c r="SB2"/>
      <c r="SC2"/>
      <c r="SD2"/>
      <c r="SE2"/>
      <c r="SF2"/>
      <c r="SG2"/>
      <c r="SH2"/>
      <c r="SI2"/>
      <c r="SJ2"/>
      <c r="SK2"/>
      <c r="SL2"/>
      <c r="SM2"/>
      <c r="SN2"/>
      <c r="SO2"/>
      <c r="SP2"/>
      <c r="SQ2"/>
      <c r="SR2"/>
      <c r="SS2"/>
      <c r="ST2"/>
      <c r="SU2"/>
      <c r="SV2"/>
      <c r="SW2"/>
      <c r="SX2"/>
      <c r="SY2"/>
      <c r="SZ2"/>
      <c r="TA2"/>
    </row>
    <row r="3" spans="1:521" ht="14" x14ac:dyDescent="0.2">
      <c r="A3" s="341"/>
      <c r="B3" s="341"/>
      <c r="C3" s="341"/>
      <c r="D3" s="342"/>
      <c r="E3" s="344"/>
      <c r="F3" s="344"/>
      <c r="G3" s="300"/>
      <c r="H3" s="301"/>
      <c r="I3" s="302"/>
      <c r="J3" s="303"/>
      <c r="K3" s="207"/>
      <c r="L3" s="207"/>
      <c r="M3" s="29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  <c r="LQ3"/>
      <c r="LR3"/>
      <c r="LS3"/>
      <c r="LT3"/>
      <c r="LU3"/>
      <c r="LV3"/>
      <c r="LW3"/>
      <c r="LX3"/>
      <c r="LY3"/>
      <c r="LZ3"/>
      <c r="MA3"/>
      <c r="MB3"/>
      <c r="MC3"/>
      <c r="MD3"/>
      <c r="ME3"/>
      <c r="MF3"/>
      <c r="MG3"/>
      <c r="MH3"/>
      <c r="MI3"/>
      <c r="MJ3"/>
      <c r="MK3"/>
      <c r="ML3"/>
      <c r="MM3"/>
      <c r="MN3"/>
      <c r="MO3"/>
      <c r="MP3"/>
      <c r="MQ3"/>
      <c r="MR3"/>
      <c r="MS3"/>
      <c r="MT3"/>
      <c r="MU3"/>
      <c r="MV3"/>
      <c r="MW3"/>
      <c r="MX3"/>
      <c r="MY3"/>
      <c r="MZ3"/>
      <c r="NA3"/>
      <c r="NB3"/>
      <c r="NC3"/>
      <c r="ND3"/>
      <c r="NE3"/>
      <c r="NF3"/>
      <c r="NG3"/>
      <c r="NH3"/>
      <c r="NI3"/>
      <c r="NJ3"/>
      <c r="NK3"/>
      <c r="NL3"/>
      <c r="NM3"/>
      <c r="NN3"/>
      <c r="NO3"/>
      <c r="NP3"/>
      <c r="NQ3"/>
      <c r="NR3"/>
      <c r="NS3"/>
      <c r="NT3"/>
      <c r="NU3"/>
      <c r="NV3"/>
      <c r="NW3"/>
      <c r="NX3"/>
      <c r="NY3"/>
      <c r="NZ3"/>
      <c r="OA3"/>
      <c r="OB3"/>
      <c r="OC3"/>
      <c r="OD3"/>
      <c r="OE3"/>
      <c r="OF3"/>
      <c r="OG3"/>
      <c r="OH3"/>
      <c r="OI3"/>
      <c r="OJ3"/>
      <c r="OK3"/>
      <c r="OL3"/>
      <c r="OM3"/>
      <c r="ON3"/>
      <c r="OO3"/>
      <c r="OP3"/>
      <c r="OQ3"/>
      <c r="OR3"/>
      <c r="OS3"/>
      <c r="OT3"/>
      <c r="OU3"/>
      <c r="OV3"/>
      <c r="OW3"/>
      <c r="OX3"/>
      <c r="OY3"/>
      <c r="OZ3"/>
      <c r="PA3"/>
      <c r="PB3"/>
      <c r="PC3"/>
      <c r="PD3"/>
      <c r="PE3"/>
      <c r="PF3"/>
      <c r="PG3"/>
      <c r="PH3"/>
      <c r="PI3"/>
      <c r="PJ3"/>
      <c r="PK3"/>
      <c r="PL3"/>
      <c r="PM3"/>
      <c r="PN3"/>
      <c r="PO3"/>
      <c r="PP3"/>
      <c r="PQ3"/>
      <c r="PR3"/>
      <c r="PS3"/>
      <c r="PT3"/>
      <c r="PU3"/>
      <c r="PV3"/>
      <c r="PW3"/>
      <c r="PX3"/>
      <c r="PY3"/>
      <c r="PZ3"/>
      <c r="QA3"/>
      <c r="QB3"/>
      <c r="QC3"/>
      <c r="QD3"/>
      <c r="QE3"/>
      <c r="QF3"/>
      <c r="QG3"/>
      <c r="QH3"/>
      <c r="QI3"/>
      <c r="QJ3"/>
      <c r="QK3"/>
      <c r="QL3"/>
      <c r="QM3"/>
      <c r="QN3"/>
      <c r="QO3"/>
      <c r="QP3"/>
      <c r="QQ3"/>
      <c r="QR3"/>
      <c r="QS3"/>
      <c r="QT3"/>
      <c r="QU3"/>
      <c r="QV3"/>
      <c r="QW3"/>
      <c r="QX3"/>
      <c r="QY3"/>
      <c r="QZ3"/>
      <c r="RA3"/>
      <c r="RB3"/>
      <c r="RC3"/>
      <c r="RD3"/>
      <c r="RE3"/>
      <c r="RF3"/>
      <c r="RG3"/>
      <c r="RH3"/>
      <c r="RI3"/>
      <c r="RJ3"/>
      <c r="RK3"/>
      <c r="RL3"/>
      <c r="RM3"/>
      <c r="RN3"/>
      <c r="RO3"/>
      <c r="RP3"/>
      <c r="RQ3"/>
      <c r="RR3"/>
      <c r="RS3"/>
      <c r="RT3"/>
      <c r="RU3"/>
      <c r="RV3"/>
      <c r="RW3"/>
      <c r="RX3"/>
      <c r="RY3"/>
      <c r="RZ3"/>
      <c r="SA3"/>
      <c r="SB3"/>
      <c r="SC3"/>
      <c r="SD3"/>
      <c r="SE3"/>
      <c r="SF3"/>
      <c r="SG3"/>
      <c r="SH3"/>
      <c r="SI3"/>
      <c r="SJ3"/>
      <c r="SK3"/>
      <c r="SL3"/>
      <c r="SM3"/>
      <c r="SN3"/>
      <c r="SO3"/>
      <c r="SP3"/>
      <c r="SQ3"/>
      <c r="SR3"/>
      <c r="SS3"/>
      <c r="ST3"/>
      <c r="SU3"/>
      <c r="SV3"/>
      <c r="SW3"/>
      <c r="SX3"/>
      <c r="SY3"/>
      <c r="SZ3"/>
      <c r="TA3"/>
    </row>
    <row r="4" spans="1:521" ht="14" x14ac:dyDescent="0.2">
      <c r="A4" s="341"/>
      <c r="B4" s="341"/>
      <c r="C4" s="341"/>
      <c r="D4" s="342"/>
      <c r="E4" s="344"/>
      <c r="F4" s="344"/>
      <c r="G4" s="300"/>
      <c r="H4" s="301"/>
      <c r="I4" s="302"/>
      <c r="J4" s="303"/>
      <c r="K4" s="207"/>
      <c r="L4" s="207"/>
      <c r="M4" s="293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  <c r="LQ4"/>
      <c r="LR4"/>
      <c r="LS4"/>
      <c r="LT4"/>
      <c r="LU4"/>
      <c r="LV4"/>
      <c r="LW4"/>
      <c r="LX4"/>
      <c r="LY4"/>
      <c r="LZ4"/>
      <c r="MA4"/>
      <c r="MB4"/>
      <c r="MC4"/>
      <c r="MD4"/>
      <c r="ME4"/>
      <c r="MF4"/>
      <c r="MG4"/>
      <c r="MH4"/>
      <c r="MI4"/>
      <c r="MJ4"/>
      <c r="MK4"/>
      <c r="ML4"/>
      <c r="MM4"/>
      <c r="MN4"/>
      <c r="MO4"/>
      <c r="MP4"/>
      <c r="MQ4"/>
      <c r="MR4"/>
      <c r="MS4"/>
      <c r="MT4"/>
      <c r="MU4"/>
      <c r="MV4"/>
      <c r="MW4"/>
      <c r="MX4"/>
      <c r="MY4"/>
      <c r="MZ4"/>
      <c r="NA4"/>
      <c r="NB4"/>
      <c r="NC4"/>
      <c r="ND4"/>
      <c r="NE4"/>
      <c r="NF4"/>
      <c r="NG4"/>
      <c r="NH4"/>
      <c r="NI4"/>
      <c r="NJ4"/>
      <c r="NK4"/>
      <c r="NL4"/>
      <c r="NM4"/>
      <c r="NN4"/>
      <c r="NO4"/>
      <c r="NP4"/>
      <c r="NQ4"/>
      <c r="NR4"/>
      <c r="NS4"/>
      <c r="NT4"/>
      <c r="NU4"/>
      <c r="NV4"/>
      <c r="NW4"/>
      <c r="NX4"/>
      <c r="NY4"/>
      <c r="NZ4"/>
      <c r="OA4"/>
      <c r="OB4"/>
      <c r="OC4"/>
      <c r="OD4"/>
      <c r="OE4"/>
      <c r="OF4"/>
      <c r="OG4"/>
      <c r="OH4"/>
      <c r="OI4"/>
      <c r="OJ4"/>
      <c r="OK4"/>
      <c r="OL4"/>
      <c r="OM4"/>
      <c r="ON4"/>
      <c r="OO4"/>
      <c r="OP4"/>
      <c r="OQ4"/>
      <c r="OR4"/>
      <c r="OS4"/>
      <c r="OT4"/>
      <c r="OU4"/>
      <c r="OV4"/>
      <c r="OW4"/>
      <c r="OX4"/>
      <c r="OY4"/>
      <c r="OZ4"/>
      <c r="PA4"/>
      <c r="PB4"/>
      <c r="PC4"/>
      <c r="PD4"/>
      <c r="PE4"/>
      <c r="PF4"/>
      <c r="PG4"/>
      <c r="PH4"/>
      <c r="PI4"/>
      <c r="PJ4"/>
      <c r="PK4"/>
      <c r="PL4"/>
      <c r="PM4"/>
      <c r="PN4"/>
      <c r="PO4"/>
      <c r="PP4"/>
      <c r="PQ4"/>
      <c r="PR4"/>
      <c r="PS4"/>
      <c r="PT4"/>
      <c r="PU4"/>
      <c r="PV4"/>
      <c r="PW4"/>
      <c r="PX4"/>
      <c r="PY4"/>
      <c r="PZ4"/>
      <c r="QA4"/>
      <c r="QB4"/>
      <c r="QC4"/>
      <c r="QD4"/>
      <c r="QE4"/>
      <c r="QF4"/>
      <c r="QG4"/>
      <c r="QH4"/>
      <c r="QI4"/>
      <c r="QJ4"/>
      <c r="QK4"/>
      <c r="QL4"/>
      <c r="QM4"/>
      <c r="QN4"/>
      <c r="QO4"/>
      <c r="QP4"/>
      <c r="QQ4"/>
      <c r="QR4"/>
      <c r="QS4"/>
      <c r="QT4"/>
      <c r="QU4"/>
      <c r="QV4"/>
      <c r="QW4"/>
      <c r="QX4"/>
      <c r="QY4"/>
      <c r="QZ4"/>
      <c r="RA4"/>
      <c r="RB4"/>
      <c r="RC4"/>
      <c r="RD4"/>
      <c r="RE4"/>
      <c r="RF4"/>
      <c r="RG4"/>
      <c r="RH4"/>
      <c r="RI4"/>
      <c r="RJ4"/>
      <c r="RK4"/>
      <c r="RL4"/>
      <c r="RM4"/>
      <c r="RN4"/>
      <c r="RO4"/>
      <c r="RP4"/>
      <c r="RQ4"/>
      <c r="RR4"/>
      <c r="RS4"/>
      <c r="RT4"/>
      <c r="RU4"/>
      <c r="RV4"/>
      <c r="RW4"/>
      <c r="RX4"/>
      <c r="RY4"/>
      <c r="RZ4"/>
      <c r="SA4"/>
      <c r="SB4"/>
      <c r="SC4"/>
      <c r="SD4"/>
      <c r="SE4"/>
      <c r="SF4"/>
      <c r="SG4"/>
      <c r="SH4"/>
      <c r="SI4"/>
      <c r="SJ4"/>
      <c r="SK4"/>
      <c r="SL4"/>
      <c r="SM4"/>
      <c r="SN4"/>
      <c r="SO4"/>
      <c r="SP4"/>
      <c r="SQ4"/>
      <c r="SR4"/>
      <c r="SS4"/>
      <c r="ST4"/>
      <c r="SU4"/>
      <c r="SV4"/>
      <c r="SW4"/>
      <c r="SX4"/>
      <c r="SY4"/>
      <c r="SZ4"/>
      <c r="TA4"/>
    </row>
    <row r="5" spans="1:521" ht="14" x14ac:dyDescent="0.2">
      <c r="A5" s="341"/>
      <c r="B5" s="341"/>
      <c r="C5" s="341"/>
      <c r="D5" s="342"/>
      <c r="E5" s="344"/>
      <c r="F5" s="344"/>
      <c r="G5" s="300"/>
      <c r="H5" s="301"/>
      <c r="I5" s="302"/>
      <c r="J5" s="303"/>
      <c r="K5" s="207"/>
      <c r="L5" s="207"/>
      <c r="M5" s="293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  <c r="JZ5"/>
      <c r="KA5"/>
      <c r="KB5"/>
      <c r="KC5"/>
      <c r="KD5"/>
      <c r="KE5"/>
      <c r="KF5"/>
      <c r="KG5"/>
      <c r="KH5"/>
      <c r="KI5"/>
      <c r="KJ5"/>
      <c r="KK5"/>
      <c r="KL5"/>
      <c r="KM5"/>
      <c r="KN5"/>
      <c r="KO5"/>
      <c r="KP5"/>
      <c r="KQ5"/>
      <c r="KR5"/>
      <c r="KS5"/>
      <c r="KT5"/>
      <c r="KU5"/>
      <c r="KV5"/>
      <c r="KW5"/>
      <c r="KX5"/>
      <c r="KY5"/>
      <c r="KZ5"/>
      <c r="LA5"/>
      <c r="LB5"/>
      <c r="LC5"/>
      <c r="LD5"/>
      <c r="LE5"/>
      <c r="LF5"/>
      <c r="LG5"/>
      <c r="LH5"/>
      <c r="LI5"/>
      <c r="LJ5"/>
      <c r="LK5"/>
      <c r="LL5"/>
      <c r="LM5"/>
      <c r="LN5"/>
      <c r="LO5"/>
      <c r="LP5"/>
      <c r="LQ5"/>
      <c r="LR5"/>
      <c r="LS5"/>
      <c r="LT5"/>
      <c r="LU5"/>
      <c r="LV5"/>
      <c r="LW5"/>
      <c r="LX5"/>
      <c r="LY5"/>
      <c r="LZ5"/>
      <c r="MA5"/>
      <c r="MB5"/>
      <c r="MC5"/>
      <c r="MD5"/>
      <c r="ME5"/>
      <c r="MF5"/>
      <c r="MG5"/>
      <c r="MH5"/>
      <c r="MI5"/>
      <c r="MJ5"/>
      <c r="MK5"/>
      <c r="ML5"/>
      <c r="MM5"/>
      <c r="MN5"/>
      <c r="MO5"/>
      <c r="MP5"/>
      <c r="MQ5"/>
      <c r="MR5"/>
      <c r="MS5"/>
      <c r="MT5"/>
      <c r="MU5"/>
      <c r="MV5"/>
      <c r="MW5"/>
      <c r="MX5"/>
      <c r="MY5"/>
      <c r="MZ5"/>
      <c r="NA5"/>
      <c r="NB5"/>
      <c r="NC5"/>
      <c r="ND5"/>
      <c r="NE5"/>
      <c r="NF5"/>
      <c r="NG5"/>
      <c r="NH5"/>
      <c r="NI5"/>
      <c r="NJ5"/>
      <c r="NK5"/>
      <c r="NL5"/>
      <c r="NM5"/>
      <c r="NN5"/>
      <c r="NO5"/>
      <c r="NP5"/>
      <c r="NQ5"/>
      <c r="NR5"/>
      <c r="NS5"/>
      <c r="NT5"/>
      <c r="NU5"/>
      <c r="NV5"/>
      <c r="NW5"/>
      <c r="NX5"/>
      <c r="NY5"/>
      <c r="NZ5"/>
      <c r="OA5"/>
      <c r="OB5"/>
      <c r="OC5"/>
      <c r="OD5"/>
      <c r="OE5"/>
      <c r="OF5"/>
      <c r="OG5"/>
      <c r="OH5"/>
      <c r="OI5"/>
      <c r="OJ5"/>
      <c r="OK5"/>
      <c r="OL5"/>
      <c r="OM5"/>
      <c r="ON5"/>
      <c r="OO5"/>
      <c r="OP5"/>
      <c r="OQ5"/>
      <c r="OR5"/>
      <c r="OS5"/>
      <c r="OT5"/>
      <c r="OU5"/>
      <c r="OV5"/>
      <c r="OW5"/>
      <c r="OX5"/>
      <c r="OY5"/>
      <c r="OZ5"/>
      <c r="PA5"/>
      <c r="PB5"/>
      <c r="PC5"/>
      <c r="PD5"/>
      <c r="PE5"/>
      <c r="PF5"/>
      <c r="PG5"/>
      <c r="PH5"/>
      <c r="PI5"/>
      <c r="PJ5"/>
      <c r="PK5"/>
      <c r="PL5"/>
      <c r="PM5"/>
      <c r="PN5"/>
      <c r="PO5"/>
      <c r="PP5"/>
      <c r="PQ5"/>
      <c r="PR5"/>
      <c r="PS5"/>
      <c r="PT5"/>
      <c r="PU5"/>
      <c r="PV5"/>
      <c r="PW5"/>
      <c r="PX5"/>
      <c r="PY5"/>
      <c r="PZ5"/>
      <c r="QA5"/>
      <c r="QB5"/>
      <c r="QC5"/>
      <c r="QD5"/>
      <c r="QE5"/>
      <c r="QF5"/>
      <c r="QG5"/>
      <c r="QH5"/>
      <c r="QI5"/>
      <c r="QJ5"/>
      <c r="QK5"/>
      <c r="QL5"/>
      <c r="QM5"/>
      <c r="QN5"/>
      <c r="QO5"/>
      <c r="QP5"/>
      <c r="QQ5"/>
      <c r="QR5"/>
      <c r="QS5"/>
      <c r="QT5"/>
      <c r="QU5"/>
      <c r="QV5"/>
      <c r="QW5"/>
      <c r="QX5"/>
      <c r="QY5"/>
      <c r="QZ5"/>
      <c r="RA5"/>
      <c r="RB5"/>
      <c r="RC5"/>
      <c r="RD5"/>
      <c r="RE5"/>
      <c r="RF5"/>
      <c r="RG5"/>
      <c r="RH5"/>
      <c r="RI5"/>
      <c r="RJ5"/>
      <c r="RK5"/>
      <c r="RL5"/>
      <c r="RM5"/>
      <c r="RN5"/>
      <c r="RO5"/>
      <c r="RP5"/>
      <c r="RQ5"/>
      <c r="RR5"/>
      <c r="RS5"/>
      <c r="RT5"/>
      <c r="RU5"/>
      <c r="RV5"/>
      <c r="RW5"/>
      <c r="RX5"/>
      <c r="RY5"/>
      <c r="RZ5"/>
      <c r="SA5"/>
      <c r="SB5"/>
      <c r="SC5"/>
      <c r="SD5"/>
      <c r="SE5"/>
      <c r="SF5"/>
      <c r="SG5"/>
      <c r="SH5"/>
      <c r="SI5"/>
      <c r="SJ5"/>
      <c r="SK5"/>
      <c r="SL5"/>
      <c r="SM5"/>
      <c r="SN5"/>
      <c r="SO5"/>
      <c r="SP5"/>
      <c r="SQ5"/>
      <c r="SR5"/>
      <c r="SS5"/>
      <c r="ST5"/>
      <c r="SU5"/>
      <c r="SV5"/>
      <c r="SW5"/>
      <c r="SX5"/>
      <c r="SY5"/>
      <c r="SZ5"/>
      <c r="TA5"/>
    </row>
    <row r="6" spans="1:521" ht="14" x14ac:dyDescent="0.2">
      <c r="A6" s="341"/>
      <c r="B6" s="341"/>
      <c r="C6" s="341"/>
      <c r="D6" s="342"/>
      <c r="E6" s="344"/>
      <c r="F6" s="344"/>
      <c r="G6" s="300"/>
      <c r="H6" s="301"/>
      <c r="I6" s="302"/>
      <c r="J6" s="303"/>
      <c r="K6" s="207"/>
      <c r="L6" s="207"/>
      <c r="M6" s="293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  <c r="JS6"/>
      <c r="JT6"/>
      <c r="JU6"/>
      <c r="JV6"/>
      <c r="JW6"/>
      <c r="JX6"/>
      <c r="JY6"/>
      <c r="JZ6"/>
      <c r="KA6"/>
      <c r="KB6"/>
      <c r="KC6"/>
      <c r="KD6"/>
      <c r="KE6"/>
      <c r="KF6"/>
      <c r="KG6"/>
      <c r="KH6"/>
      <c r="KI6"/>
      <c r="KJ6"/>
      <c r="KK6"/>
      <c r="KL6"/>
      <c r="KM6"/>
      <c r="KN6"/>
      <c r="KO6"/>
      <c r="KP6"/>
      <c r="KQ6"/>
      <c r="KR6"/>
      <c r="KS6"/>
      <c r="KT6"/>
      <c r="KU6"/>
      <c r="KV6"/>
      <c r="KW6"/>
      <c r="KX6"/>
      <c r="KY6"/>
      <c r="KZ6"/>
      <c r="LA6"/>
      <c r="LB6"/>
      <c r="LC6"/>
      <c r="LD6"/>
      <c r="LE6"/>
      <c r="LF6"/>
      <c r="LG6"/>
      <c r="LH6"/>
      <c r="LI6"/>
      <c r="LJ6"/>
      <c r="LK6"/>
      <c r="LL6"/>
      <c r="LM6"/>
      <c r="LN6"/>
      <c r="LO6"/>
      <c r="LP6"/>
      <c r="LQ6"/>
      <c r="LR6"/>
      <c r="LS6"/>
      <c r="LT6"/>
      <c r="LU6"/>
      <c r="LV6"/>
      <c r="LW6"/>
      <c r="LX6"/>
      <c r="LY6"/>
      <c r="LZ6"/>
      <c r="MA6"/>
      <c r="MB6"/>
      <c r="MC6"/>
      <c r="MD6"/>
      <c r="ME6"/>
      <c r="MF6"/>
      <c r="MG6"/>
      <c r="MH6"/>
      <c r="MI6"/>
      <c r="MJ6"/>
      <c r="MK6"/>
      <c r="ML6"/>
      <c r="MM6"/>
      <c r="MN6"/>
      <c r="MO6"/>
      <c r="MP6"/>
      <c r="MQ6"/>
      <c r="MR6"/>
      <c r="MS6"/>
      <c r="MT6"/>
      <c r="MU6"/>
      <c r="MV6"/>
      <c r="MW6"/>
      <c r="MX6"/>
      <c r="MY6"/>
      <c r="MZ6"/>
      <c r="NA6"/>
      <c r="NB6"/>
      <c r="NC6"/>
      <c r="ND6"/>
      <c r="NE6"/>
      <c r="NF6"/>
      <c r="NG6"/>
      <c r="NH6"/>
      <c r="NI6"/>
      <c r="NJ6"/>
      <c r="NK6"/>
      <c r="NL6"/>
      <c r="NM6"/>
      <c r="NN6"/>
      <c r="NO6"/>
      <c r="NP6"/>
      <c r="NQ6"/>
      <c r="NR6"/>
      <c r="NS6"/>
      <c r="NT6"/>
      <c r="NU6"/>
      <c r="NV6"/>
      <c r="NW6"/>
      <c r="NX6"/>
      <c r="NY6"/>
      <c r="NZ6"/>
      <c r="OA6"/>
      <c r="OB6"/>
      <c r="OC6"/>
      <c r="OD6"/>
      <c r="OE6"/>
      <c r="OF6"/>
      <c r="OG6"/>
      <c r="OH6"/>
      <c r="OI6"/>
      <c r="OJ6"/>
      <c r="OK6"/>
      <c r="OL6"/>
      <c r="OM6"/>
      <c r="ON6"/>
      <c r="OO6"/>
      <c r="OP6"/>
      <c r="OQ6"/>
      <c r="OR6"/>
      <c r="OS6"/>
      <c r="OT6"/>
      <c r="OU6"/>
      <c r="OV6"/>
      <c r="OW6"/>
      <c r="OX6"/>
      <c r="OY6"/>
      <c r="OZ6"/>
      <c r="PA6"/>
      <c r="PB6"/>
      <c r="PC6"/>
      <c r="PD6"/>
      <c r="PE6"/>
      <c r="PF6"/>
      <c r="PG6"/>
      <c r="PH6"/>
      <c r="PI6"/>
      <c r="PJ6"/>
      <c r="PK6"/>
      <c r="PL6"/>
      <c r="PM6"/>
      <c r="PN6"/>
      <c r="PO6"/>
      <c r="PP6"/>
      <c r="PQ6"/>
      <c r="PR6"/>
      <c r="PS6"/>
      <c r="PT6"/>
      <c r="PU6"/>
      <c r="PV6"/>
      <c r="PW6"/>
      <c r="PX6"/>
      <c r="PY6"/>
      <c r="PZ6"/>
      <c r="QA6"/>
      <c r="QB6"/>
      <c r="QC6"/>
      <c r="QD6"/>
      <c r="QE6"/>
      <c r="QF6"/>
      <c r="QG6"/>
      <c r="QH6"/>
      <c r="QI6"/>
      <c r="QJ6"/>
      <c r="QK6"/>
      <c r="QL6"/>
      <c r="QM6"/>
      <c r="QN6"/>
      <c r="QO6"/>
      <c r="QP6"/>
      <c r="QQ6"/>
      <c r="QR6"/>
      <c r="QS6"/>
      <c r="QT6"/>
      <c r="QU6"/>
      <c r="QV6"/>
      <c r="QW6"/>
      <c r="QX6"/>
      <c r="QY6"/>
      <c r="QZ6"/>
      <c r="RA6"/>
      <c r="RB6"/>
      <c r="RC6"/>
      <c r="RD6"/>
      <c r="RE6"/>
      <c r="RF6"/>
      <c r="RG6"/>
      <c r="RH6"/>
      <c r="RI6"/>
      <c r="RJ6"/>
      <c r="RK6"/>
      <c r="RL6"/>
      <c r="RM6"/>
      <c r="RN6"/>
      <c r="RO6"/>
      <c r="RP6"/>
      <c r="RQ6"/>
      <c r="RR6"/>
      <c r="RS6"/>
      <c r="RT6"/>
      <c r="RU6"/>
      <c r="RV6"/>
      <c r="RW6"/>
      <c r="RX6"/>
      <c r="RY6"/>
      <c r="RZ6"/>
      <c r="SA6"/>
      <c r="SB6"/>
      <c r="SC6"/>
      <c r="SD6"/>
      <c r="SE6"/>
      <c r="SF6"/>
      <c r="SG6"/>
      <c r="SH6"/>
      <c r="SI6"/>
      <c r="SJ6"/>
      <c r="SK6"/>
      <c r="SL6"/>
      <c r="SM6"/>
      <c r="SN6"/>
      <c r="SO6"/>
      <c r="SP6"/>
      <c r="SQ6"/>
      <c r="SR6"/>
      <c r="SS6"/>
      <c r="ST6"/>
      <c r="SU6"/>
      <c r="SV6"/>
      <c r="SW6"/>
      <c r="SX6"/>
      <c r="SY6"/>
      <c r="SZ6"/>
      <c r="TA6"/>
    </row>
    <row r="7" spans="1:521" ht="14" x14ac:dyDescent="0.2">
      <c r="A7" s="341"/>
      <c r="B7" s="341"/>
      <c r="C7" s="341"/>
      <c r="D7" s="342"/>
      <c r="E7" s="344"/>
      <c r="F7" s="344"/>
      <c r="G7" s="300"/>
      <c r="H7" s="301"/>
      <c r="I7" s="302"/>
      <c r="J7" s="303"/>
      <c r="K7" s="207"/>
      <c r="L7" s="207"/>
      <c r="M7" s="293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  <c r="JS7"/>
      <c r="JT7"/>
      <c r="JU7"/>
      <c r="JV7"/>
      <c r="JW7"/>
      <c r="JX7"/>
      <c r="JY7"/>
      <c r="JZ7"/>
      <c r="KA7"/>
      <c r="KB7"/>
      <c r="KC7"/>
      <c r="KD7"/>
      <c r="KE7"/>
      <c r="KF7"/>
      <c r="KG7"/>
      <c r="KH7"/>
      <c r="KI7"/>
      <c r="KJ7"/>
      <c r="KK7"/>
      <c r="KL7"/>
      <c r="KM7"/>
      <c r="KN7"/>
      <c r="KO7"/>
      <c r="KP7"/>
      <c r="KQ7"/>
      <c r="KR7"/>
      <c r="KS7"/>
      <c r="KT7"/>
      <c r="KU7"/>
      <c r="KV7"/>
      <c r="KW7"/>
      <c r="KX7"/>
      <c r="KY7"/>
      <c r="KZ7"/>
      <c r="LA7"/>
      <c r="LB7"/>
      <c r="LC7"/>
      <c r="LD7"/>
      <c r="LE7"/>
      <c r="LF7"/>
      <c r="LG7"/>
      <c r="LH7"/>
      <c r="LI7"/>
      <c r="LJ7"/>
      <c r="LK7"/>
      <c r="LL7"/>
      <c r="LM7"/>
      <c r="LN7"/>
      <c r="LO7"/>
      <c r="LP7"/>
      <c r="LQ7"/>
      <c r="LR7"/>
      <c r="LS7"/>
      <c r="LT7"/>
      <c r="LU7"/>
      <c r="LV7"/>
      <c r="LW7"/>
      <c r="LX7"/>
      <c r="LY7"/>
      <c r="LZ7"/>
      <c r="MA7"/>
      <c r="MB7"/>
      <c r="MC7"/>
      <c r="MD7"/>
      <c r="ME7"/>
      <c r="MF7"/>
      <c r="MG7"/>
      <c r="MH7"/>
      <c r="MI7"/>
      <c r="MJ7"/>
      <c r="MK7"/>
      <c r="ML7"/>
      <c r="MM7"/>
      <c r="MN7"/>
      <c r="MO7"/>
      <c r="MP7"/>
      <c r="MQ7"/>
      <c r="MR7"/>
      <c r="MS7"/>
      <c r="MT7"/>
      <c r="MU7"/>
      <c r="MV7"/>
      <c r="MW7"/>
      <c r="MX7"/>
      <c r="MY7"/>
      <c r="MZ7"/>
      <c r="NA7"/>
      <c r="NB7"/>
      <c r="NC7"/>
      <c r="ND7"/>
      <c r="NE7"/>
      <c r="NF7"/>
      <c r="NG7"/>
      <c r="NH7"/>
      <c r="NI7"/>
      <c r="NJ7"/>
      <c r="NK7"/>
      <c r="NL7"/>
      <c r="NM7"/>
      <c r="NN7"/>
      <c r="NO7"/>
      <c r="NP7"/>
      <c r="NQ7"/>
      <c r="NR7"/>
      <c r="NS7"/>
      <c r="NT7"/>
      <c r="NU7"/>
      <c r="NV7"/>
      <c r="NW7"/>
      <c r="NX7"/>
      <c r="NY7"/>
      <c r="NZ7"/>
      <c r="OA7"/>
      <c r="OB7"/>
      <c r="OC7"/>
      <c r="OD7"/>
      <c r="OE7"/>
      <c r="OF7"/>
      <c r="OG7"/>
      <c r="OH7"/>
      <c r="OI7"/>
      <c r="OJ7"/>
      <c r="OK7"/>
      <c r="OL7"/>
      <c r="OM7"/>
      <c r="ON7"/>
      <c r="OO7"/>
      <c r="OP7"/>
      <c r="OQ7"/>
      <c r="OR7"/>
      <c r="OS7"/>
      <c r="OT7"/>
      <c r="OU7"/>
      <c r="OV7"/>
      <c r="OW7"/>
      <c r="OX7"/>
      <c r="OY7"/>
      <c r="OZ7"/>
      <c r="PA7"/>
      <c r="PB7"/>
      <c r="PC7"/>
      <c r="PD7"/>
      <c r="PE7"/>
      <c r="PF7"/>
      <c r="PG7"/>
      <c r="PH7"/>
      <c r="PI7"/>
      <c r="PJ7"/>
      <c r="PK7"/>
      <c r="PL7"/>
      <c r="PM7"/>
      <c r="PN7"/>
      <c r="PO7"/>
      <c r="PP7"/>
      <c r="PQ7"/>
      <c r="PR7"/>
      <c r="PS7"/>
      <c r="PT7"/>
      <c r="PU7"/>
      <c r="PV7"/>
      <c r="PW7"/>
      <c r="PX7"/>
      <c r="PY7"/>
      <c r="PZ7"/>
      <c r="QA7"/>
      <c r="QB7"/>
      <c r="QC7"/>
      <c r="QD7"/>
      <c r="QE7"/>
      <c r="QF7"/>
      <c r="QG7"/>
      <c r="QH7"/>
      <c r="QI7"/>
      <c r="QJ7"/>
      <c r="QK7"/>
      <c r="QL7"/>
      <c r="QM7"/>
      <c r="QN7"/>
      <c r="QO7"/>
      <c r="QP7"/>
      <c r="QQ7"/>
      <c r="QR7"/>
      <c r="QS7"/>
      <c r="QT7"/>
      <c r="QU7"/>
      <c r="QV7"/>
      <c r="QW7"/>
      <c r="QX7"/>
      <c r="QY7"/>
      <c r="QZ7"/>
      <c r="RA7"/>
      <c r="RB7"/>
      <c r="RC7"/>
      <c r="RD7"/>
      <c r="RE7"/>
      <c r="RF7"/>
      <c r="RG7"/>
      <c r="RH7"/>
      <c r="RI7"/>
      <c r="RJ7"/>
      <c r="RK7"/>
      <c r="RL7"/>
      <c r="RM7"/>
      <c r="RN7"/>
      <c r="RO7"/>
      <c r="RP7"/>
      <c r="RQ7"/>
      <c r="RR7"/>
      <c r="RS7"/>
      <c r="RT7"/>
      <c r="RU7"/>
      <c r="RV7"/>
      <c r="RW7"/>
      <c r="RX7"/>
      <c r="RY7"/>
      <c r="RZ7"/>
      <c r="SA7"/>
      <c r="SB7"/>
      <c r="SC7"/>
      <c r="SD7"/>
      <c r="SE7"/>
      <c r="SF7"/>
      <c r="SG7"/>
      <c r="SH7"/>
      <c r="SI7"/>
      <c r="SJ7"/>
      <c r="SK7"/>
      <c r="SL7"/>
      <c r="SM7"/>
      <c r="SN7"/>
      <c r="SO7"/>
      <c r="SP7"/>
      <c r="SQ7"/>
      <c r="SR7"/>
      <c r="SS7"/>
      <c r="ST7"/>
      <c r="SU7"/>
      <c r="SV7"/>
      <c r="SW7"/>
      <c r="SX7"/>
      <c r="SY7"/>
      <c r="SZ7"/>
      <c r="TA7"/>
    </row>
    <row r="8" spans="1:521" ht="14" x14ac:dyDescent="0.2">
      <c r="A8" s="341"/>
      <c r="B8" s="341"/>
      <c r="C8" s="341"/>
      <c r="D8" s="342"/>
      <c r="E8" s="344"/>
      <c r="F8" s="344"/>
      <c r="G8" s="300"/>
      <c r="H8" s="301"/>
      <c r="I8" s="302"/>
      <c r="J8" s="303"/>
      <c r="K8" s="207"/>
      <c r="L8" s="207"/>
      <c r="M8" s="293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  <c r="HC8"/>
      <c r="HD8"/>
      <c r="HE8"/>
      <c r="HF8"/>
      <c r="HG8"/>
      <c r="HH8"/>
      <c r="HI8"/>
      <c r="HJ8"/>
      <c r="HK8"/>
      <c r="HL8"/>
      <c r="HM8"/>
      <c r="HN8"/>
      <c r="HO8"/>
      <c r="HP8"/>
      <c r="HQ8"/>
      <c r="HR8"/>
      <c r="HS8"/>
      <c r="HT8"/>
      <c r="HU8"/>
      <c r="HV8"/>
      <c r="HW8"/>
      <c r="HX8"/>
      <c r="HY8"/>
      <c r="HZ8"/>
      <c r="IA8"/>
      <c r="IB8"/>
      <c r="IC8"/>
      <c r="ID8"/>
      <c r="IE8"/>
      <c r="IF8"/>
      <c r="IG8"/>
      <c r="IH8"/>
      <c r="II8"/>
      <c r="IJ8"/>
      <c r="IK8"/>
      <c r="IL8"/>
      <c r="IM8"/>
      <c r="IN8"/>
      <c r="IO8"/>
      <c r="IP8"/>
      <c r="IQ8"/>
      <c r="IR8"/>
      <c r="IS8"/>
      <c r="IT8"/>
      <c r="IU8"/>
      <c r="IV8"/>
      <c r="IW8"/>
      <c r="IX8"/>
      <c r="IY8"/>
      <c r="IZ8"/>
      <c r="JA8"/>
      <c r="JB8"/>
      <c r="JC8"/>
      <c r="JD8"/>
      <c r="JE8"/>
      <c r="JF8"/>
      <c r="JG8"/>
      <c r="JH8"/>
      <c r="JI8"/>
      <c r="JJ8"/>
      <c r="JK8"/>
      <c r="JL8"/>
      <c r="JM8"/>
      <c r="JN8"/>
      <c r="JO8"/>
      <c r="JP8"/>
      <c r="JQ8"/>
      <c r="JR8"/>
      <c r="JS8"/>
      <c r="JT8"/>
      <c r="JU8"/>
      <c r="JV8"/>
      <c r="JW8"/>
      <c r="JX8"/>
      <c r="JY8"/>
      <c r="JZ8"/>
      <c r="KA8"/>
      <c r="KB8"/>
      <c r="KC8"/>
      <c r="KD8"/>
      <c r="KE8"/>
      <c r="KF8"/>
      <c r="KG8"/>
      <c r="KH8"/>
      <c r="KI8"/>
      <c r="KJ8"/>
      <c r="KK8"/>
      <c r="KL8"/>
      <c r="KM8"/>
      <c r="KN8"/>
      <c r="KO8"/>
      <c r="KP8"/>
      <c r="KQ8"/>
      <c r="KR8"/>
      <c r="KS8"/>
      <c r="KT8"/>
      <c r="KU8"/>
      <c r="KV8"/>
      <c r="KW8"/>
      <c r="KX8"/>
      <c r="KY8"/>
      <c r="KZ8"/>
      <c r="LA8"/>
      <c r="LB8"/>
      <c r="LC8"/>
      <c r="LD8"/>
      <c r="LE8"/>
      <c r="LF8"/>
      <c r="LG8"/>
      <c r="LH8"/>
      <c r="LI8"/>
      <c r="LJ8"/>
      <c r="LK8"/>
      <c r="LL8"/>
      <c r="LM8"/>
      <c r="LN8"/>
      <c r="LO8"/>
      <c r="LP8"/>
      <c r="LQ8"/>
      <c r="LR8"/>
      <c r="LS8"/>
      <c r="LT8"/>
      <c r="LU8"/>
      <c r="LV8"/>
      <c r="LW8"/>
      <c r="LX8"/>
      <c r="LY8"/>
      <c r="LZ8"/>
      <c r="MA8"/>
      <c r="MB8"/>
      <c r="MC8"/>
      <c r="MD8"/>
      <c r="ME8"/>
      <c r="MF8"/>
      <c r="MG8"/>
      <c r="MH8"/>
      <c r="MI8"/>
      <c r="MJ8"/>
      <c r="MK8"/>
      <c r="ML8"/>
      <c r="MM8"/>
      <c r="MN8"/>
      <c r="MO8"/>
      <c r="MP8"/>
      <c r="MQ8"/>
      <c r="MR8"/>
      <c r="MS8"/>
      <c r="MT8"/>
      <c r="MU8"/>
      <c r="MV8"/>
      <c r="MW8"/>
      <c r="MX8"/>
      <c r="MY8"/>
      <c r="MZ8"/>
      <c r="NA8"/>
      <c r="NB8"/>
      <c r="NC8"/>
      <c r="ND8"/>
      <c r="NE8"/>
      <c r="NF8"/>
      <c r="NG8"/>
      <c r="NH8"/>
      <c r="NI8"/>
      <c r="NJ8"/>
      <c r="NK8"/>
      <c r="NL8"/>
      <c r="NM8"/>
      <c r="NN8"/>
      <c r="NO8"/>
      <c r="NP8"/>
      <c r="NQ8"/>
      <c r="NR8"/>
      <c r="NS8"/>
      <c r="NT8"/>
      <c r="NU8"/>
      <c r="NV8"/>
      <c r="NW8"/>
      <c r="NX8"/>
      <c r="NY8"/>
      <c r="NZ8"/>
      <c r="OA8"/>
      <c r="OB8"/>
      <c r="OC8"/>
      <c r="OD8"/>
      <c r="OE8"/>
      <c r="OF8"/>
      <c r="OG8"/>
      <c r="OH8"/>
      <c r="OI8"/>
      <c r="OJ8"/>
      <c r="OK8"/>
      <c r="OL8"/>
      <c r="OM8"/>
      <c r="ON8"/>
      <c r="OO8"/>
      <c r="OP8"/>
      <c r="OQ8"/>
      <c r="OR8"/>
      <c r="OS8"/>
      <c r="OT8"/>
      <c r="OU8"/>
      <c r="OV8"/>
      <c r="OW8"/>
      <c r="OX8"/>
      <c r="OY8"/>
      <c r="OZ8"/>
      <c r="PA8"/>
      <c r="PB8"/>
      <c r="PC8"/>
      <c r="PD8"/>
      <c r="PE8"/>
      <c r="PF8"/>
      <c r="PG8"/>
      <c r="PH8"/>
      <c r="PI8"/>
      <c r="PJ8"/>
      <c r="PK8"/>
      <c r="PL8"/>
      <c r="PM8"/>
      <c r="PN8"/>
      <c r="PO8"/>
      <c r="PP8"/>
      <c r="PQ8"/>
      <c r="PR8"/>
      <c r="PS8"/>
      <c r="PT8"/>
      <c r="PU8"/>
      <c r="PV8"/>
      <c r="PW8"/>
      <c r="PX8"/>
      <c r="PY8"/>
      <c r="PZ8"/>
      <c r="QA8"/>
      <c r="QB8"/>
      <c r="QC8"/>
      <c r="QD8"/>
      <c r="QE8"/>
      <c r="QF8"/>
      <c r="QG8"/>
      <c r="QH8"/>
      <c r="QI8"/>
      <c r="QJ8"/>
      <c r="QK8"/>
      <c r="QL8"/>
      <c r="QM8"/>
      <c r="QN8"/>
      <c r="QO8"/>
      <c r="QP8"/>
      <c r="QQ8"/>
      <c r="QR8"/>
      <c r="QS8"/>
      <c r="QT8"/>
      <c r="QU8"/>
      <c r="QV8"/>
      <c r="QW8"/>
      <c r="QX8"/>
      <c r="QY8"/>
      <c r="QZ8"/>
      <c r="RA8"/>
      <c r="RB8"/>
      <c r="RC8"/>
      <c r="RD8"/>
      <c r="RE8"/>
      <c r="RF8"/>
      <c r="RG8"/>
      <c r="RH8"/>
      <c r="RI8"/>
      <c r="RJ8"/>
      <c r="RK8"/>
      <c r="RL8"/>
      <c r="RM8"/>
      <c r="RN8"/>
      <c r="RO8"/>
      <c r="RP8"/>
      <c r="RQ8"/>
      <c r="RR8"/>
      <c r="RS8"/>
      <c r="RT8"/>
      <c r="RU8"/>
      <c r="RV8"/>
      <c r="RW8"/>
      <c r="RX8"/>
      <c r="RY8"/>
      <c r="RZ8"/>
      <c r="SA8"/>
      <c r="SB8"/>
      <c r="SC8"/>
      <c r="SD8"/>
      <c r="SE8"/>
      <c r="SF8"/>
      <c r="SG8"/>
      <c r="SH8"/>
      <c r="SI8"/>
      <c r="SJ8"/>
      <c r="SK8"/>
      <c r="SL8"/>
      <c r="SM8"/>
      <c r="SN8"/>
      <c r="SO8"/>
      <c r="SP8"/>
      <c r="SQ8"/>
      <c r="SR8"/>
      <c r="SS8"/>
      <c r="ST8"/>
      <c r="SU8"/>
      <c r="SV8"/>
      <c r="SW8"/>
      <c r="SX8"/>
      <c r="SY8"/>
      <c r="SZ8"/>
      <c r="TA8"/>
    </row>
    <row r="9" spans="1:521" ht="14" x14ac:dyDescent="0.2">
      <c r="A9" s="342"/>
      <c r="B9" s="342"/>
      <c r="C9" s="342"/>
      <c r="D9" s="342"/>
      <c r="E9" s="345"/>
      <c r="F9" s="345"/>
      <c r="G9" s="300"/>
      <c r="H9" s="301"/>
      <c r="I9" s="302"/>
      <c r="J9" s="303"/>
      <c r="K9" s="207"/>
      <c r="L9" s="207"/>
      <c r="M9" s="293"/>
    </row>
    <row r="10" spans="1:521" ht="14" x14ac:dyDescent="0.2">
      <c r="A10" s="340"/>
      <c r="B10" s="343"/>
      <c r="C10" s="340"/>
      <c r="D10" s="342"/>
      <c r="E10" s="343"/>
      <c r="F10" s="343"/>
      <c r="G10" s="300"/>
      <c r="H10" s="301"/>
      <c r="I10" s="302"/>
      <c r="J10" s="303"/>
      <c r="K10" s="207"/>
      <c r="L10" s="207"/>
      <c r="M10" s="293"/>
    </row>
    <row r="11" spans="1:521" ht="14" x14ac:dyDescent="0.2">
      <c r="A11" s="341"/>
      <c r="B11" s="345"/>
      <c r="C11" s="342"/>
      <c r="D11" s="342"/>
      <c r="E11" s="345"/>
      <c r="F11" s="345"/>
      <c r="G11" s="300"/>
      <c r="H11" s="301"/>
      <c r="I11" s="302"/>
      <c r="J11" s="303"/>
      <c r="K11" s="207"/>
      <c r="L11" s="207"/>
      <c r="M11" s="293"/>
    </row>
    <row r="12" spans="1:521" ht="14" x14ac:dyDescent="0.2">
      <c r="A12" s="341"/>
      <c r="B12" s="345"/>
      <c r="C12" s="342"/>
      <c r="D12" s="342"/>
      <c r="E12" s="345"/>
      <c r="F12" s="345"/>
      <c r="G12" s="300"/>
      <c r="H12" s="301"/>
      <c r="I12" s="302"/>
      <c r="J12" s="303"/>
      <c r="K12" s="207"/>
      <c r="L12" s="207"/>
      <c r="M12" s="293"/>
    </row>
    <row r="13" spans="1:521" ht="14" x14ac:dyDescent="0.2">
      <c r="A13" s="341"/>
      <c r="B13" s="343"/>
      <c r="C13" s="340"/>
      <c r="D13" s="342"/>
      <c r="E13" s="343"/>
      <c r="F13" s="343"/>
      <c r="G13" s="300"/>
      <c r="H13" s="301"/>
      <c r="I13" s="302"/>
      <c r="J13" s="303"/>
      <c r="K13" s="207"/>
      <c r="L13" s="207"/>
      <c r="M13" s="293"/>
    </row>
    <row r="14" spans="1:521" ht="14" x14ac:dyDescent="0.2">
      <c r="A14" s="341"/>
      <c r="B14" s="344"/>
      <c r="C14" s="341"/>
      <c r="D14" s="342"/>
      <c r="E14" s="344"/>
      <c r="F14" s="344"/>
      <c r="G14" s="300"/>
      <c r="H14" s="301"/>
      <c r="I14" s="302"/>
      <c r="J14" s="303"/>
      <c r="K14" s="207"/>
      <c r="L14" s="207"/>
      <c r="M14" s="302"/>
    </row>
    <row r="15" spans="1:521" ht="14" x14ac:dyDescent="0.2">
      <c r="A15" s="341"/>
      <c r="B15" s="344"/>
      <c r="C15" s="341"/>
      <c r="D15" s="342"/>
      <c r="E15" s="344"/>
      <c r="F15" s="344"/>
      <c r="G15" s="300"/>
      <c r="H15" s="301"/>
      <c r="I15" s="302"/>
      <c r="J15" s="303"/>
      <c r="K15" s="207"/>
      <c r="L15" s="207"/>
      <c r="M15" s="293"/>
    </row>
    <row r="16" spans="1:521" ht="14" x14ac:dyDescent="0.2">
      <c r="A16" s="341"/>
      <c r="B16" s="344"/>
      <c r="C16" s="341"/>
      <c r="D16" s="342"/>
      <c r="E16" s="344"/>
      <c r="F16" s="344"/>
      <c r="G16" s="300"/>
      <c r="H16" s="301"/>
      <c r="I16" s="302"/>
      <c r="J16" s="303"/>
      <c r="K16" s="207"/>
      <c r="L16" s="207"/>
      <c r="M16" s="293"/>
    </row>
    <row r="17" spans="1:13" ht="14" x14ac:dyDescent="0.2">
      <c r="A17" s="341"/>
      <c r="B17" s="344"/>
      <c r="C17" s="341"/>
      <c r="D17" s="342"/>
      <c r="E17" s="344"/>
      <c r="F17" s="344"/>
      <c r="G17" s="300"/>
      <c r="H17" s="301"/>
      <c r="I17" s="302"/>
      <c r="J17" s="303"/>
      <c r="K17" s="207"/>
      <c r="L17" s="207"/>
      <c r="M17" s="293"/>
    </row>
    <row r="18" spans="1:13" ht="14" x14ac:dyDescent="0.2">
      <c r="A18" s="341"/>
      <c r="B18" s="344"/>
      <c r="C18" s="341"/>
      <c r="D18" s="342"/>
      <c r="E18" s="344"/>
      <c r="F18" s="344"/>
      <c r="G18" s="300"/>
      <c r="H18" s="301"/>
      <c r="I18" s="302"/>
      <c r="J18" s="303"/>
      <c r="K18" s="207"/>
      <c r="L18" s="207"/>
      <c r="M18" s="293"/>
    </row>
    <row r="19" spans="1:13" ht="14" x14ac:dyDescent="0.2">
      <c r="A19" s="342"/>
      <c r="B19" s="344"/>
      <c r="C19" s="341"/>
      <c r="D19" s="342"/>
      <c r="E19" s="344"/>
      <c r="F19" s="344"/>
      <c r="G19" s="300"/>
      <c r="H19" s="301"/>
      <c r="I19" s="302"/>
      <c r="J19" s="303"/>
      <c r="K19" s="207"/>
      <c r="L19" s="207"/>
      <c r="M19" s="293"/>
    </row>
    <row r="20" spans="1:13" ht="14" x14ac:dyDescent="0.2">
      <c r="A20" s="340"/>
      <c r="B20" s="344"/>
      <c r="C20" s="341"/>
      <c r="D20" s="342"/>
      <c r="E20" s="344"/>
      <c r="F20" s="344"/>
      <c r="G20" s="300"/>
      <c r="H20" s="301"/>
      <c r="I20" s="302"/>
      <c r="J20" s="303"/>
      <c r="K20" s="207"/>
      <c r="L20" s="207"/>
      <c r="M20" s="293"/>
    </row>
    <row r="21" spans="1:13" ht="14" x14ac:dyDescent="0.2">
      <c r="A21" s="341"/>
      <c r="B21" s="344"/>
      <c r="C21" s="341"/>
      <c r="D21" s="342"/>
      <c r="E21" s="344"/>
      <c r="F21" s="344"/>
      <c r="G21" s="300"/>
      <c r="H21" s="301"/>
      <c r="I21" s="302"/>
      <c r="J21" s="303"/>
      <c r="K21" s="207"/>
      <c r="L21" s="207"/>
      <c r="M21" s="293"/>
    </row>
    <row r="22" spans="1:13" ht="14" x14ac:dyDescent="0.2">
      <c r="A22" s="342"/>
      <c r="B22" s="345"/>
      <c r="C22" s="342"/>
      <c r="D22" s="342"/>
      <c r="E22" s="345"/>
      <c r="F22" s="345"/>
      <c r="G22" s="300"/>
      <c r="H22" s="301"/>
      <c r="I22" s="302"/>
      <c r="J22" s="303"/>
      <c r="K22" s="207"/>
      <c r="L22" s="207"/>
      <c r="M22" s="293"/>
    </row>
    <row r="23" spans="1:13" ht="14" x14ac:dyDescent="0.2">
      <c r="A23" s="340"/>
      <c r="B23" s="340"/>
      <c r="C23" s="340"/>
      <c r="D23" s="342"/>
      <c r="E23" s="343"/>
      <c r="F23" s="343"/>
      <c r="G23" s="300"/>
      <c r="H23" s="301"/>
      <c r="I23" s="302"/>
      <c r="J23" s="303"/>
      <c r="K23" s="207"/>
      <c r="L23" s="207"/>
      <c r="M23" s="293"/>
    </row>
    <row r="24" spans="1:13" ht="14" x14ac:dyDescent="0.2">
      <c r="A24" s="341"/>
      <c r="B24" s="341"/>
      <c r="C24" s="341"/>
      <c r="D24" s="342"/>
      <c r="E24" s="344"/>
      <c r="F24" s="344"/>
      <c r="G24" s="300"/>
      <c r="H24" s="301"/>
      <c r="I24" s="302"/>
      <c r="J24" s="303"/>
      <c r="K24" s="207"/>
      <c r="L24" s="207"/>
      <c r="M24" s="293"/>
    </row>
    <row r="25" spans="1:13" ht="14" x14ac:dyDescent="0.2">
      <c r="A25" s="341"/>
      <c r="B25" s="341"/>
      <c r="C25" s="341"/>
      <c r="D25" s="342"/>
      <c r="E25" s="344"/>
      <c r="F25" s="344"/>
      <c r="G25" s="300"/>
      <c r="H25" s="301"/>
      <c r="I25" s="302"/>
      <c r="J25" s="303"/>
      <c r="K25" s="207"/>
      <c r="L25" s="207"/>
      <c r="M25" s="293"/>
    </row>
    <row r="26" spans="1:13" ht="14" x14ac:dyDescent="0.2">
      <c r="A26" s="341"/>
      <c r="B26" s="341"/>
      <c r="C26" s="341"/>
      <c r="D26" s="342"/>
      <c r="E26" s="344"/>
      <c r="F26" s="344"/>
      <c r="G26" s="300"/>
      <c r="H26" s="301"/>
      <c r="I26" s="302"/>
      <c r="J26" s="303"/>
      <c r="K26" s="207"/>
      <c r="L26" s="207"/>
      <c r="M26" s="293"/>
    </row>
    <row r="27" spans="1:13" ht="14" x14ac:dyDescent="0.2">
      <c r="A27" s="341"/>
      <c r="B27" s="341"/>
      <c r="C27" s="341"/>
      <c r="D27" s="342"/>
      <c r="E27" s="344"/>
      <c r="F27" s="344"/>
      <c r="G27" s="300"/>
      <c r="H27" s="301"/>
      <c r="I27" s="302"/>
      <c r="J27" s="303"/>
      <c r="K27" s="207"/>
      <c r="L27" s="207"/>
      <c r="M27" s="293"/>
    </row>
    <row r="28" spans="1:13" ht="14" x14ac:dyDescent="0.2">
      <c r="A28" s="341"/>
      <c r="B28" s="341"/>
      <c r="C28" s="341"/>
      <c r="D28" s="342"/>
      <c r="E28" s="344"/>
      <c r="F28" s="344"/>
      <c r="G28" s="300"/>
      <c r="H28" s="301"/>
      <c r="I28" s="302"/>
      <c r="J28" s="303"/>
      <c r="K28" s="207"/>
      <c r="L28" s="207"/>
      <c r="M28" s="293"/>
    </row>
    <row r="29" spans="1:13" ht="14" x14ac:dyDescent="0.2">
      <c r="A29" s="341"/>
      <c r="B29" s="341"/>
      <c r="C29" s="341"/>
      <c r="D29" s="342"/>
      <c r="E29" s="344"/>
      <c r="F29" s="344"/>
      <c r="G29" s="300"/>
      <c r="H29" s="301"/>
      <c r="I29" s="302"/>
      <c r="J29" s="303"/>
      <c r="K29" s="207"/>
      <c r="L29" s="207"/>
      <c r="M29" s="293"/>
    </row>
    <row r="30" spans="1:13" ht="13" x14ac:dyDescent="0.15">
      <c r="A30" s="176"/>
      <c r="B30" s="176"/>
      <c r="C30" s="167"/>
      <c r="D30" s="191"/>
      <c r="E30" s="191"/>
      <c r="F30" s="167"/>
      <c r="G30" s="241"/>
      <c r="H30" s="178"/>
      <c r="I30" s="188"/>
      <c r="J30" s="93"/>
      <c r="K30" s="264"/>
      <c r="L30" s="151"/>
      <c r="M30" s="167"/>
    </row>
    <row r="31" spans="1:13" ht="13" x14ac:dyDescent="0.15">
      <c r="A31" s="176"/>
      <c r="B31" s="176"/>
      <c r="C31" s="167"/>
      <c r="D31" s="191"/>
      <c r="E31" s="191"/>
      <c r="F31" s="167"/>
      <c r="G31" s="241"/>
      <c r="H31" s="178"/>
      <c r="I31" s="188"/>
      <c r="J31" s="93"/>
      <c r="K31" s="264"/>
      <c r="L31" s="151"/>
      <c r="M31" s="167"/>
    </row>
    <row r="32" spans="1:13" ht="13" x14ac:dyDescent="0.15">
      <c r="A32" s="176"/>
      <c r="B32" s="176"/>
      <c r="C32" s="167"/>
      <c r="D32" s="191"/>
      <c r="E32" s="191"/>
      <c r="F32" s="167"/>
      <c r="G32" s="241"/>
      <c r="H32" s="178"/>
      <c r="I32" s="188"/>
      <c r="J32" s="93"/>
      <c r="K32" s="264"/>
      <c r="L32" s="151"/>
      <c r="M32" s="167"/>
    </row>
    <row r="33" spans="1:13" ht="13" x14ac:dyDescent="0.15">
      <c r="A33" s="176"/>
      <c r="B33" s="176"/>
      <c r="C33" s="179"/>
      <c r="D33" s="191"/>
      <c r="E33" s="191"/>
      <c r="F33" s="232"/>
      <c r="G33" s="188"/>
      <c r="H33" s="178"/>
      <c r="I33" s="188"/>
      <c r="J33" s="93"/>
      <c r="K33" s="264"/>
      <c r="L33" s="151"/>
      <c r="M33" s="167"/>
    </row>
    <row r="34" spans="1:13" ht="13" x14ac:dyDescent="0.15">
      <c r="A34" s="176"/>
      <c r="B34" s="176"/>
      <c r="C34" s="179"/>
      <c r="D34" s="191"/>
      <c r="E34" s="191"/>
      <c r="F34" s="232"/>
      <c r="G34" s="188"/>
      <c r="H34" s="178"/>
      <c r="I34" s="188"/>
      <c r="J34" s="93"/>
      <c r="K34" s="264"/>
      <c r="L34" s="151"/>
      <c r="M34" s="167"/>
    </row>
    <row r="35" spans="1:13" ht="13" x14ac:dyDescent="0.15">
      <c r="A35" s="176"/>
      <c r="B35" s="176"/>
      <c r="C35" s="179"/>
      <c r="D35" s="191"/>
      <c r="E35" s="191"/>
      <c r="F35" s="232"/>
      <c r="G35" s="188"/>
      <c r="H35" s="193"/>
      <c r="I35" s="188"/>
      <c r="J35" s="93"/>
      <c r="K35" s="151"/>
      <c r="L35" s="151"/>
      <c r="M35" s="167"/>
    </row>
    <row r="36" spans="1:13" ht="13" x14ac:dyDescent="0.15">
      <c r="A36" s="176"/>
      <c r="B36" s="176"/>
      <c r="C36" s="179"/>
      <c r="D36" s="191"/>
      <c r="E36" s="191"/>
      <c r="F36" s="232"/>
      <c r="G36" s="188"/>
      <c r="H36" s="178"/>
      <c r="I36" s="188"/>
      <c r="J36" s="93"/>
      <c r="K36" s="264"/>
      <c r="L36" s="151"/>
      <c r="M36" s="167"/>
    </row>
    <row r="37" spans="1:13" ht="13" x14ac:dyDescent="0.15">
      <c r="A37" s="176"/>
      <c r="B37" s="176"/>
      <c r="C37" s="179"/>
      <c r="D37" s="191"/>
      <c r="E37" s="191"/>
      <c r="F37" s="232"/>
      <c r="G37" s="188"/>
      <c r="H37" s="178"/>
      <c r="I37" s="188"/>
      <c r="J37" s="93"/>
      <c r="K37" s="167"/>
      <c r="L37" s="151"/>
      <c r="M37" s="167"/>
    </row>
    <row r="38" spans="1:13" ht="13" x14ac:dyDescent="0.15">
      <c r="A38" s="176"/>
      <c r="B38" s="176"/>
      <c r="C38" s="179"/>
      <c r="D38" s="191"/>
      <c r="E38" s="191"/>
      <c r="F38" s="232"/>
      <c r="G38" s="188"/>
      <c r="H38" s="178"/>
      <c r="I38" s="188"/>
      <c r="J38" s="93"/>
      <c r="K38" s="151"/>
      <c r="L38" s="151"/>
      <c r="M38" s="167"/>
    </row>
    <row r="39" spans="1:13" ht="13" x14ac:dyDescent="0.15">
      <c r="A39" s="176"/>
      <c r="B39" s="176"/>
      <c r="C39" s="179"/>
      <c r="D39" s="262"/>
      <c r="E39" s="262"/>
      <c r="F39" s="260"/>
      <c r="G39" s="188"/>
      <c r="H39" s="193"/>
      <c r="I39" s="188"/>
      <c r="J39" s="93"/>
      <c r="K39" s="151"/>
      <c r="L39" s="151"/>
      <c r="M39" s="151"/>
    </row>
    <row r="40" spans="1:13" ht="13" x14ac:dyDescent="0.15">
      <c r="A40" s="176"/>
      <c r="B40" s="176"/>
      <c r="C40" s="167"/>
      <c r="D40" s="258"/>
      <c r="E40" s="258"/>
      <c r="F40" s="260"/>
      <c r="G40" s="177"/>
      <c r="H40" s="178"/>
      <c r="I40" s="177"/>
      <c r="J40" s="93"/>
      <c r="K40" s="263"/>
      <c r="L40" s="151"/>
      <c r="M40" s="151"/>
    </row>
    <row r="41" spans="1:13" ht="13" x14ac:dyDescent="0.15">
      <c r="A41" s="176"/>
      <c r="B41" s="176"/>
      <c r="C41" s="167"/>
      <c r="D41" s="271"/>
      <c r="E41" s="271"/>
      <c r="F41" s="260"/>
      <c r="G41" s="177"/>
      <c r="H41" s="178"/>
      <c r="I41" s="177"/>
      <c r="J41" s="93"/>
      <c r="K41" s="272"/>
      <c r="L41" s="151"/>
      <c r="M41" s="151"/>
    </row>
    <row r="42" spans="1:13" ht="14" x14ac:dyDescent="0.15">
      <c r="A42" s="176"/>
      <c r="B42" s="176"/>
      <c r="C42" s="261"/>
      <c r="D42" s="162"/>
      <c r="E42" s="162"/>
      <c r="F42" s="261"/>
      <c r="G42" s="177"/>
      <c r="H42" s="178"/>
      <c r="I42" s="177"/>
      <c r="J42" s="93"/>
      <c r="K42" s="151"/>
      <c r="L42" s="151"/>
      <c r="M42" s="151"/>
    </row>
    <row r="43" spans="1:13" ht="14" x14ac:dyDescent="0.15">
      <c r="A43" s="176"/>
      <c r="B43" s="176"/>
      <c r="C43" s="261"/>
      <c r="D43" s="162"/>
      <c r="E43" s="162"/>
      <c r="F43" s="151"/>
      <c r="G43" s="177"/>
      <c r="H43" s="178"/>
      <c r="I43" s="177"/>
      <c r="J43" s="123"/>
      <c r="K43" s="259"/>
      <c r="L43" s="151"/>
      <c r="M43" s="151"/>
    </row>
    <row r="44" spans="1:13" ht="14" x14ac:dyDescent="0.15">
      <c r="A44" s="176"/>
      <c r="B44" s="176"/>
      <c r="C44" s="167"/>
      <c r="D44" s="162"/>
      <c r="E44" s="162"/>
      <c r="F44" s="261"/>
      <c r="G44" s="177"/>
      <c r="H44" s="178"/>
      <c r="I44" s="177"/>
      <c r="J44" s="93"/>
      <c r="K44" s="151"/>
      <c r="L44" s="151"/>
      <c r="M44" s="151"/>
    </row>
    <row r="45" spans="1:13" ht="13" x14ac:dyDescent="0.15">
      <c r="A45" s="176"/>
      <c r="B45" s="176"/>
      <c r="C45" s="167"/>
      <c r="D45" s="162"/>
      <c r="E45" s="162"/>
      <c r="F45" s="151"/>
      <c r="G45" s="177"/>
      <c r="H45" s="193"/>
      <c r="I45" s="177"/>
      <c r="J45" s="93"/>
      <c r="K45" s="151"/>
      <c r="L45" s="151"/>
      <c r="M45" s="151"/>
    </row>
    <row r="46" spans="1:13" ht="14" x14ac:dyDescent="0.15">
      <c r="A46" s="176"/>
      <c r="B46" s="176"/>
      <c r="C46" s="167"/>
      <c r="D46" s="162"/>
      <c r="E46" s="162"/>
      <c r="F46" s="261"/>
      <c r="G46" s="177"/>
      <c r="H46" s="193"/>
      <c r="I46" s="177"/>
      <c r="J46" s="93"/>
      <c r="K46" s="151"/>
      <c r="L46" s="151"/>
      <c r="M46" s="151"/>
    </row>
    <row r="47" spans="1:13" ht="13" x14ac:dyDescent="0.15">
      <c r="A47" s="176"/>
      <c r="B47" s="176"/>
      <c r="C47" s="167"/>
      <c r="D47" s="162"/>
      <c r="E47" s="162"/>
      <c r="F47" s="151"/>
      <c r="G47" s="177"/>
      <c r="H47" s="178"/>
      <c r="I47" s="177"/>
      <c r="J47" s="123"/>
      <c r="K47" s="259"/>
      <c r="L47" s="151"/>
      <c r="M47" s="151"/>
    </row>
    <row r="48" spans="1:13" ht="14" x14ac:dyDescent="0.15">
      <c r="A48" s="176"/>
      <c r="B48" s="176"/>
      <c r="C48" s="167"/>
      <c r="D48" s="162"/>
      <c r="E48" s="162"/>
      <c r="F48" s="261"/>
      <c r="G48" s="177"/>
      <c r="H48" s="178"/>
      <c r="I48" s="177"/>
      <c r="J48" s="265"/>
      <c r="K48" s="151"/>
      <c r="L48" s="151"/>
      <c r="M48" s="151"/>
    </row>
    <row r="49" spans="1:13" ht="13" x14ac:dyDescent="0.15">
      <c r="A49" s="176"/>
      <c r="B49" s="176"/>
      <c r="C49" s="167"/>
      <c r="D49" s="162"/>
      <c r="E49" s="162"/>
      <c r="F49" s="151"/>
      <c r="G49" s="177"/>
      <c r="H49" s="178"/>
      <c r="I49" s="177"/>
      <c r="J49" s="93"/>
      <c r="K49" s="151"/>
      <c r="L49" s="151"/>
      <c r="M49" s="151"/>
    </row>
    <row r="50" spans="1:13" ht="14" x14ac:dyDescent="0.15">
      <c r="A50" s="176"/>
      <c r="B50" s="176"/>
      <c r="C50" s="167"/>
      <c r="D50" s="162"/>
      <c r="E50" s="162"/>
      <c r="F50" s="261"/>
      <c r="G50" s="177"/>
      <c r="H50" s="178"/>
      <c r="I50" s="177"/>
      <c r="J50" s="93"/>
      <c r="K50" s="151"/>
      <c r="L50" s="151"/>
      <c r="M50" s="151"/>
    </row>
    <row r="51" spans="1:13" ht="13" x14ac:dyDescent="0.15">
      <c r="A51" s="176"/>
      <c r="B51" s="176"/>
      <c r="C51" s="167"/>
      <c r="D51" s="162"/>
      <c r="E51" s="162"/>
      <c r="F51" s="151"/>
      <c r="G51" s="177"/>
      <c r="H51" s="178"/>
      <c r="I51" s="177"/>
      <c r="J51" s="93"/>
      <c r="K51" s="151"/>
      <c r="L51" s="151"/>
      <c r="M51" s="151"/>
    </row>
    <row r="52" spans="1:13" ht="14" x14ac:dyDescent="0.15">
      <c r="A52" s="176"/>
      <c r="B52" s="176"/>
      <c r="C52" s="167"/>
      <c r="D52" s="162"/>
      <c r="E52" s="162"/>
      <c r="F52" s="261"/>
      <c r="G52" s="177"/>
      <c r="H52" s="178"/>
      <c r="I52" s="177"/>
      <c r="J52" s="93"/>
      <c r="K52" s="151"/>
      <c r="L52" s="151"/>
      <c r="M52" s="151"/>
    </row>
    <row r="53" spans="1:13" ht="13" x14ac:dyDescent="0.15">
      <c r="A53" s="176"/>
      <c r="B53" s="176"/>
      <c r="C53" s="167"/>
      <c r="D53" s="162"/>
      <c r="E53" s="162"/>
      <c r="F53" s="151"/>
      <c r="G53" s="177"/>
      <c r="H53" s="178"/>
      <c r="I53" s="177"/>
      <c r="J53" s="273"/>
      <c r="K53" s="264"/>
      <c r="L53" s="151"/>
      <c r="M53" s="151"/>
    </row>
    <row r="54" spans="1:13" ht="13" x14ac:dyDescent="0.15">
      <c r="A54" s="172"/>
      <c r="B54" s="172"/>
      <c r="C54" s="167"/>
      <c r="D54" s="112"/>
      <c r="E54" s="112"/>
      <c r="F54" s="277"/>
      <c r="G54" s="174"/>
      <c r="H54" s="175"/>
      <c r="I54" s="174"/>
      <c r="J54" s="267"/>
      <c r="K54" s="268"/>
      <c r="L54" s="165"/>
      <c r="M54" s="165"/>
    </row>
    <row r="55" spans="1:13" ht="13" x14ac:dyDescent="0.15">
      <c r="A55" s="172"/>
      <c r="B55" s="172"/>
      <c r="C55" s="167"/>
      <c r="D55" s="240"/>
      <c r="E55" s="240"/>
      <c r="F55" s="260"/>
      <c r="G55" s="266"/>
      <c r="H55" s="175"/>
      <c r="I55" s="174"/>
      <c r="J55" s="267"/>
      <c r="K55" s="268"/>
      <c r="L55" s="165"/>
      <c r="M55" s="151"/>
    </row>
    <row r="56" spans="1:13" ht="13" x14ac:dyDescent="0.15">
      <c r="A56" s="172"/>
      <c r="B56" s="172"/>
      <c r="C56" s="167"/>
      <c r="D56" s="240"/>
      <c r="E56" s="240"/>
      <c r="F56" s="260"/>
      <c r="G56" s="266"/>
      <c r="H56" s="175"/>
      <c r="I56" s="174"/>
      <c r="J56" s="166"/>
      <c r="K56" s="165"/>
      <c r="L56" s="165"/>
      <c r="M56" s="151"/>
    </row>
    <row r="57" spans="1:13" ht="13" x14ac:dyDescent="0.15">
      <c r="A57" s="172"/>
      <c r="B57" s="172"/>
      <c r="C57" s="167"/>
      <c r="D57" s="112"/>
      <c r="E57" s="112"/>
      <c r="F57" s="277"/>
      <c r="G57" s="174"/>
      <c r="H57" s="175"/>
      <c r="I57" s="174"/>
      <c r="J57" s="166"/>
      <c r="K57" s="270"/>
      <c r="L57" s="165"/>
      <c r="M57" s="151"/>
    </row>
    <row r="58" spans="1:13" ht="13" x14ac:dyDescent="0.15">
      <c r="A58" s="172"/>
      <c r="B58" s="172"/>
      <c r="C58" s="167"/>
      <c r="D58" s="112"/>
      <c r="E58" s="112"/>
      <c r="F58" s="277"/>
      <c r="G58" s="174"/>
      <c r="H58" s="175"/>
      <c r="I58" s="174"/>
      <c r="J58" s="166"/>
      <c r="K58" s="165"/>
      <c r="L58" s="165"/>
      <c r="M58" s="165"/>
    </row>
    <row r="59" spans="1:13" ht="13" x14ac:dyDescent="0.15">
      <c r="A59" s="172"/>
      <c r="B59" s="172"/>
      <c r="C59" s="167"/>
      <c r="D59" s="112"/>
      <c r="E59" s="112"/>
      <c r="F59" s="277"/>
      <c r="G59" s="174"/>
      <c r="H59" s="175"/>
      <c r="I59" s="174"/>
      <c r="J59" s="166"/>
      <c r="K59" s="165"/>
      <c r="L59" s="165"/>
      <c r="M59" s="165"/>
    </row>
    <row r="60" spans="1:13" ht="13" x14ac:dyDescent="0.15">
      <c r="A60" s="221"/>
      <c r="B60" s="221"/>
      <c r="C60" s="2"/>
    </row>
    <row r="61" spans="1:13" ht="13" x14ac:dyDescent="0.15">
      <c r="A61" s="221"/>
      <c r="B61" s="221"/>
      <c r="C61" s="2"/>
    </row>
    <row r="62" spans="1:13" ht="13" x14ac:dyDescent="0.15">
      <c r="A62" s="221"/>
      <c r="B62" s="221"/>
      <c r="C62" s="2"/>
    </row>
    <row r="63" spans="1:13" ht="13" x14ac:dyDescent="0.15">
      <c r="A63" s="221"/>
      <c r="B63" s="221"/>
      <c r="C63" s="2"/>
    </row>
    <row r="64" spans="1:13" ht="13" x14ac:dyDescent="0.15">
      <c r="A64" s="221"/>
      <c r="B64" s="221"/>
      <c r="C64" s="2"/>
      <c r="K64" s="224"/>
    </row>
    <row r="65" spans="1:11" ht="13" x14ac:dyDescent="0.15">
      <c r="A65" s="221"/>
      <c r="B65" s="221"/>
      <c r="C65" s="2"/>
    </row>
    <row r="66" spans="1:11" ht="13" x14ac:dyDescent="0.15">
      <c r="A66" s="221"/>
      <c r="B66" s="221"/>
      <c r="C66" s="2"/>
      <c r="D66" s="269"/>
      <c r="E66" s="269"/>
    </row>
    <row r="67" spans="1:11" ht="13" x14ac:dyDescent="0.15">
      <c r="A67" s="221"/>
      <c r="B67" s="221"/>
      <c r="C67" s="2"/>
      <c r="D67" s="222"/>
      <c r="E67" s="222"/>
    </row>
    <row r="68" spans="1:11" ht="13" x14ac:dyDescent="0.15">
      <c r="A68" s="221"/>
      <c r="B68" s="221"/>
      <c r="C68" s="2"/>
      <c r="D68" s="222"/>
      <c r="E68" s="222"/>
    </row>
    <row r="69" spans="1:11" ht="13" x14ac:dyDescent="0.15">
      <c r="A69" s="221"/>
      <c r="B69" s="221"/>
      <c r="C69" s="2"/>
      <c r="D69" s="222"/>
      <c r="E69" s="222"/>
    </row>
    <row r="70" spans="1:11" ht="13" x14ac:dyDescent="0.15">
      <c r="A70" s="221"/>
      <c r="B70" s="221"/>
      <c r="C70" s="2"/>
      <c r="D70" s="222"/>
      <c r="E70" s="222"/>
    </row>
    <row r="71" spans="1:11" ht="13" x14ac:dyDescent="0.15">
      <c r="A71" s="221"/>
      <c r="B71" s="221"/>
      <c r="C71" s="2"/>
      <c r="D71" s="222"/>
      <c r="E71" s="222"/>
      <c r="K71" s="223"/>
    </row>
    <row r="72" spans="1:11" ht="13" x14ac:dyDescent="0.15">
      <c r="A72" s="221"/>
      <c r="B72" s="221"/>
      <c r="C72" s="2"/>
      <c r="D72" s="225"/>
      <c r="E72" s="225"/>
    </row>
    <row r="73" spans="1:11" ht="13" x14ac:dyDescent="0.15">
      <c r="A73" s="221"/>
      <c r="B73" s="221"/>
      <c r="C73" s="2"/>
      <c r="D73" s="2"/>
      <c r="E73" s="2"/>
      <c r="K73" s="224"/>
    </row>
    <row r="74" spans="1:11" ht="13" x14ac:dyDescent="0.15">
      <c r="A74" s="221"/>
      <c r="B74" s="221"/>
      <c r="C74" s="2"/>
      <c r="D74" s="225"/>
      <c r="E74" s="225"/>
      <c r="K74" s="224"/>
    </row>
    <row r="75" spans="1:11" ht="13" x14ac:dyDescent="0.15">
      <c r="A75" s="221"/>
      <c r="B75" s="221"/>
      <c r="C75" s="2"/>
      <c r="D75" s="2"/>
      <c r="E75" s="2"/>
      <c r="K75" s="224"/>
    </row>
    <row r="76" spans="1:11" ht="13" x14ac:dyDescent="0.15">
      <c r="A76" s="221"/>
      <c r="B76" s="221"/>
      <c r="C76" s="2"/>
      <c r="D76" s="225"/>
      <c r="E76" s="225"/>
    </row>
    <row r="77" spans="1:11" ht="13" x14ac:dyDescent="0.15">
      <c r="A77" s="221"/>
      <c r="B77" s="221"/>
      <c r="C77" s="2"/>
      <c r="D77" s="225"/>
      <c r="E77" s="225"/>
      <c r="K77" s="224"/>
    </row>
    <row r="78" spans="1:11" ht="13" x14ac:dyDescent="0.15">
      <c r="A78" s="221"/>
      <c r="B78" s="221"/>
      <c r="D78" s="225"/>
      <c r="E78" s="225"/>
      <c r="K78" s="224"/>
    </row>
    <row r="79" spans="1:11" ht="13" x14ac:dyDescent="0.15">
      <c r="A79" s="221"/>
      <c r="B79" s="221"/>
      <c r="D79" s="225"/>
      <c r="E79" s="225"/>
    </row>
    <row r="80" spans="1:11" ht="13" x14ac:dyDescent="0.15">
      <c r="A80" s="221"/>
      <c r="B80" s="221"/>
      <c r="D80" s="225"/>
      <c r="E80" s="225"/>
      <c r="F80" s="227"/>
      <c r="G80" s="220"/>
      <c r="H80" s="220"/>
      <c r="I80" s="228"/>
      <c r="J80" s="229"/>
    </row>
    <row r="81" spans="1:11" ht="13" x14ac:dyDescent="0.15">
      <c r="A81" s="221"/>
      <c r="B81" s="221"/>
      <c r="D81" s="225"/>
      <c r="E81" s="225"/>
    </row>
    <row r="82" spans="1:11" ht="13" x14ac:dyDescent="0.15">
      <c r="A82" s="221"/>
      <c r="B82" s="221"/>
      <c r="D82" s="225"/>
      <c r="E82" s="225"/>
      <c r="F82" s="227"/>
      <c r="G82" s="220"/>
      <c r="H82" s="220"/>
      <c r="I82" s="228"/>
    </row>
    <row r="83" spans="1:11" ht="13" x14ac:dyDescent="0.15">
      <c r="A83" s="221"/>
      <c r="B83" s="221"/>
      <c r="D83" s="225"/>
      <c r="E83" s="225"/>
    </row>
    <row r="84" spans="1:11" ht="13" x14ac:dyDescent="0.15">
      <c r="A84" s="221"/>
      <c r="B84" s="221"/>
      <c r="D84" s="225"/>
      <c r="E84" s="225"/>
    </row>
    <row r="85" spans="1:11" ht="13" x14ac:dyDescent="0.15">
      <c r="A85" s="221"/>
      <c r="B85" s="221"/>
      <c r="D85" s="225"/>
      <c r="E85" s="225"/>
    </row>
    <row r="86" spans="1:11" ht="13" x14ac:dyDescent="0.15">
      <c r="A86" s="221"/>
      <c r="B86" s="221"/>
      <c r="D86" s="225"/>
      <c r="E86" s="225"/>
    </row>
    <row r="87" spans="1:11" ht="13" x14ac:dyDescent="0.15">
      <c r="A87" s="221"/>
      <c r="B87" s="221"/>
      <c r="D87" s="225"/>
      <c r="E87" s="225"/>
    </row>
    <row r="88" spans="1:11" ht="13" x14ac:dyDescent="0.15">
      <c r="A88" s="221"/>
      <c r="B88" s="221"/>
      <c r="D88" s="225"/>
      <c r="E88" s="225"/>
    </row>
    <row r="89" spans="1:11" ht="13" x14ac:dyDescent="0.15">
      <c r="A89" s="221"/>
      <c r="B89" s="221"/>
      <c r="D89" s="2"/>
      <c r="E89" s="2"/>
      <c r="K89" s="226"/>
    </row>
    <row r="90" spans="1:11" ht="13" x14ac:dyDescent="0.15">
      <c r="A90" s="221"/>
      <c r="B90" s="221"/>
      <c r="D90" s="225"/>
      <c r="E90" s="225"/>
    </row>
  </sheetData>
  <autoFilter ref="A1:M1" xr:uid="{1A11A539-3A9E-4C6D-B38B-62A292B61864}"/>
  <phoneticPr fontId="5" type="noConversion"/>
  <conditionalFormatting sqref="C30:C39">
    <cfRule type="expression" dxfId="114" priority="15" stopIfTrue="1">
      <formula>($I30="Fail")</formula>
    </cfRule>
    <cfRule type="expression" dxfId="113" priority="16" stopIfTrue="1">
      <formula>($I30="Pass")</formula>
    </cfRule>
  </conditionalFormatting>
  <conditionalFormatting sqref="F39:F41">
    <cfRule type="expression" dxfId="112" priority="9" stopIfTrue="1">
      <formula>($I39="Fail")</formula>
    </cfRule>
    <cfRule type="expression" dxfId="111" priority="10" stopIfTrue="1">
      <formula>($I39="Pass")</formula>
    </cfRule>
  </conditionalFormatting>
  <conditionalFormatting sqref="F55:F56">
    <cfRule type="expression" dxfId="110" priority="3" stopIfTrue="1">
      <formula>($I55="Fail")</formula>
    </cfRule>
    <cfRule type="expression" dxfId="109" priority="4" stopIfTrue="1">
      <formula>($I55="Pass")</formula>
    </cfRule>
  </conditionalFormatting>
  <conditionalFormatting sqref="I30:I39 A30:B90">
    <cfRule type="expression" dxfId="108" priority="91" stopIfTrue="1">
      <formula>($I30="Fail")</formula>
    </cfRule>
    <cfRule type="expression" dxfId="107" priority="92" stopIfTrue="1">
      <formula>($I30="Pass")</formula>
    </cfRule>
  </conditionalFormatting>
  <dataValidations count="1">
    <dataValidation type="list" allowBlank="1" showInputMessage="1" showErrorMessage="1" sqref="I81 I83:I65478 I1:I79" xr:uid="{E1C4E74A-1C97-435B-A6A9-FB1A7F03DCA6}">
      <formula1>statuslist</formula1>
    </dataValidation>
  </dataValidations>
  <pageMargins left="0.7" right="0.7" top="0.75" bottom="0.75" header="0.3" footer="0.3"/>
  <pageSetup paperSize="9" orientation="portrait" r:id="rId1"/>
  <headerFooter>
    <oddHeader>&amp;C&amp;"Calibri"&amp;10&amp;K737373 Serco Business - Commercial in Confidence&amp;1#_x000D_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DC174-0406-449B-AE14-378998140F7B}">
  <sheetPr>
    <tabColor theme="7" tint="-0.249977111117893"/>
  </sheetPr>
  <dimension ref="A1:N50"/>
  <sheetViews>
    <sheetView zoomScale="85" zoomScaleNormal="85" workbookViewId="0">
      <selection activeCell="A2" sqref="A2"/>
    </sheetView>
  </sheetViews>
  <sheetFormatPr baseColWidth="10" defaultColWidth="8.6640625" defaultRowHeight="13" x14ac:dyDescent="0.15"/>
  <cols>
    <col min="1" max="1" width="11.1640625" style="57" customWidth="1"/>
    <col min="2" max="2" width="14.33203125" style="57" customWidth="1"/>
    <col min="3" max="4" width="33.1640625" style="57" customWidth="1"/>
    <col min="5" max="6" width="40.83203125" style="57" customWidth="1"/>
    <col min="7" max="7" width="10.5" style="72" bestFit="1" customWidth="1"/>
    <col min="8" max="8" width="11.83203125" style="73" customWidth="1"/>
    <col min="9" max="9" width="10.83203125" style="72" customWidth="1"/>
    <col min="10" max="10" width="46.83203125" style="55" customWidth="1"/>
    <col min="11" max="11" width="27.6640625" style="57" customWidth="1"/>
    <col min="12" max="12" width="24.33203125" style="57" customWidth="1"/>
    <col min="13" max="13" width="14.33203125" style="57" customWidth="1"/>
    <col min="14" max="16384" width="8.6640625" style="57"/>
  </cols>
  <sheetData>
    <row r="1" spans="1:13" ht="39.75" customHeight="1" x14ac:dyDescent="0.15">
      <c r="A1" s="298" t="s">
        <v>253</v>
      </c>
      <c r="B1" s="333" t="s">
        <v>254</v>
      </c>
      <c r="C1" s="290" t="s">
        <v>255</v>
      </c>
      <c r="D1" s="290" t="s">
        <v>256</v>
      </c>
      <c r="E1" s="290" t="s">
        <v>257</v>
      </c>
      <c r="F1" s="290" t="s">
        <v>258</v>
      </c>
      <c r="G1" s="67" t="s">
        <v>259</v>
      </c>
      <c r="H1" s="69" t="s">
        <v>260</v>
      </c>
      <c r="I1" s="68" t="s">
        <v>261</v>
      </c>
      <c r="J1" s="207" t="s">
        <v>262</v>
      </c>
      <c r="K1" s="234" t="s">
        <v>263</v>
      </c>
      <c r="L1" s="276" t="s">
        <v>264</v>
      </c>
      <c r="M1" s="294" t="s">
        <v>254</v>
      </c>
    </row>
    <row r="2" spans="1:13" x14ac:dyDescent="0.15">
      <c r="A2" s="330"/>
      <c r="B2" s="151"/>
      <c r="C2" s="331"/>
      <c r="D2" s="289"/>
      <c r="E2" s="297"/>
      <c r="F2" s="291"/>
      <c r="G2" s="292"/>
      <c r="H2" s="292"/>
      <c r="I2" s="293"/>
      <c r="J2" s="70"/>
      <c r="K2" s="68"/>
      <c r="L2" s="68"/>
      <c r="M2" s="295"/>
    </row>
    <row r="3" spans="1:13" x14ac:dyDescent="0.15">
      <c r="A3" s="330"/>
      <c r="B3" s="151"/>
      <c r="C3" s="331"/>
      <c r="D3" s="289"/>
      <c r="E3" s="297"/>
      <c r="F3" s="291"/>
      <c r="G3" s="292"/>
      <c r="H3" s="292"/>
      <c r="I3" s="293"/>
      <c r="J3" s="70"/>
      <c r="K3" s="68"/>
      <c r="L3" s="68"/>
      <c r="M3" s="295"/>
    </row>
    <row r="4" spans="1:13" x14ac:dyDescent="0.15">
      <c r="A4" s="330"/>
      <c r="B4" s="151"/>
      <c r="C4" s="329"/>
      <c r="D4" s="296"/>
      <c r="E4" s="291"/>
      <c r="F4" s="291"/>
      <c r="G4" s="292"/>
      <c r="H4" s="292"/>
      <c r="I4" s="293"/>
      <c r="J4" s="70"/>
      <c r="K4" s="68"/>
      <c r="L4" s="68"/>
      <c r="M4" s="295"/>
    </row>
    <row r="5" spans="1:13" x14ac:dyDescent="0.15">
      <c r="A5" s="330"/>
      <c r="B5" s="151"/>
      <c r="C5" s="329"/>
      <c r="D5" s="296"/>
      <c r="E5" s="291"/>
      <c r="F5" s="291"/>
      <c r="G5" s="292"/>
      <c r="H5" s="292"/>
      <c r="I5" s="293"/>
      <c r="J5" s="70"/>
      <c r="K5" s="68"/>
      <c r="L5" s="68"/>
      <c r="M5" s="295"/>
    </row>
    <row r="6" spans="1:13" x14ac:dyDescent="0.15">
      <c r="A6" s="330"/>
      <c r="B6" s="151"/>
      <c r="C6" s="332"/>
      <c r="D6" s="296"/>
      <c r="E6" s="291"/>
      <c r="F6" s="291"/>
      <c r="G6" s="292"/>
      <c r="H6" s="292"/>
      <c r="I6" s="293"/>
      <c r="J6" s="70"/>
      <c r="K6" s="68"/>
      <c r="L6" s="68"/>
      <c r="M6" s="295"/>
    </row>
    <row r="7" spans="1:13" x14ac:dyDescent="0.15">
      <c r="A7" s="330"/>
      <c r="B7" s="151"/>
      <c r="C7" s="329"/>
      <c r="D7" s="296"/>
      <c r="E7" s="291"/>
      <c r="F7" s="291"/>
      <c r="G7" s="292"/>
      <c r="H7" s="292"/>
      <c r="I7" s="293"/>
      <c r="J7" s="70"/>
      <c r="K7" s="68"/>
      <c r="L7" s="68"/>
      <c r="M7" s="295"/>
    </row>
    <row r="8" spans="1:13" x14ac:dyDescent="0.15">
      <c r="A8" s="330"/>
      <c r="B8" s="151"/>
      <c r="C8" s="329"/>
      <c r="D8" s="296"/>
      <c r="E8" s="291"/>
      <c r="F8" s="291"/>
      <c r="G8" s="292"/>
      <c r="H8" s="292"/>
      <c r="I8" s="293"/>
      <c r="J8" s="70"/>
      <c r="K8" s="68"/>
      <c r="L8" s="68"/>
      <c r="M8" s="295"/>
    </row>
    <row r="9" spans="1:13" x14ac:dyDescent="0.15">
      <c r="A9" s="330"/>
      <c r="B9" s="151"/>
      <c r="C9" s="329"/>
      <c r="D9" s="296"/>
      <c r="E9" s="291"/>
      <c r="F9" s="291"/>
      <c r="G9" s="292"/>
      <c r="H9" s="292"/>
      <c r="I9" s="293"/>
      <c r="J9" s="70"/>
      <c r="K9" s="68"/>
      <c r="L9" s="68"/>
      <c r="M9" s="295"/>
    </row>
    <row r="10" spans="1:13" x14ac:dyDescent="0.15">
      <c r="A10" s="330"/>
      <c r="B10" s="151"/>
      <c r="C10" s="329"/>
      <c r="D10" s="296"/>
      <c r="E10" s="291"/>
      <c r="F10" s="291"/>
      <c r="G10" s="292"/>
      <c r="H10" s="292"/>
      <c r="I10" s="293"/>
      <c r="J10" s="70"/>
      <c r="K10" s="68"/>
      <c r="L10" s="68"/>
      <c r="M10" s="295"/>
    </row>
    <row r="11" spans="1:13" x14ac:dyDescent="0.15">
      <c r="A11" s="330"/>
      <c r="B11" s="151"/>
      <c r="C11" s="329"/>
      <c r="D11" s="296"/>
      <c r="E11" s="291"/>
      <c r="F11" s="291"/>
      <c r="G11" s="292"/>
      <c r="H11" s="292"/>
      <c r="I11" s="293"/>
      <c r="J11" s="70"/>
      <c r="K11" s="68"/>
      <c r="L11" s="68"/>
      <c r="M11" s="295"/>
    </row>
    <row r="12" spans="1:13" x14ac:dyDescent="0.15">
      <c r="A12" s="330"/>
      <c r="B12" s="151"/>
      <c r="C12" s="329"/>
      <c r="D12" s="296"/>
      <c r="E12" s="291"/>
      <c r="F12" s="291"/>
      <c r="G12" s="292"/>
      <c r="H12" s="292"/>
      <c r="I12" s="293"/>
      <c r="J12" s="70"/>
      <c r="K12" s="68"/>
      <c r="L12" s="68"/>
      <c r="M12" s="295"/>
    </row>
    <row r="13" spans="1:13" x14ac:dyDescent="0.15">
      <c r="A13" s="330"/>
      <c r="B13" s="167"/>
      <c r="C13" s="329"/>
      <c r="D13" s="296"/>
      <c r="E13" s="291"/>
      <c r="F13" s="291"/>
      <c r="G13" s="292"/>
      <c r="H13" s="292"/>
      <c r="I13" s="293"/>
      <c r="J13" s="70"/>
      <c r="K13" s="65"/>
      <c r="L13" s="68"/>
      <c r="M13" s="329"/>
    </row>
    <row r="14" spans="1:13" x14ac:dyDescent="0.15">
      <c r="A14" s="334"/>
      <c r="B14" s="239"/>
      <c r="C14" s="182"/>
      <c r="D14" s="182"/>
      <c r="E14" s="182"/>
      <c r="F14" s="182"/>
      <c r="G14" s="52"/>
      <c r="H14" s="66"/>
      <c r="I14" s="52"/>
      <c r="J14" s="163"/>
      <c r="K14" s="60"/>
      <c r="L14" s="61"/>
      <c r="M14" s="61"/>
    </row>
    <row r="15" spans="1:13" x14ac:dyDescent="0.15">
      <c r="A15" s="182"/>
      <c r="B15" s="61"/>
      <c r="C15" s="182"/>
      <c r="D15" s="182"/>
      <c r="E15" s="182"/>
      <c r="F15" s="182"/>
      <c r="G15" s="52"/>
      <c r="H15" s="66"/>
      <c r="I15" s="52"/>
      <c r="J15" s="65"/>
      <c r="K15" s="60"/>
      <c r="L15" s="61"/>
      <c r="M15" s="61"/>
    </row>
    <row r="16" spans="1:13" x14ac:dyDescent="0.15">
      <c r="A16" s="182"/>
      <c r="B16" s="61"/>
      <c r="C16" s="182"/>
      <c r="D16" s="182"/>
      <c r="E16" s="182"/>
      <c r="F16" s="182"/>
      <c r="G16" s="52"/>
      <c r="H16" s="66"/>
      <c r="I16" s="52"/>
      <c r="J16" s="65"/>
      <c r="K16" s="60"/>
      <c r="L16" s="61"/>
      <c r="M16" s="61"/>
    </row>
    <row r="17" spans="1:14" x14ac:dyDescent="0.15">
      <c r="A17" s="182"/>
      <c r="B17" s="61"/>
      <c r="C17" s="182"/>
      <c r="D17" s="182"/>
      <c r="E17" s="182"/>
      <c r="F17" s="182"/>
      <c r="G17" s="52"/>
      <c r="H17" s="66"/>
      <c r="I17" s="52"/>
      <c r="J17" s="65"/>
      <c r="K17" s="60"/>
      <c r="L17" s="61"/>
      <c r="M17" s="61"/>
    </row>
    <row r="18" spans="1:14" x14ac:dyDescent="0.15">
      <c r="A18" s="182"/>
      <c r="B18" s="61"/>
      <c r="C18" s="182"/>
      <c r="D18" s="182"/>
      <c r="E18" s="182"/>
      <c r="F18" s="182"/>
      <c r="G18" s="52"/>
      <c r="H18" s="66"/>
      <c r="I18" s="52"/>
      <c r="J18" s="65"/>
      <c r="K18" s="60"/>
      <c r="L18" s="61"/>
      <c r="M18" s="61"/>
    </row>
    <row r="19" spans="1:14" x14ac:dyDescent="0.15">
      <c r="A19" s="182"/>
      <c r="B19" s="61"/>
      <c r="C19" s="182"/>
      <c r="D19" s="182"/>
      <c r="E19" s="182"/>
      <c r="F19" s="182"/>
      <c r="G19" s="52"/>
      <c r="H19" s="66"/>
      <c r="I19" s="52"/>
      <c r="J19" s="65"/>
      <c r="K19" s="60"/>
      <c r="L19" s="61"/>
      <c r="M19" s="61"/>
    </row>
    <row r="20" spans="1:14" x14ac:dyDescent="0.15">
      <c r="A20" s="182"/>
      <c r="B20" s="61"/>
      <c r="C20" s="182"/>
      <c r="D20" s="182"/>
      <c r="E20" s="182"/>
      <c r="F20" s="182"/>
      <c r="G20" s="52"/>
      <c r="H20" s="66"/>
      <c r="I20" s="52"/>
      <c r="J20" s="65"/>
      <c r="K20" s="60"/>
      <c r="L20" s="61"/>
      <c r="M20" s="61"/>
      <c r="N20" s="141"/>
    </row>
    <row r="21" spans="1:14" x14ac:dyDescent="0.15">
      <c r="A21" s="182"/>
      <c r="B21" s="61"/>
      <c r="C21" s="288"/>
      <c r="D21" s="288"/>
      <c r="E21" s="288"/>
      <c r="F21" s="288"/>
      <c r="G21" s="113"/>
      <c r="H21" s="66"/>
      <c r="I21" s="52"/>
      <c r="J21" s="65"/>
      <c r="K21" s="60"/>
      <c r="L21" s="61"/>
      <c r="M21" s="61"/>
    </row>
    <row r="22" spans="1:14" x14ac:dyDescent="0.15">
      <c r="A22" s="182"/>
      <c r="B22" s="61"/>
      <c r="C22" s="182"/>
      <c r="D22" s="182"/>
      <c r="E22" s="182"/>
      <c r="F22" s="182"/>
      <c r="G22" s="52"/>
      <c r="H22" s="66"/>
      <c r="I22" s="52"/>
      <c r="J22" s="65"/>
      <c r="K22" s="60"/>
      <c r="L22" s="61"/>
      <c r="M22" s="61"/>
    </row>
    <row r="23" spans="1:14" x14ac:dyDescent="0.15">
      <c r="A23" s="182"/>
      <c r="B23" s="61"/>
      <c r="C23" s="182"/>
      <c r="D23" s="182"/>
      <c r="E23" s="182"/>
      <c r="F23" s="182"/>
      <c r="G23" s="52"/>
      <c r="H23" s="66"/>
      <c r="I23" s="52"/>
      <c r="J23" s="65"/>
      <c r="K23" s="60"/>
      <c r="L23" s="61"/>
      <c r="M23" s="61"/>
    </row>
    <row r="24" spans="1:14" x14ac:dyDescent="0.15">
      <c r="A24" s="182"/>
      <c r="B24" s="61"/>
      <c r="C24" s="182"/>
      <c r="D24" s="182"/>
      <c r="E24" s="182"/>
      <c r="F24" s="182"/>
      <c r="G24" s="52"/>
      <c r="H24" s="66"/>
      <c r="I24" s="52"/>
      <c r="J24" s="65"/>
      <c r="K24" s="60"/>
      <c r="L24" s="61"/>
      <c r="M24" s="61"/>
    </row>
    <row r="25" spans="1:14" x14ac:dyDescent="0.15">
      <c r="A25" s="182"/>
      <c r="B25" s="61"/>
      <c r="C25" s="182"/>
      <c r="D25" s="182"/>
      <c r="E25" s="182"/>
      <c r="F25" s="182"/>
      <c r="G25" s="52"/>
      <c r="H25" s="66"/>
      <c r="I25" s="52"/>
      <c r="J25" s="183"/>
      <c r="K25" s="60"/>
      <c r="L25" s="61"/>
      <c r="M25" s="61"/>
    </row>
    <row r="26" spans="1:14" x14ac:dyDescent="0.15">
      <c r="A26" s="47"/>
      <c r="B26" s="61"/>
      <c r="C26" s="47"/>
      <c r="D26" s="47"/>
      <c r="E26" s="47"/>
      <c r="F26" s="47"/>
      <c r="G26" s="52"/>
      <c r="H26" s="66"/>
      <c r="I26" s="75"/>
      <c r="J26" s="184"/>
      <c r="K26" s="63"/>
      <c r="L26" s="61"/>
      <c r="M26" s="61"/>
      <c r="N26" s="141"/>
    </row>
    <row r="27" spans="1:14" x14ac:dyDescent="0.15">
      <c r="A27" s="47"/>
      <c r="B27" s="61"/>
      <c r="C27" s="47"/>
      <c r="D27" s="47"/>
      <c r="E27" s="47"/>
      <c r="F27" s="47"/>
      <c r="G27" s="52"/>
      <c r="H27" s="66"/>
      <c r="I27" s="164"/>
      <c r="J27" s="184"/>
      <c r="K27" s="152"/>
      <c r="L27" s="61"/>
      <c r="M27" s="61"/>
      <c r="N27" s="141"/>
    </row>
    <row r="28" spans="1:14" x14ac:dyDescent="0.15">
      <c r="A28" s="47"/>
      <c r="B28" s="61"/>
      <c r="C28" s="47"/>
      <c r="D28" s="47"/>
      <c r="E28" s="47"/>
      <c r="F28" s="47"/>
      <c r="G28" s="52"/>
      <c r="H28" s="66"/>
      <c r="I28" s="75"/>
      <c r="J28" s="184"/>
      <c r="K28" s="63"/>
      <c r="L28" s="61"/>
      <c r="M28" s="61"/>
      <c r="N28" s="141"/>
    </row>
    <row r="29" spans="1:14" x14ac:dyDescent="0.15">
      <c r="A29" s="47"/>
      <c r="B29" s="61"/>
      <c r="C29" s="47"/>
      <c r="D29" s="47"/>
      <c r="E29" s="47"/>
      <c r="F29" s="47"/>
      <c r="G29" s="52"/>
      <c r="H29" s="66"/>
      <c r="I29" s="164"/>
      <c r="J29" s="184"/>
      <c r="K29" s="152"/>
      <c r="L29" s="61"/>
      <c r="M29" s="61"/>
      <c r="N29" s="141"/>
    </row>
    <row r="30" spans="1:14" x14ac:dyDescent="0.15">
      <c r="A30" s="47"/>
      <c r="B30" s="61"/>
      <c r="C30" s="47"/>
      <c r="D30" s="47"/>
      <c r="E30" s="47"/>
      <c r="F30" s="47"/>
      <c r="G30" s="52"/>
      <c r="H30" s="66"/>
      <c r="I30" s="164"/>
      <c r="J30" s="185"/>
      <c r="K30" s="152"/>
      <c r="L30" s="61"/>
      <c r="M30" s="61"/>
    </row>
    <row r="31" spans="1:14" x14ac:dyDescent="0.15">
      <c r="A31" s="47"/>
      <c r="B31" s="61"/>
      <c r="C31" s="47"/>
      <c r="D31" s="47"/>
      <c r="E31" s="47"/>
      <c r="F31" s="47"/>
      <c r="G31" s="52"/>
      <c r="H31" s="66"/>
      <c r="I31" s="52"/>
      <c r="J31" s="186"/>
      <c r="K31" s="60"/>
      <c r="L31" s="61"/>
      <c r="M31" s="61"/>
      <c r="N31" s="141"/>
    </row>
    <row r="32" spans="1:14" x14ac:dyDescent="0.15">
      <c r="A32" s="47"/>
      <c r="B32" s="61"/>
      <c r="C32" s="47"/>
      <c r="D32" s="47"/>
      <c r="E32" s="47"/>
      <c r="F32" s="47"/>
      <c r="G32" s="52"/>
      <c r="H32" s="66"/>
      <c r="I32" s="52"/>
      <c r="J32" s="65"/>
      <c r="K32" s="60"/>
      <c r="L32" s="61"/>
      <c r="M32" s="61"/>
      <c r="N32" s="141"/>
    </row>
    <row r="33" spans="1:13" ht="15" x14ac:dyDescent="0.2">
      <c r="A33" s="165"/>
      <c r="B33" s="165"/>
      <c r="C33" s="165"/>
      <c r="D33" s="165"/>
      <c r="E33" s="165"/>
      <c r="F33" s="165"/>
      <c r="G33" s="188"/>
      <c r="H33" s="193"/>
      <c r="I33" s="180"/>
      <c r="J33" s="181"/>
      <c r="K33" s="181"/>
      <c r="L33" s="165"/>
      <c r="M33" s="165"/>
    </row>
    <row r="34" spans="1:13" ht="15" x14ac:dyDescent="0.2">
      <c r="A34" s="165"/>
      <c r="B34" s="165"/>
      <c r="C34" s="165"/>
      <c r="D34" s="165"/>
      <c r="E34" s="165"/>
      <c r="F34" s="165"/>
      <c r="G34" s="188"/>
      <c r="H34" s="188"/>
      <c r="I34" s="180"/>
      <c r="J34" s="195"/>
      <c r="K34" s="196"/>
      <c r="L34" s="165"/>
      <c r="M34" s="165"/>
    </row>
    <row r="35" spans="1:13" ht="15" x14ac:dyDescent="0.15">
      <c r="A35" s="165"/>
      <c r="B35" s="165"/>
      <c r="C35" s="165"/>
      <c r="D35" s="165"/>
      <c r="E35" s="165"/>
      <c r="F35" s="165"/>
      <c r="G35" s="188"/>
      <c r="H35" s="188"/>
      <c r="I35" s="180"/>
      <c r="J35" s="197"/>
      <c r="K35" s="196"/>
      <c r="L35" s="165"/>
      <c r="M35" s="165"/>
    </row>
    <row r="36" spans="1:13" ht="15" x14ac:dyDescent="0.2">
      <c r="A36" s="165"/>
      <c r="B36" s="165"/>
      <c r="C36" s="165"/>
      <c r="D36" s="165"/>
      <c r="E36" s="165"/>
      <c r="F36" s="165"/>
      <c r="G36" s="188"/>
      <c r="H36" s="188"/>
      <c r="I36" s="180"/>
      <c r="J36" s="194"/>
      <c r="K36" s="196"/>
      <c r="L36" s="165"/>
      <c r="M36" s="165"/>
    </row>
    <row r="37" spans="1:13" ht="15" x14ac:dyDescent="0.2">
      <c r="A37" s="165"/>
      <c r="B37" s="165"/>
      <c r="C37" s="165"/>
      <c r="D37" s="165"/>
      <c r="E37" s="165"/>
      <c r="F37" s="165"/>
      <c r="G37" s="188"/>
      <c r="H37" s="188"/>
      <c r="I37" s="180"/>
      <c r="J37" s="194"/>
      <c r="K37" s="196"/>
      <c r="L37" s="165"/>
      <c r="M37" s="165"/>
    </row>
    <row r="38" spans="1:13" ht="15" x14ac:dyDescent="0.2">
      <c r="A38" s="165"/>
      <c r="B38" s="168"/>
      <c r="C38" s="165"/>
      <c r="D38" s="165"/>
      <c r="E38" s="165"/>
      <c r="F38" s="165"/>
      <c r="G38" s="198"/>
      <c r="H38" s="188"/>
      <c r="I38" s="180"/>
      <c r="J38" s="194"/>
      <c r="K38" s="196"/>
      <c r="L38" s="168"/>
      <c r="M38" s="168"/>
    </row>
    <row r="39" spans="1:13" ht="15" x14ac:dyDescent="0.2">
      <c r="A39" s="168"/>
      <c r="B39" s="168"/>
      <c r="C39" s="168"/>
      <c r="D39" s="168"/>
      <c r="E39" s="168"/>
      <c r="F39" s="168"/>
      <c r="G39" s="170"/>
      <c r="H39" s="199"/>
      <c r="I39" s="200"/>
      <c r="J39" s="201"/>
      <c r="K39" s="168"/>
      <c r="L39" s="168"/>
      <c r="M39" s="168"/>
    </row>
    <row r="40" spans="1:13" ht="14" x14ac:dyDescent="0.15">
      <c r="A40" s="165"/>
      <c r="B40" s="165"/>
      <c r="C40" s="165"/>
      <c r="D40" s="165"/>
      <c r="E40" s="165"/>
      <c r="F40" s="165"/>
      <c r="G40" s="174"/>
      <c r="H40" s="175"/>
      <c r="I40" s="180"/>
      <c r="J40" s="202"/>
      <c r="K40" s="165"/>
      <c r="L40" s="165"/>
      <c r="M40" s="165"/>
    </row>
    <row r="41" spans="1:13" x14ac:dyDescent="0.15">
      <c r="A41" s="169"/>
      <c r="B41" s="165"/>
      <c r="C41" s="169"/>
      <c r="D41" s="169"/>
      <c r="E41" s="169"/>
      <c r="F41" s="169"/>
      <c r="G41" s="187"/>
      <c r="H41" s="203"/>
      <c r="I41" s="198"/>
      <c r="J41" s="204"/>
      <c r="K41" s="165"/>
      <c r="L41" s="165"/>
      <c r="M41" s="165"/>
    </row>
    <row r="42" spans="1:13" x14ac:dyDescent="0.15">
      <c r="A42" s="205"/>
      <c r="B42" s="165"/>
      <c r="C42" s="205"/>
      <c r="D42" s="205"/>
      <c r="E42" s="205"/>
      <c r="F42" s="205"/>
      <c r="G42" s="170"/>
      <c r="H42" s="171"/>
      <c r="I42" s="170"/>
      <c r="J42" s="204"/>
      <c r="K42" s="165"/>
      <c r="L42" s="165"/>
      <c r="M42" s="165"/>
    </row>
    <row r="43" spans="1:13" ht="14" x14ac:dyDescent="0.15">
      <c r="A43" s="167"/>
      <c r="B43" s="165"/>
      <c r="C43" s="167"/>
      <c r="D43" s="167"/>
      <c r="E43" s="167"/>
      <c r="F43" s="167"/>
      <c r="G43" s="174"/>
      <c r="H43" s="175"/>
      <c r="I43" s="180"/>
      <c r="J43" s="202"/>
      <c r="K43" s="165"/>
      <c r="L43" s="165"/>
      <c r="M43" s="165"/>
    </row>
    <row r="44" spans="1:13" ht="14" x14ac:dyDescent="0.15">
      <c r="A44" s="205"/>
      <c r="B44" s="165"/>
      <c r="C44" s="205"/>
      <c r="D44" s="205"/>
      <c r="E44" s="205"/>
      <c r="F44" s="205"/>
      <c r="G44" s="170"/>
      <c r="H44" s="171"/>
      <c r="I44" s="180"/>
      <c r="J44" s="204"/>
      <c r="K44" s="165"/>
      <c r="L44" s="165"/>
      <c r="M44" s="165"/>
    </row>
    <row r="45" spans="1:13" x14ac:dyDescent="0.15">
      <c r="A45" s="167"/>
      <c r="B45" s="165"/>
      <c r="C45" s="167"/>
      <c r="D45" s="167"/>
      <c r="E45" s="167"/>
      <c r="F45" s="167"/>
      <c r="G45" s="174"/>
      <c r="H45" s="175"/>
      <c r="I45" s="174"/>
      <c r="J45" s="202"/>
      <c r="K45" s="165"/>
      <c r="L45" s="165"/>
      <c r="M45" s="165"/>
    </row>
    <row r="46" spans="1:13" x14ac:dyDescent="0.15">
      <c r="A46" s="205"/>
      <c r="B46" s="165"/>
      <c r="C46" s="205"/>
      <c r="D46" s="205"/>
      <c r="E46" s="205"/>
      <c r="F46" s="205"/>
      <c r="G46" s="170"/>
      <c r="H46" s="171"/>
      <c r="I46" s="170"/>
      <c r="J46" s="204"/>
      <c r="K46" s="165"/>
      <c r="L46" s="165"/>
      <c r="M46" s="165"/>
    </row>
    <row r="47" spans="1:13" x14ac:dyDescent="0.15">
      <c r="A47" s="167"/>
      <c r="B47" s="165"/>
      <c r="C47" s="167"/>
      <c r="D47" s="167"/>
      <c r="E47" s="167"/>
      <c r="F47" s="167"/>
      <c r="G47" s="174"/>
      <c r="H47" s="175"/>
      <c r="I47" s="174"/>
      <c r="J47" s="202"/>
      <c r="K47" s="165"/>
      <c r="L47" s="165"/>
      <c r="M47" s="165"/>
    </row>
    <row r="48" spans="1:13" x14ac:dyDescent="0.15">
      <c r="A48" s="167"/>
      <c r="B48" s="165"/>
      <c r="C48" s="167"/>
      <c r="D48" s="167"/>
      <c r="E48" s="167"/>
      <c r="F48" s="167"/>
      <c r="G48" s="174"/>
      <c r="H48" s="175"/>
      <c r="I48" s="170"/>
      <c r="J48" s="204"/>
      <c r="K48" s="165"/>
      <c r="L48" s="165"/>
      <c r="M48" s="165"/>
    </row>
    <row r="49" spans="1:13" x14ac:dyDescent="0.15">
      <c r="A49" s="167"/>
      <c r="B49" s="168"/>
      <c r="C49" s="167"/>
      <c r="D49" s="167"/>
      <c r="E49" s="167"/>
      <c r="F49" s="167"/>
      <c r="G49" s="174"/>
      <c r="H49" s="206"/>
      <c r="I49" s="174"/>
      <c r="J49" s="166"/>
      <c r="K49" s="190"/>
      <c r="L49" s="168"/>
      <c r="M49" s="168"/>
    </row>
    <row r="50" spans="1:13" x14ac:dyDescent="0.15">
      <c r="A50" s="165"/>
      <c r="B50" s="165"/>
      <c r="C50" s="165"/>
      <c r="D50" s="165"/>
      <c r="E50" s="165"/>
      <c r="F50" s="165"/>
      <c r="G50" s="174"/>
      <c r="H50" s="206"/>
      <c r="I50" s="188"/>
      <c r="J50" s="202"/>
      <c r="K50" s="192"/>
      <c r="L50" s="165"/>
      <c r="M50" s="165"/>
    </row>
  </sheetData>
  <autoFilter ref="A1:Q50" xr:uid="{CA0B6D8C-3C89-4F27-A2C4-A70DDCEF53BD}"/>
  <phoneticPr fontId="6" type="noConversion"/>
  <conditionalFormatting sqref="A2:A26 G14:H24 I14:I26 G26:H26 I32:I40">
    <cfRule type="expression" dxfId="106" priority="31" stopIfTrue="1">
      <formula>($I2="Fail")</formula>
    </cfRule>
    <cfRule type="expression" dxfId="105" priority="32" stopIfTrue="1">
      <formula>($I2="Pass")</formula>
    </cfRule>
  </conditionalFormatting>
  <conditionalFormatting sqref="C14:F26 G33 G35:G38 G38:H38">
    <cfRule type="expression" dxfId="104" priority="52" stopIfTrue="1">
      <formula>($I14="Pass")</formula>
    </cfRule>
  </conditionalFormatting>
  <conditionalFormatting sqref="C14:F26 G33">
    <cfRule type="expression" dxfId="103" priority="51" stopIfTrue="1">
      <formula>($I14="Fail")</formula>
    </cfRule>
  </conditionalFormatting>
  <conditionalFormatting sqref="G34:H34">
    <cfRule type="expression" dxfId="102" priority="87" stopIfTrue="1">
      <formula>($I34="Pass")</formula>
    </cfRule>
  </conditionalFormatting>
  <conditionalFormatting sqref="G34:H38">
    <cfRule type="expression" dxfId="101" priority="86" stopIfTrue="1">
      <formula>($I34="Fail")</formula>
    </cfRule>
  </conditionalFormatting>
  <conditionalFormatting sqref="H34:H37">
    <cfRule type="expression" dxfId="100" priority="85" stopIfTrue="1">
      <formula>($I34="Pass")</formula>
    </cfRule>
  </conditionalFormatting>
  <conditionalFormatting sqref="H39">
    <cfRule type="expression" dxfId="99" priority="81" stopIfTrue="1">
      <formula>($I39="Fail")</formula>
    </cfRule>
    <cfRule type="expression" dxfId="98" priority="82" stopIfTrue="1">
      <formula>($I39="Pass")</formula>
    </cfRule>
  </conditionalFormatting>
  <conditionalFormatting sqref="I28">
    <cfRule type="expression" dxfId="97" priority="73" stopIfTrue="1">
      <formula>($I28="Fail")</formula>
    </cfRule>
    <cfRule type="expression" dxfId="96" priority="74" stopIfTrue="1">
      <formula>($I28="Pass")</formula>
    </cfRule>
  </conditionalFormatting>
  <conditionalFormatting sqref="I43:I44">
    <cfRule type="expression" dxfId="95" priority="69" stopIfTrue="1">
      <formula>($I43="Fail")</formula>
    </cfRule>
    <cfRule type="expression" dxfId="94" priority="70" stopIfTrue="1">
      <formula>($I43="Pass")</formula>
    </cfRule>
  </conditionalFormatting>
  <dataValidations count="1">
    <dataValidation type="list" allowBlank="1" showInputMessage="1" showErrorMessage="1" sqref="I1:I1048576" xr:uid="{621F7A0B-0FAE-4511-A609-9AF0E908A047}">
      <formula1>statuslist</formula1>
    </dataValidation>
  </dataValidations>
  <pageMargins left="0.7" right="0.7" top="0.75" bottom="0.75" header="0.3" footer="0.3"/>
  <pageSetup paperSize="9" orientation="portrait" r:id="rId1"/>
  <headerFooter>
    <oddHeader>&amp;C&amp;"Calibri"&amp;10&amp;K737373 Serco Business - Commercial in Confidence&amp;1#_x000D_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183D0-3854-4991-8222-E68BF8D8ACF3}">
  <sheetPr>
    <tabColor theme="6" tint="0.39997558519241921"/>
  </sheetPr>
  <dimension ref="A1:M39"/>
  <sheetViews>
    <sheetView zoomScale="70" zoomScaleNormal="70" workbookViewId="0">
      <selection activeCell="D15" sqref="D15"/>
    </sheetView>
  </sheetViews>
  <sheetFormatPr baseColWidth="10" defaultColWidth="8.6640625" defaultRowHeight="12.75" customHeight="1" x14ac:dyDescent="0.15"/>
  <cols>
    <col min="1" max="2" width="11.1640625" style="57" customWidth="1"/>
    <col min="3" max="3" width="34.33203125" style="71" customWidth="1"/>
    <col min="4" max="4" width="49.5" style="49" bestFit="1" customWidth="1"/>
    <col min="5" max="5" width="49.5" style="49" customWidth="1"/>
    <col min="6" max="6" width="33.5" style="48" customWidth="1"/>
    <col min="7" max="7" width="10.5" style="72" bestFit="1" customWidth="1"/>
    <col min="8" max="8" width="11.83203125" style="73" customWidth="1"/>
    <col min="9" max="9" width="16.5" style="72" customWidth="1"/>
    <col min="10" max="10" width="46.83203125" style="55" customWidth="1"/>
    <col min="11" max="11" width="27.6640625" style="57" customWidth="1"/>
    <col min="12" max="12" width="24.33203125" style="57" customWidth="1"/>
    <col min="13" max="13" width="14.33203125" style="57" customWidth="1"/>
    <col min="14" max="16384" width="8.6640625" style="57"/>
  </cols>
  <sheetData>
    <row r="1" spans="1:13" ht="28" x14ac:dyDescent="0.15">
      <c r="A1" s="298" t="s">
        <v>253</v>
      </c>
      <c r="B1" s="234" t="s">
        <v>254</v>
      </c>
      <c r="C1" s="299" t="s">
        <v>255</v>
      </c>
      <c r="D1" s="299" t="s">
        <v>256</v>
      </c>
      <c r="E1" s="299" t="s">
        <v>257</v>
      </c>
      <c r="F1" s="299" t="s">
        <v>258</v>
      </c>
      <c r="G1" s="67" t="s">
        <v>259</v>
      </c>
      <c r="H1" s="69" t="s">
        <v>260</v>
      </c>
      <c r="I1" s="68" t="s">
        <v>261</v>
      </c>
      <c r="J1" s="207" t="s">
        <v>262</v>
      </c>
      <c r="K1" s="234" t="s">
        <v>263</v>
      </c>
      <c r="L1" s="276" t="s">
        <v>264</v>
      </c>
      <c r="M1" s="207" t="s">
        <v>254</v>
      </c>
    </row>
    <row r="2" spans="1:13" ht="13" x14ac:dyDescent="0.15">
      <c r="A2" s="306"/>
      <c r="B2" s="306"/>
      <c r="C2" s="172"/>
      <c r="D2" s="307"/>
      <c r="E2" s="307"/>
      <c r="F2" s="316"/>
      <c r="G2" s="66"/>
      <c r="H2" s="66"/>
      <c r="I2" s="52"/>
      <c r="J2" s="64"/>
      <c r="K2" s="60"/>
      <c r="L2" s="61"/>
      <c r="M2" s="151"/>
    </row>
    <row r="3" spans="1:13" ht="13" x14ac:dyDescent="0.15">
      <c r="A3" s="308"/>
      <c r="B3" s="308"/>
      <c r="C3" s="172"/>
      <c r="D3" s="191"/>
      <c r="E3" s="191"/>
      <c r="F3" s="316"/>
      <c r="G3" s="66"/>
      <c r="H3" s="66"/>
      <c r="I3" s="52"/>
      <c r="J3" s="141"/>
      <c r="K3" s="60"/>
      <c r="L3" s="61"/>
      <c r="M3" s="151"/>
    </row>
    <row r="4" spans="1:13" ht="13" x14ac:dyDescent="0.15">
      <c r="A4" s="306"/>
      <c r="B4" s="306"/>
      <c r="C4" s="172"/>
      <c r="D4" s="309"/>
      <c r="E4" s="309"/>
      <c r="F4" s="316"/>
      <c r="G4" s="66"/>
      <c r="H4" s="66"/>
      <c r="I4" s="52"/>
      <c r="J4" s="64"/>
      <c r="K4" s="60"/>
      <c r="L4" s="284"/>
      <c r="M4" s="151"/>
    </row>
    <row r="5" spans="1:13" ht="13" x14ac:dyDescent="0.15">
      <c r="A5" s="308"/>
      <c r="B5" s="308"/>
      <c r="C5" s="172"/>
      <c r="D5" s="307"/>
      <c r="E5" s="307"/>
      <c r="F5" s="317"/>
      <c r="G5" s="66"/>
      <c r="H5" s="66"/>
      <c r="I5" s="52"/>
      <c r="J5" s="64"/>
      <c r="K5" s="278"/>
      <c r="L5" s="279"/>
      <c r="M5" s="283"/>
    </row>
    <row r="6" spans="1:13" ht="13" x14ac:dyDescent="0.15">
      <c r="A6" s="306"/>
      <c r="B6" s="306"/>
      <c r="C6" s="310"/>
      <c r="D6" s="311"/>
      <c r="E6" s="311"/>
      <c r="F6" s="318"/>
      <c r="G6" s="66"/>
      <c r="H6" s="66"/>
      <c r="I6" s="52"/>
      <c r="J6" s="65"/>
      <c r="K6" s="278"/>
      <c r="L6" s="160"/>
      <c r="M6" s="283"/>
    </row>
    <row r="7" spans="1:13" ht="13" x14ac:dyDescent="0.15">
      <c r="A7" s="308"/>
      <c r="B7" s="308"/>
      <c r="C7" s="310"/>
      <c r="D7" s="191"/>
      <c r="E7" s="191"/>
      <c r="F7" s="319"/>
      <c r="G7" s="66"/>
      <c r="H7" s="66"/>
      <c r="I7" s="52"/>
      <c r="J7" s="96"/>
      <c r="K7" s="278"/>
      <c r="L7" s="285"/>
      <c r="M7" s="283"/>
    </row>
    <row r="8" spans="1:13" ht="13" x14ac:dyDescent="0.15">
      <c r="A8" s="306"/>
      <c r="B8" s="306"/>
      <c r="C8" s="172"/>
      <c r="D8" s="307"/>
      <c r="E8" s="307"/>
      <c r="F8" s="317"/>
      <c r="G8" s="66"/>
      <c r="H8" s="66"/>
      <c r="I8" s="52"/>
      <c r="J8" s="96"/>
      <c r="K8" s="278"/>
      <c r="L8" s="285"/>
      <c r="M8" s="283"/>
    </row>
    <row r="9" spans="1:13" ht="13" x14ac:dyDescent="0.15">
      <c r="A9" s="308"/>
      <c r="B9" s="308"/>
      <c r="C9" s="176"/>
      <c r="D9" s="307"/>
      <c r="E9" s="307"/>
      <c r="F9" s="287"/>
      <c r="G9" s="66"/>
      <c r="H9" s="66"/>
      <c r="I9" s="52"/>
      <c r="J9" s="96"/>
      <c r="K9" s="278"/>
      <c r="L9" s="280"/>
      <c r="M9" s="283"/>
    </row>
    <row r="10" spans="1:13" ht="13" x14ac:dyDescent="0.15">
      <c r="A10" s="306"/>
      <c r="B10" s="306"/>
      <c r="C10" s="310"/>
      <c r="D10" s="312"/>
      <c r="E10" s="312"/>
      <c r="F10" s="286"/>
      <c r="G10" s="66"/>
      <c r="H10" s="66"/>
      <c r="I10" s="52"/>
      <c r="J10" s="96"/>
      <c r="K10" s="278"/>
      <c r="L10" s="281"/>
      <c r="M10" s="283"/>
    </row>
    <row r="11" spans="1:13" ht="13" x14ac:dyDescent="0.15">
      <c r="A11" s="308"/>
      <c r="B11" s="308"/>
      <c r="C11" s="313"/>
      <c r="D11" s="260"/>
      <c r="E11" s="260"/>
      <c r="F11" s="247"/>
      <c r="G11" s="66"/>
      <c r="H11" s="66"/>
      <c r="I11" s="52"/>
      <c r="J11" s="96"/>
      <c r="K11" s="278"/>
      <c r="L11" s="281"/>
      <c r="M11" s="283"/>
    </row>
    <row r="12" spans="1:13" ht="13" x14ac:dyDescent="0.15">
      <c r="A12" s="306"/>
      <c r="B12" s="306"/>
      <c r="C12" s="310"/>
      <c r="D12" s="253"/>
      <c r="E12" s="253"/>
      <c r="F12" s="246"/>
      <c r="G12" s="52"/>
      <c r="H12" s="66"/>
      <c r="I12" s="52"/>
      <c r="J12" s="96"/>
      <c r="K12" s="278"/>
      <c r="L12" s="281"/>
      <c r="M12" s="283"/>
    </row>
    <row r="13" spans="1:13" ht="13" x14ac:dyDescent="0.15">
      <c r="A13" s="308"/>
      <c r="B13" s="308"/>
      <c r="C13" s="172"/>
      <c r="D13" s="307"/>
      <c r="E13" s="307"/>
      <c r="F13" s="317"/>
      <c r="G13" s="52"/>
      <c r="H13" s="66"/>
      <c r="I13" s="52"/>
      <c r="J13" s="96"/>
      <c r="K13" s="278"/>
      <c r="L13" s="281"/>
      <c r="M13" s="283"/>
    </row>
    <row r="14" spans="1:13" ht="13" x14ac:dyDescent="0.15">
      <c r="A14" s="306"/>
      <c r="B14" s="306"/>
      <c r="C14" s="172"/>
      <c r="D14" s="191"/>
      <c r="E14" s="191"/>
      <c r="F14" s="317"/>
      <c r="G14" s="52"/>
      <c r="H14" s="66"/>
      <c r="I14" s="52"/>
      <c r="J14" s="96"/>
      <c r="K14" s="278"/>
      <c r="L14" s="281"/>
      <c r="M14" s="283"/>
    </row>
    <row r="15" spans="1:13" ht="13" x14ac:dyDescent="0.15">
      <c r="A15" s="308"/>
      <c r="B15" s="308"/>
      <c r="C15" s="172"/>
      <c r="D15" s="309"/>
      <c r="E15" s="309"/>
      <c r="F15" s="316"/>
      <c r="G15" s="52"/>
      <c r="H15" s="66"/>
      <c r="I15" s="52"/>
      <c r="J15" s="64"/>
      <c r="K15" s="278"/>
      <c r="L15" s="281"/>
      <c r="M15" s="283"/>
    </row>
    <row r="16" spans="1:13" ht="13" x14ac:dyDescent="0.15">
      <c r="A16" s="306"/>
      <c r="B16" s="306"/>
      <c r="C16" s="172"/>
      <c r="D16" s="314"/>
      <c r="E16" s="314"/>
      <c r="F16" s="320"/>
      <c r="G16" s="52"/>
      <c r="H16" s="66"/>
      <c r="I16" s="52"/>
      <c r="J16" s="65"/>
      <c r="K16" s="278"/>
      <c r="L16" s="281"/>
      <c r="M16" s="283"/>
    </row>
    <row r="17" spans="1:13" ht="13" x14ac:dyDescent="0.15">
      <c r="A17" s="308"/>
      <c r="B17" s="308"/>
      <c r="C17" s="176"/>
      <c r="D17" s="251"/>
      <c r="E17" s="251"/>
      <c r="F17" s="321"/>
      <c r="G17" s="52"/>
      <c r="H17" s="66"/>
      <c r="I17" s="52"/>
      <c r="J17" s="64"/>
      <c r="K17" s="278"/>
      <c r="L17" s="281"/>
      <c r="M17" s="283"/>
    </row>
    <row r="18" spans="1:13" ht="14" x14ac:dyDescent="0.15">
      <c r="A18" s="306"/>
      <c r="B18" s="306"/>
      <c r="C18" s="176"/>
      <c r="D18" s="257"/>
      <c r="E18" s="257"/>
      <c r="F18" s="319"/>
      <c r="G18" s="52"/>
      <c r="H18" s="66"/>
      <c r="I18" s="52"/>
      <c r="J18" s="64"/>
      <c r="K18" s="278"/>
      <c r="L18" s="281"/>
      <c r="M18" s="283"/>
    </row>
    <row r="19" spans="1:13" ht="14" x14ac:dyDescent="0.15">
      <c r="A19" s="308"/>
      <c r="B19" s="308"/>
      <c r="C19" s="248"/>
      <c r="D19" s="257"/>
      <c r="E19" s="257"/>
      <c r="F19" s="319"/>
      <c r="G19" s="250"/>
      <c r="H19" s="66"/>
      <c r="I19" s="52"/>
      <c r="J19" s="65"/>
      <c r="K19" s="278"/>
      <c r="L19" s="281"/>
      <c r="M19" s="283"/>
    </row>
    <row r="20" spans="1:13" ht="14" x14ac:dyDescent="0.15">
      <c r="A20" s="306"/>
      <c r="B20" s="306"/>
      <c r="C20" s="248"/>
      <c r="D20" s="257"/>
      <c r="E20" s="257"/>
      <c r="F20" s="319"/>
      <c r="G20" s="250"/>
      <c r="H20" s="66"/>
      <c r="I20" s="52"/>
      <c r="J20" s="65"/>
      <c r="K20" s="278"/>
      <c r="L20" s="281"/>
      <c r="M20" s="283"/>
    </row>
    <row r="21" spans="1:13" ht="15" x14ac:dyDescent="0.2">
      <c r="A21" s="308"/>
      <c r="B21" s="308"/>
      <c r="C21" s="315"/>
      <c r="D21" s="251"/>
      <c r="E21" s="251"/>
      <c r="F21" s="322"/>
      <c r="G21" s="52"/>
      <c r="H21" s="66"/>
      <c r="I21" s="52"/>
      <c r="J21" s="255"/>
      <c r="K21" s="278"/>
      <c r="L21" s="281"/>
      <c r="M21" s="283"/>
    </row>
    <row r="22" spans="1:13" ht="13" x14ac:dyDescent="0.15">
      <c r="A22" s="306"/>
      <c r="B22" s="306"/>
      <c r="C22" s="173"/>
      <c r="D22" s="251"/>
      <c r="E22" s="251"/>
      <c r="F22" s="323"/>
      <c r="G22" s="52"/>
      <c r="H22" s="66"/>
      <c r="I22" s="52"/>
      <c r="J22" s="242"/>
      <c r="K22" s="278"/>
      <c r="L22" s="281"/>
      <c r="M22" s="283"/>
    </row>
    <row r="23" spans="1:13" ht="13" x14ac:dyDescent="0.15">
      <c r="A23" s="308"/>
      <c r="B23" s="308"/>
      <c r="C23" s="173"/>
      <c r="D23" s="251"/>
      <c r="E23" s="251"/>
      <c r="F23" s="323"/>
      <c r="G23" s="52"/>
      <c r="H23" s="66"/>
      <c r="I23" s="52"/>
      <c r="J23" s="243"/>
      <c r="K23" s="278"/>
      <c r="L23" s="281"/>
      <c r="M23" s="283"/>
    </row>
    <row r="24" spans="1:13" ht="13" x14ac:dyDescent="0.15">
      <c r="A24" s="306"/>
      <c r="B24" s="306"/>
      <c r="C24" s="173"/>
      <c r="D24" s="251"/>
      <c r="E24" s="251"/>
      <c r="F24" s="323"/>
      <c r="G24" s="52"/>
      <c r="H24" s="66"/>
      <c r="I24" s="52"/>
      <c r="J24" s="243"/>
      <c r="K24" s="278"/>
      <c r="L24" s="281"/>
      <c r="M24" s="283"/>
    </row>
    <row r="25" spans="1:13" ht="13" x14ac:dyDescent="0.15">
      <c r="A25" s="308"/>
      <c r="B25" s="308"/>
      <c r="C25" s="173"/>
      <c r="D25" s="251"/>
      <c r="E25" s="251"/>
      <c r="F25" s="323"/>
      <c r="G25" s="52"/>
      <c r="H25" s="66"/>
      <c r="I25" s="52"/>
      <c r="J25" s="244"/>
      <c r="K25" s="278"/>
      <c r="L25" s="281"/>
      <c r="M25" s="283"/>
    </row>
    <row r="26" spans="1:13" ht="13" x14ac:dyDescent="0.15">
      <c r="A26" s="306"/>
      <c r="B26" s="306"/>
      <c r="C26" s="173"/>
      <c r="D26" s="251"/>
      <c r="E26" s="251"/>
      <c r="F26" s="323"/>
      <c r="G26" s="52"/>
      <c r="H26" s="66"/>
      <c r="I26" s="52"/>
      <c r="J26" s="243"/>
      <c r="K26" s="278"/>
      <c r="L26" s="281"/>
      <c r="M26" s="283"/>
    </row>
    <row r="27" spans="1:13" ht="13" x14ac:dyDescent="0.15">
      <c r="A27" s="172"/>
      <c r="B27" s="172"/>
      <c r="C27" s="173"/>
      <c r="D27" s="260"/>
      <c r="E27" s="260"/>
      <c r="F27" s="323"/>
      <c r="G27" s="52"/>
      <c r="H27" s="66"/>
      <c r="I27" s="52"/>
      <c r="J27" s="242"/>
      <c r="K27" s="278"/>
      <c r="L27" s="281"/>
      <c r="M27" s="283"/>
    </row>
    <row r="28" spans="1:13" ht="13" x14ac:dyDescent="0.15">
      <c r="A28" s="172"/>
      <c r="B28" s="172"/>
      <c r="C28" s="249"/>
      <c r="D28" s="245"/>
      <c r="E28" s="245"/>
      <c r="F28" s="254"/>
      <c r="G28" s="52"/>
      <c r="H28" s="66"/>
      <c r="I28" s="52"/>
      <c r="J28" s="64"/>
      <c r="K28" s="278"/>
      <c r="L28" s="281"/>
      <c r="M28" s="283"/>
    </row>
    <row r="29" spans="1:13" ht="13" x14ac:dyDescent="0.15">
      <c r="A29" s="172"/>
      <c r="B29" s="172"/>
      <c r="C29" s="248"/>
      <c r="D29" s="245"/>
      <c r="E29" s="245"/>
      <c r="F29" s="323"/>
      <c r="G29" s="52"/>
      <c r="H29" s="66"/>
      <c r="I29" s="52"/>
      <c r="J29" s="64"/>
      <c r="K29" s="278"/>
      <c r="L29" s="281"/>
      <c r="M29" s="283"/>
    </row>
    <row r="30" spans="1:13" ht="13" x14ac:dyDescent="0.15">
      <c r="A30" s="172"/>
      <c r="B30" s="172"/>
      <c r="C30" s="249"/>
      <c r="D30" s="245"/>
      <c r="E30" s="245"/>
      <c r="F30" s="246"/>
      <c r="G30" s="52"/>
      <c r="H30" s="66"/>
      <c r="I30" s="52"/>
      <c r="J30" s="64"/>
      <c r="K30" s="278"/>
      <c r="L30" s="281"/>
      <c r="M30" s="283"/>
    </row>
    <row r="31" spans="1:13" ht="14" x14ac:dyDescent="0.15">
      <c r="A31" s="172"/>
      <c r="B31" s="172"/>
      <c r="C31" s="173"/>
      <c r="D31" s="245"/>
      <c r="E31" s="245"/>
      <c r="F31" s="324"/>
      <c r="G31" s="52"/>
      <c r="H31" s="66"/>
      <c r="I31" s="52"/>
      <c r="J31" s="64"/>
      <c r="K31" s="278"/>
      <c r="L31" s="281"/>
      <c r="M31" s="283"/>
    </row>
    <row r="32" spans="1:13" ht="14" x14ac:dyDescent="0.15">
      <c r="A32" s="172"/>
      <c r="B32" s="172"/>
      <c r="C32" s="252"/>
      <c r="D32" s="245"/>
      <c r="E32" s="245"/>
      <c r="F32" s="325"/>
      <c r="G32" s="52"/>
      <c r="H32" s="66"/>
      <c r="I32" s="52"/>
      <c r="J32" s="64"/>
      <c r="K32" s="278"/>
      <c r="L32" s="281"/>
      <c r="M32" s="283"/>
    </row>
    <row r="33" spans="1:13" ht="13" x14ac:dyDescent="0.15">
      <c r="A33" s="172"/>
      <c r="B33" s="172"/>
      <c r="C33" s="248"/>
      <c r="D33" s="245"/>
      <c r="E33" s="245"/>
      <c r="F33" s="246"/>
      <c r="G33" s="52"/>
      <c r="H33" s="66"/>
      <c r="I33" s="52"/>
      <c r="J33" s="64"/>
      <c r="K33" s="278"/>
      <c r="L33" s="281"/>
      <c r="M33" s="283"/>
    </row>
    <row r="34" spans="1:13" ht="13" x14ac:dyDescent="0.15">
      <c r="A34" s="172"/>
      <c r="B34" s="172"/>
      <c r="C34" s="176"/>
      <c r="D34" s="253"/>
      <c r="E34" s="253"/>
      <c r="F34" s="247"/>
      <c r="G34" s="52"/>
      <c r="H34" s="66"/>
      <c r="I34" s="52"/>
      <c r="J34" s="64"/>
      <c r="K34" s="278"/>
      <c r="L34" s="281"/>
      <c r="M34" s="283"/>
    </row>
    <row r="35" spans="1:13" ht="13" x14ac:dyDescent="0.15">
      <c r="A35" s="189"/>
      <c r="B35" s="189"/>
      <c r="C35" s="326"/>
      <c r="D35" s="327"/>
      <c r="E35" s="328"/>
      <c r="F35" s="256"/>
      <c r="G35" s="52"/>
      <c r="H35" s="66"/>
      <c r="I35" s="52"/>
      <c r="J35" s="64"/>
      <c r="K35" s="278"/>
      <c r="L35" s="281"/>
      <c r="M35" s="283"/>
    </row>
    <row r="36" spans="1:13" ht="13" x14ac:dyDescent="0.15">
      <c r="A36" s="47"/>
      <c r="B36" s="47"/>
      <c r="C36" s="100"/>
      <c r="D36" s="253"/>
      <c r="E36" s="305"/>
      <c r="F36" s="247"/>
      <c r="G36" s="52"/>
      <c r="H36" s="66"/>
      <c r="I36" s="52"/>
      <c r="J36" s="65"/>
      <c r="K36" s="278"/>
      <c r="L36" s="282"/>
      <c r="M36" s="233"/>
    </row>
    <row r="37" spans="1:13" ht="13" x14ac:dyDescent="0.15">
      <c r="A37" s="47"/>
      <c r="B37" s="47"/>
      <c r="C37" s="47"/>
      <c r="D37" s="253"/>
      <c r="E37" s="305"/>
      <c r="F37" s="246"/>
      <c r="G37" s="52"/>
      <c r="H37" s="66"/>
      <c r="I37" s="52"/>
      <c r="J37" s="65"/>
      <c r="K37" s="60"/>
      <c r="L37" s="239"/>
      <c r="M37" s="61"/>
    </row>
    <row r="38" spans="1:13" ht="13" x14ac:dyDescent="0.15">
      <c r="A38" s="47"/>
      <c r="B38" s="47"/>
      <c r="C38" s="47"/>
      <c r="D38" s="253"/>
      <c r="E38" s="305"/>
      <c r="F38" s="246"/>
      <c r="G38" s="52"/>
      <c r="H38" s="66"/>
      <c r="I38" s="52"/>
      <c r="J38" s="65"/>
      <c r="K38" s="60"/>
      <c r="L38" s="61"/>
      <c r="M38" s="61"/>
    </row>
    <row r="39" spans="1:13" ht="13" x14ac:dyDescent="0.15">
      <c r="A39" s="47"/>
      <c r="B39" s="47"/>
      <c r="C39" s="47"/>
      <c r="D39" s="51"/>
      <c r="E39" s="51"/>
      <c r="F39" s="53"/>
      <c r="G39" s="52"/>
      <c r="H39" s="66"/>
      <c r="I39" s="52"/>
      <c r="J39" s="65"/>
      <c r="K39" s="60"/>
      <c r="L39" s="61"/>
      <c r="M39" s="61"/>
    </row>
  </sheetData>
  <autoFilter ref="A1:M1" xr:uid="{DB0183D0-3854-4991-8222-E68BF8D8ACF3}"/>
  <phoneticPr fontId="2" type="noConversion"/>
  <conditionalFormatting sqref="A2:B9 D3:H11 I3:I35 J22:J27 C28 C32">
    <cfRule type="expression" dxfId="93" priority="66" stopIfTrue="1">
      <formula>($I2="Pass")</formula>
    </cfRule>
  </conditionalFormatting>
  <conditionalFormatting sqref="A10:B10 A22:B22">
    <cfRule type="expression" dxfId="92" priority="303" stopIfTrue="1">
      <formula>(#REF!="Pass")</formula>
    </cfRule>
    <cfRule type="expression" dxfId="91" priority="302" stopIfTrue="1">
      <formula>(#REF!="Fail")</formula>
    </cfRule>
  </conditionalFormatting>
  <conditionalFormatting sqref="A11:B21">
    <cfRule type="expression" dxfId="90" priority="291" stopIfTrue="1">
      <formula>($I10="Pass")</formula>
    </cfRule>
    <cfRule type="expression" dxfId="89" priority="290" stopIfTrue="1">
      <formula>($I10="Fail")</formula>
    </cfRule>
  </conditionalFormatting>
  <conditionalFormatting sqref="A23:B26">
    <cfRule type="expression" dxfId="88" priority="307" stopIfTrue="1">
      <formula>($I21="Pass")</formula>
    </cfRule>
    <cfRule type="expression" dxfId="87" priority="306" stopIfTrue="1">
      <formula>($I21="Fail")</formula>
    </cfRule>
  </conditionalFormatting>
  <conditionalFormatting sqref="C2:C5 C8:C9 C13:C21 D17:H17">
    <cfRule type="expression" dxfId="86" priority="46" stopIfTrue="1">
      <formula>($I2="Pass")</formula>
    </cfRule>
    <cfRule type="expression" dxfId="85" priority="45" stopIfTrue="1">
      <formula>($I2="Fail")</formula>
    </cfRule>
  </conditionalFormatting>
  <conditionalFormatting sqref="C29">
    <cfRule type="expression" dxfId="84" priority="283" stopIfTrue="1">
      <formula>($I31="Pass")</formula>
    </cfRule>
    <cfRule type="expression" dxfId="83" priority="282" stopIfTrue="1">
      <formula>($I31="Fail")</formula>
    </cfRule>
  </conditionalFormatting>
  <conditionalFormatting sqref="C30">
    <cfRule type="expression" dxfId="82" priority="13" stopIfTrue="1">
      <formula>($I30="Fail")</formula>
    </cfRule>
    <cfRule type="expression" dxfId="81" priority="14" stopIfTrue="1">
      <formula>($I30="Pass")</formula>
    </cfRule>
  </conditionalFormatting>
  <conditionalFormatting sqref="C33 F33">
    <cfRule type="expression" dxfId="80" priority="287" stopIfTrue="1">
      <formula>($I34="Pass")</formula>
    </cfRule>
    <cfRule type="expression" dxfId="79" priority="286" stopIfTrue="1">
      <formula>($I34="Fail")</formula>
    </cfRule>
  </conditionalFormatting>
  <conditionalFormatting sqref="D13:F16">
    <cfRule type="expression" dxfId="78" priority="1" stopIfTrue="1">
      <formula>($I13="Fail")</formula>
    </cfRule>
    <cfRule type="expression" dxfId="77" priority="2" stopIfTrue="1">
      <formula>($I13="Pass")</formula>
    </cfRule>
  </conditionalFormatting>
  <conditionalFormatting sqref="D2:I2">
    <cfRule type="expression" dxfId="76" priority="33" stopIfTrue="1">
      <formula>($I2="Fail")</formula>
    </cfRule>
    <cfRule type="expression" dxfId="75" priority="34" stopIfTrue="1">
      <formula>($I2="Pass")</formula>
    </cfRule>
  </conditionalFormatting>
  <conditionalFormatting sqref="F12">
    <cfRule type="expression" dxfId="74" priority="25" stopIfTrue="1">
      <formula>($I12="Fail")</formula>
    </cfRule>
    <cfRule type="expression" dxfId="73" priority="26" stopIfTrue="1">
      <formula>($I12="Pass")</formula>
    </cfRule>
  </conditionalFormatting>
  <conditionalFormatting sqref="F28">
    <cfRule type="expression" dxfId="72" priority="17" stopIfTrue="1">
      <formula>($I28="Fail")</formula>
    </cfRule>
    <cfRule type="expression" dxfId="71" priority="18" stopIfTrue="1">
      <formula>($I28="Pass")</formula>
    </cfRule>
  </conditionalFormatting>
  <conditionalFormatting sqref="F30">
    <cfRule type="expression" dxfId="70" priority="15" stopIfTrue="1">
      <formula>($I30="Fail")</formula>
    </cfRule>
    <cfRule type="expression" dxfId="69" priority="16" stopIfTrue="1">
      <formula>($I30="Pass")</formula>
    </cfRule>
  </conditionalFormatting>
  <conditionalFormatting sqref="F34:F38">
    <cfRule type="expression" dxfId="68" priority="4" stopIfTrue="1">
      <formula>($I34="Pass")</formula>
    </cfRule>
    <cfRule type="expression" dxfId="67" priority="3" stopIfTrue="1">
      <formula>($I34="Fail")</formula>
    </cfRule>
  </conditionalFormatting>
  <conditionalFormatting sqref="G12:H16">
    <cfRule type="expression" dxfId="66" priority="95" stopIfTrue="1">
      <formula>($I12="Fail")</formula>
    </cfRule>
    <cfRule type="expression" dxfId="65" priority="96" stopIfTrue="1">
      <formula>($I12="Pass")</formula>
    </cfRule>
  </conditionalFormatting>
  <conditionalFormatting sqref="H19">
    <cfRule type="expression" dxfId="64" priority="59" stopIfTrue="1">
      <formula>($I19="Fail")</formula>
    </cfRule>
    <cfRule type="expression" dxfId="63" priority="90" stopIfTrue="1">
      <formula>($I19="Pass")</formula>
    </cfRule>
  </conditionalFormatting>
  <conditionalFormatting sqref="J22:J27 A2:B9 D3:H11 I3:I35 C28 C32">
    <cfRule type="expression" dxfId="62" priority="65" stopIfTrue="1">
      <formula>($I2="Fail")</formula>
    </cfRule>
  </conditionalFormatting>
  <conditionalFormatting sqref="J27">
    <cfRule type="expression" dxfId="61" priority="20" stopIfTrue="1">
      <formula>($I29="Pass")</formula>
    </cfRule>
    <cfRule type="expression" dxfId="60" priority="19" stopIfTrue="1">
      <formula>($I29="Fail")</formula>
    </cfRule>
  </conditionalFormatting>
  <dataValidations count="1">
    <dataValidation type="list" allowBlank="1" showInputMessage="1" showErrorMessage="1" sqref="I1:I1048576" xr:uid="{4541377C-8752-4AF0-AC01-43C6621425B6}">
      <formula1>statuslist</formula1>
    </dataValidation>
  </dataValidations>
  <pageMargins left="0.7" right="0.7" top="0.75" bottom="0.75" header="0.3" footer="0.3"/>
  <pageSetup paperSize="9" orientation="portrait" r:id="rId1"/>
  <headerFooter>
    <oddHeader>&amp;C&amp;"Calibri"&amp;10&amp;K737373 Serco Business - Commercial in Confidence&amp;1#_x000D_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A14D6-4430-4FFF-AFBD-55EB76D17E08}">
  <dimension ref="A1:C9"/>
  <sheetViews>
    <sheetView workbookViewId="0">
      <selection activeCell="G40" sqref="G40"/>
    </sheetView>
  </sheetViews>
  <sheetFormatPr baseColWidth="10" defaultColWidth="8.83203125" defaultRowHeight="13" x14ac:dyDescent="0.15"/>
  <cols>
    <col min="1" max="1" width="26.6640625" customWidth="1"/>
  </cols>
  <sheetData>
    <row r="1" spans="1:3" x14ac:dyDescent="0.15">
      <c r="A1" s="11" t="s">
        <v>243</v>
      </c>
      <c r="C1" t="s">
        <v>275</v>
      </c>
    </row>
    <row r="2" spans="1:3" x14ac:dyDescent="0.15">
      <c r="A2" s="11" t="s">
        <v>244</v>
      </c>
      <c r="C2" t="s">
        <v>276</v>
      </c>
    </row>
    <row r="3" spans="1:3" x14ac:dyDescent="0.15">
      <c r="A3" s="11" t="s">
        <v>245</v>
      </c>
      <c r="C3" t="s">
        <v>277</v>
      </c>
    </row>
    <row r="4" spans="1:3" x14ac:dyDescent="0.15">
      <c r="A4" s="54" t="s">
        <v>246</v>
      </c>
      <c r="C4" t="s">
        <v>278</v>
      </c>
    </row>
    <row r="5" spans="1:3" x14ac:dyDescent="0.15">
      <c r="A5" s="11" t="s">
        <v>247</v>
      </c>
      <c r="C5" t="s">
        <v>279</v>
      </c>
    </row>
    <row r="6" spans="1:3" x14ac:dyDescent="0.15">
      <c r="A6" s="11" t="s">
        <v>248</v>
      </c>
      <c r="C6" t="s">
        <v>280</v>
      </c>
    </row>
    <row r="7" spans="1:3" x14ac:dyDescent="0.15">
      <c r="A7" s="54" t="s">
        <v>281</v>
      </c>
    </row>
    <row r="8" spans="1:3" x14ac:dyDescent="0.15">
      <c r="A8" s="54" t="s">
        <v>282</v>
      </c>
    </row>
    <row r="9" spans="1:3" ht="14" thickBot="1" x14ac:dyDescent="0.2">
      <c r="A9" s="12" t="s">
        <v>249</v>
      </c>
    </row>
  </sheetData>
  <pageMargins left="0.7" right="0.7" top="0.75" bottom="0.75" header="0.3" footer="0.3"/>
  <pageSetup paperSize="9" orientation="portrait" r:id="rId1"/>
  <headerFooter>
    <oddHeader>&amp;C&amp;"Calibri"&amp;10&amp;K737373 Serco Business - Commercial in Confidence&amp;1#_x000D_</oddHeader>
    <oddFooter>&amp;CSerco Internal</oddFooter>
    <evenFooter>&amp;CSerco Internal</evenFooter>
    <firstFooter>&amp;CSerco Internal</first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2EA6D-4A1F-4FE6-8B72-CFCB9535306D}">
  <dimension ref="A1:L1048576"/>
  <sheetViews>
    <sheetView zoomScale="80" zoomScaleNormal="80" workbookViewId="0">
      <pane ySplit="1" topLeftCell="A2" activePane="bottomLeft" state="frozen"/>
      <selection pane="bottomLeft" activeCell="B2" sqref="B2"/>
    </sheetView>
  </sheetViews>
  <sheetFormatPr baseColWidth="10" defaultColWidth="8.83203125" defaultRowHeight="12.75" customHeight="1" x14ac:dyDescent="0.15"/>
  <cols>
    <col min="2" max="2" width="12.1640625" customWidth="1"/>
    <col min="3" max="3" width="31" style="2" customWidth="1"/>
    <col min="4" max="4" width="34.1640625" style="2" customWidth="1"/>
    <col min="5" max="5" width="21.83203125" bestFit="1" customWidth="1"/>
    <col min="6" max="6" width="8.83203125" customWidth="1"/>
    <col min="7" max="7" width="10.83203125" style="134" bestFit="1" customWidth="1"/>
    <col min="8" max="8" width="11.1640625" style="134" customWidth="1"/>
    <col min="9" max="9" width="13.1640625" customWidth="1"/>
    <col min="10" max="10" width="11.6640625" style="2" customWidth="1"/>
    <col min="11" max="11" width="34.5" style="2" customWidth="1"/>
    <col min="12" max="12" width="27.1640625" customWidth="1"/>
  </cols>
  <sheetData>
    <row r="1" spans="1:12" s="37" customFormat="1" ht="42" x14ac:dyDescent="0.15">
      <c r="A1" s="36" t="s">
        <v>283</v>
      </c>
      <c r="B1" s="36" t="s">
        <v>253</v>
      </c>
      <c r="C1" s="36" t="s">
        <v>284</v>
      </c>
      <c r="D1" s="36" t="s">
        <v>285</v>
      </c>
      <c r="E1" s="35" t="s">
        <v>286</v>
      </c>
      <c r="F1" s="36" t="s">
        <v>287</v>
      </c>
      <c r="G1" s="132" t="s">
        <v>288</v>
      </c>
      <c r="H1" s="132" t="s">
        <v>289</v>
      </c>
      <c r="I1" s="36" t="s">
        <v>290</v>
      </c>
      <c r="J1" s="36" t="s">
        <v>261</v>
      </c>
      <c r="K1" s="36" t="s">
        <v>291</v>
      </c>
      <c r="L1" s="36" t="s">
        <v>292</v>
      </c>
    </row>
    <row r="2" spans="1:12" ht="13" x14ac:dyDescent="0.15">
      <c r="A2" s="58">
        <v>1</v>
      </c>
      <c r="B2" s="58"/>
      <c r="C2" s="60"/>
      <c r="D2" s="60"/>
      <c r="E2" s="61"/>
      <c r="F2" s="61"/>
      <c r="G2" s="133"/>
      <c r="H2" s="133"/>
      <c r="I2" s="62"/>
      <c r="J2" s="60"/>
      <c r="K2" s="60"/>
      <c r="L2" s="61"/>
    </row>
    <row r="3" spans="1:12" ht="13" x14ac:dyDescent="0.15">
      <c r="A3" s="59">
        <v>2</v>
      </c>
      <c r="B3" s="47"/>
      <c r="C3" s="47"/>
      <c r="D3" s="60"/>
      <c r="E3" s="61"/>
      <c r="F3" s="61"/>
      <c r="G3" s="133"/>
      <c r="H3" s="133"/>
      <c r="I3" s="62"/>
      <c r="J3" s="63"/>
      <c r="K3" s="152"/>
      <c r="L3" s="61"/>
    </row>
    <row r="4" spans="1:12" ht="13" x14ac:dyDescent="0.15">
      <c r="A4" s="58">
        <v>3</v>
      </c>
      <c r="B4" s="47"/>
      <c r="C4" s="47"/>
      <c r="D4" s="60"/>
      <c r="E4" s="61"/>
      <c r="F4" s="61"/>
      <c r="G4" s="133"/>
      <c r="H4" s="133"/>
      <c r="I4" s="62"/>
      <c r="J4" s="63"/>
      <c r="K4" s="152"/>
      <c r="L4" s="60"/>
    </row>
    <row r="5" spans="1:12" ht="13" x14ac:dyDescent="0.15">
      <c r="A5" s="59">
        <v>4</v>
      </c>
      <c r="B5" s="176"/>
      <c r="C5" s="47"/>
      <c r="D5" s="80"/>
      <c r="E5" s="61"/>
      <c r="F5" s="61"/>
      <c r="G5" s="153"/>
      <c r="H5" s="154"/>
      <c r="I5" s="62"/>
      <c r="J5" s="63"/>
      <c r="K5" s="152"/>
      <c r="L5" s="63"/>
    </row>
    <row r="6" spans="1:12" ht="13" x14ac:dyDescent="0.15">
      <c r="A6" s="58">
        <v>5</v>
      </c>
      <c r="B6" s="47"/>
      <c r="C6" s="155"/>
      <c r="D6" s="156"/>
      <c r="E6" s="61"/>
      <c r="F6" s="61"/>
      <c r="G6" s="153"/>
      <c r="H6" s="154"/>
      <c r="I6" s="62"/>
      <c r="J6" s="63"/>
      <c r="K6" s="60"/>
      <c r="L6" s="63"/>
    </row>
    <row r="7" spans="1:12" ht="13" x14ac:dyDescent="0.15">
      <c r="A7" s="59">
        <v>6</v>
      </c>
      <c r="B7" s="47"/>
      <c r="C7" s="76"/>
      <c r="D7" s="80"/>
      <c r="E7" s="61"/>
      <c r="F7" s="61"/>
      <c r="G7" s="153"/>
      <c r="H7" s="154"/>
      <c r="I7" s="62"/>
      <c r="J7" s="63"/>
      <c r="K7" s="60"/>
      <c r="L7" s="63"/>
    </row>
    <row r="8" spans="1:12" ht="13" x14ac:dyDescent="0.15">
      <c r="A8" s="58">
        <v>7</v>
      </c>
      <c r="B8" s="47"/>
      <c r="C8" s="76"/>
      <c r="D8" s="76"/>
      <c r="E8" s="61"/>
      <c r="F8" s="61"/>
      <c r="G8" s="153"/>
      <c r="H8" s="154"/>
      <c r="I8" s="62"/>
      <c r="J8" s="63"/>
      <c r="K8" s="60"/>
      <c r="L8" s="63"/>
    </row>
    <row r="9" spans="1:12" ht="13" x14ac:dyDescent="0.15">
      <c r="A9" s="59">
        <v>8</v>
      </c>
      <c r="B9" s="47"/>
      <c r="C9" s="80"/>
      <c r="D9" s="80"/>
      <c r="E9" s="61"/>
      <c r="F9" s="61"/>
      <c r="G9" s="153"/>
      <c r="H9" s="154"/>
      <c r="I9" s="62"/>
      <c r="J9" s="63"/>
      <c r="K9" s="63"/>
      <c r="L9" s="63"/>
    </row>
    <row r="10" spans="1:12" ht="13" x14ac:dyDescent="0.15">
      <c r="A10" s="58">
        <v>9</v>
      </c>
      <c r="B10" s="47"/>
      <c r="C10" s="80"/>
      <c r="D10" s="80"/>
      <c r="E10" s="61"/>
      <c r="F10" s="61"/>
      <c r="G10" s="153"/>
      <c r="H10" s="154"/>
      <c r="I10" s="62"/>
      <c r="J10" s="63"/>
      <c r="K10" s="60"/>
      <c r="L10" s="63"/>
    </row>
    <row r="11" spans="1:12" ht="13" x14ac:dyDescent="0.15">
      <c r="A11" s="59">
        <v>10</v>
      </c>
      <c r="B11" s="47"/>
      <c r="C11" s="80"/>
      <c r="D11" s="80"/>
      <c r="E11" s="61"/>
      <c r="F11" s="61"/>
      <c r="G11" s="133"/>
      <c r="H11" s="154"/>
      <c r="I11" s="62"/>
      <c r="J11" s="63"/>
      <c r="K11" s="60"/>
      <c r="L11" s="63"/>
    </row>
    <row r="12" spans="1:12" ht="13" x14ac:dyDescent="0.15">
      <c r="A12" s="58">
        <v>11</v>
      </c>
      <c r="B12" s="47"/>
      <c r="C12" s="80"/>
      <c r="D12" s="80"/>
      <c r="E12" s="61"/>
      <c r="F12" s="61"/>
      <c r="G12" s="133"/>
      <c r="H12" s="154"/>
      <c r="I12" s="62"/>
      <c r="J12" s="63"/>
      <c r="K12" s="60"/>
      <c r="L12" s="63"/>
    </row>
    <row r="13" spans="1:12" ht="13" x14ac:dyDescent="0.15">
      <c r="A13" s="59">
        <v>12</v>
      </c>
      <c r="B13" s="47"/>
      <c r="C13" s="91"/>
      <c r="D13" s="91"/>
      <c r="E13" s="61"/>
      <c r="F13" s="61"/>
      <c r="G13" s="133"/>
      <c r="H13" s="154"/>
      <c r="I13" s="62"/>
      <c r="J13" s="63"/>
      <c r="K13" s="60"/>
      <c r="L13" s="63"/>
    </row>
    <row r="14" spans="1:12" ht="13" x14ac:dyDescent="0.15">
      <c r="A14" s="58">
        <v>13</v>
      </c>
      <c r="B14" s="58"/>
      <c r="C14" s="60"/>
      <c r="D14" s="157"/>
      <c r="E14" s="61"/>
      <c r="F14" s="61"/>
      <c r="G14" s="133"/>
      <c r="H14" s="154"/>
      <c r="I14" s="62"/>
      <c r="J14" s="63"/>
      <c r="K14" s="60"/>
      <c r="L14" s="63"/>
    </row>
    <row r="15" spans="1:12" ht="13" x14ac:dyDescent="0.15">
      <c r="A15" s="59">
        <v>14</v>
      </c>
      <c r="B15" s="59"/>
      <c r="C15" s="60"/>
      <c r="D15" s="157"/>
      <c r="E15" s="61"/>
      <c r="F15" s="61"/>
      <c r="G15" s="133"/>
      <c r="H15" s="154"/>
      <c r="I15" s="62"/>
      <c r="J15" s="63"/>
      <c r="K15" s="60"/>
      <c r="L15" s="63"/>
    </row>
    <row r="16" spans="1:12" ht="13" x14ac:dyDescent="0.15">
      <c r="A16" s="58">
        <v>15</v>
      </c>
      <c r="B16" s="58"/>
      <c r="C16" s="60"/>
      <c r="D16" s="157"/>
      <c r="E16" s="61"/>
      <c r="F16" s="61"/>
      <c r="G16" s="133"/>
      <c r="H16" s="154"/>
      <c r="I16" s="62"/>
      <c r="J16" s="63"/>
      <c r="K16" s="63"/>
      <c r="L16" s="63"/>
    </row>
    <row r="17" spans="1:12" ht="13" x14ac:dyDescent="0.15">
      <c r="A17" s="59">
        <v>16</v>
      </c>
      <c r="B17" s="59"/>
      <c r="C17" s="60"/>
      <c r="D17" s="157"/>
      <c r="E17" s="61"/>
      <c r="F17" s="61"/>
      <c r="G17" s="133"/>
      <c r="H17" s="154"/>
      <c r="I17" s="62"/>
      <c r="J17" s="63"/>
      <c r="K17" s="63"/>
      <c r="L17" s="63"/>
    </row>
    <row r="18" spans="1:12" ht="13" x14ac:dyDescent="0.15">
      <c r="A18" s="58">
        <v>17</v>
      </c>
      <c r="B18" s="58"/>
      <c r="C18" s="60"/>
      <c r="D18" s="60"/>
      <c r="E18" s="62"/>
      <c r="F18" s="61"/>
      <c r="G18" s="133"/>
      <c r="H18" s="154"/>
      <c r="I18" s="62"/>
      <c r="J18" s="63"/>
      <c r="K18" s="63"/>
      <c r="L18" s="63"/>
    </row>
    <row r="19" spans="1:12" ht="13" x14ac:dyDescent="0.15">
      <c r="A19" s="59">
        <v>18</v>
      </c>
      <c r="B19" s="59"/>
      <c r="C19" s="63"/>
      <c r="D19" s="63"/>
      <c r="E19" s="62"/>
      <c r="F19" s="61"/>
      <c r="G19" s="133"/>
      <c r="H19" s="154"/>
      <c r="I19" s="62"/>
      <c r="J19" s="63"/>
      <c r="K19" s="63"/>
      <c r="L19" s="63"/>
    </row>
    <row r="20" spans="1:12" ht="13" x14ac:dyDescent="0.15">
      <c r="A20" s="58">
        <v>19</v>
      </c>
      <c r="B20" s="158"/>
      <c r="C20" s="63"/>
      <c r="D20" s="63"/>
      <c r="E20" s="62"/>
      <c r="F20" s="61"/>
      <c r="G20" s="133"/>
      <c r="H20" s="154"/>
      <c r="I20" s="62"/>
      <c r="J20" s="63"/>
      <c r="K20" s="63"/>
      <c r="L20" s="63"/>
    </row>
    <row r="21" spans="1:12" ht="13" x14ac:dyDescent="0.15">
      <c r="A21" s="59">
        <v>20</v>
      </c>
      <c r="B21" s="58"/>
      <c r="C21" s="63"/>
      <c r="D21" s="63"/>
      <c r="E21" s="61"/>
      <c r="F21" s="61"/>
      <c r="G21" s="153"/>
      <c r="H21" s="154"/>
      <c r="I21" s="62"/>
      <c r="J21" s="63"/>
      <c r="K21" s="63"/>
      <c r="L21" s="63"/>
    </row>
    <row r="22" spans="1:12" ht="13" x14ac:dyDescent="0.15">
      <c r="A22" s="58">
        <v>21</v>
      </c>
      <c r="B22" s="58"/>
      <c r="C22" s="60"/>
      <c r="D22" s="60"/>
      <c r="E22" s="62"/>
      <c r="F22" s="61"/>
      <c r="G22" s="133"/>
      <c r="H22" s="154"/>
      <c r="I22" s="62"/>
      <c r="J22" s="63"/>
      <c r="K22" s="60"/>
      <c r="L22" s="63"/>
    </row>
    <row r="23" spans="1:12" ht="13" x14ac:dyDescent="0.15">
      <c r="A23" s="59">
        <v>22</v>
      </c>
      <c r="B23" s="59"/>
      <c r="C23" s="63"/>
      <c r="D23" s="60"/>
      <c r="E23" s="61"/>
      <c r="F23" s="61"/>
      <c r="G23" s="133"/>
      <c r="H23" s="133"/>
      <c r="I23" s="62"/>
      <c r="J23" s="63"/>
      <c r="K23" s="63"/>
      <c r="L23" s="63"/>
    </row>
    <row r="24" spans="1:12" ht="13" x14ac:dyDescent="0.15">
      <c r="A24" s="58">
        <v>23</v>
      </c>
      <c r="B24" s="58"/>
      <c r="C24" s="63"/>
      <c r="D24" s="144"/>
      <c r="E24" s="62"/>
      <c r="F24" s="62"/>
      <c r="G24" s="133"/>
      <c r="H24" s="133"/>
      <c r="I24" s="62"/>
      <c r="J24" s="63"/>
      <c r="K24" s="63"/>
      <c r="L24" s="159"/>
    </row>
    <row r="25" spans="1:12" ht="13" x14ac:dyDescent="0.15">
      <c r="A25" s="59">
        <v>24</v>
      </c>
      <c r="B25" s="59"/>
      <c r="C25" s="144"/>
      <c r="D25" s="63"/>
      <c r="E25" s="62"/>
      <c r="F25" s="62"/>
      <c r="G25" s="133"/>
      <c r="H25" s="154"/>
      <c r="I25" s="62"/>
      <c r="J25" s="63"/>
      <c r="K25" s="60"/>
      <c r="L25" s="62"/>
    </row>
    <row r="26" spans="1:12" ht="13" x14ac:dyDescent="0.15">
      <c r="A26" s="58">
        <v>25</v>
      </c>
      <c r="B26" s="58"/>
      <c r="C26" s="63"/>
      <c r="D26" s="63"/>
      <c r="E26" s="62"/>
      <c r="F26" s="62"/>
      <c r="G26" s="133"/>
      <c r="H26" s="133"/>
      <c r="I26" s="62"/>
      <c r="J26" s="63"/>
      <c r="K26" s="63"/>
      <c r="L26" s="62"/>
    </row>
    <row r="27" spans="1:12" ht="13" x14ac:dyDescent="0.15">
      <c r="A27" s="59">
        <v>26</v>
      </c>
      <c r="B27" s="59"/>
      <c r="C27" s="60"/>
      <c r="D27" s="60"/>
      <c r="E27" s="62"/>
      <c r="F27" s="62"/>
      <c r="G27" s="133"/>
      <c r="H27" s="133"/>
      <c r="I27" s="62"/>
      <c r="J27" s="63"/>
      <c r="K27" s="60"/>
      <c r="L27" s="62"/>
    </row>
    <row r="28" spans="1:12" ht="13" x14ac:dyDescent="0.15">
      <c r="A28" s="58">
        <v>27</v>
      </c>
      <c r="B28" s="58"/>
      <c r="C28" s="60"/>
      <c r="D28" s="60"/>
      <c r="E28" s="62"/>
      <c r="F28" s="61"/>
      <c r="G28" s="133"/>
      <c r="H28" s="133"/>
      <c r="I28" s="62"/>
      <c r="J28" s="60"/>
      <c r="K28" s="60"/>
      <c r="L28" s="62"/>
    </row>
    <row r="29" spans="1:12" ht="13" x14ac:dyDescent="0.15">
      <c r="A29" s="59">
        <v>28</v>
      </c>
      <c r="B29" s="59"/>
      <c r="C29" s="60"/>
      <c r="D29" s="60"/>
      <c r="E29" s="62"/>
      <c r="F29" s="61"/>
      <c r="G29" s="133"/>
      <c r="H29" s="133"/>
      <c r="I29" s="62"/>
      <c r="J29" s="60"/>
      <c r="K29" s="60"/>
      <c r="L29" s="62"/>
    </row>
    <row r="30" spans="1:12" ht="13" x14ac:dyDescent="0.15">
      <c r="A30" s="58">
        <v>29</v>
      </c>
      <c r="B30" s="58"/>
      <c r="C30" s="60"/>
      <c r="D30" s="60"/>
      <c r="E30" s="62"/>
      <c r="F30" s="61"/>
      <c r="G30" s="133"/>
      <c r="H30" s="133"/>
      <c r="I30" s="62"/>
      <c r="J30" s="63"/>
      <c r="K30" s="63"/>
      <c r="L30" s="62"/>
    </row>
    <row r="31" spans="1:12" ht="13" x14ac:dyDescent="0.15">
      <c r="A31" s="59">
        <v>30</v>
      </c>
      <c r="B31" s="59"/>
      <c r="C31" s="60"/>
      <c r="D31" s="60"/>
      <c r="E31" s="61"/>
      <c r="F31" s="61"/>
      <c r="G31" s="133"/>
      <c r="H31" s="133"/>
      <c r="I31" s="62"/>
      <c r="J31" s="60"/>
      <c r="K31" s="63"/>
      <c r="L31" s="160"/>
    </row>
    <row r="32" spans="1:12" ht="13" x14ac:dyDescent="0.15">
      <c r="A32" s="58">
        <v>31</v>
      </c>
      <c r="B32" s="58"/>
      <c r="C32" s="60"/>
      <c r="D32" s="60"/>
      <c r="E32" s="61"/>
      <c r="F32" s="61"/>
      <c r="G32" s="133"/>
      <c r="H32" s="133"/>
      <c r="I32" s="62"/>
      <c r="J32" s="60"/>
      <c r="K32" s="63"/>
      <c r="L32" s="62"/>
    </row>
    <row r="33" spans="1:12" ht="13" x14ac:dyDescent="0.15">
      <c r="A33" s="59">
        <v>32</v>
      </c>
      <c r="B33" s="59"/>
      <c r="C33" s="60"/>
      <c r="D33" s="60"/>
      <c r="E33" s="61"/>
      <c r="F33" s="61"/>
      <c r="G33" s="133"/>
      <c r="H33" s="133"/>
      <c r="I33" s="62"/>
      <c r="J33" s="63"/>
      <c r="K33" s="63"/>
      <c r="L33" s="62"/>
    </row>
    <row r="34" spans="1:12" ht="13" x14ac:dyDescent="0.15">
      <c r="A34" s="58">
        <v>33</v>
      </c>
      <c r="B34" s="58"/>
      <c r="C34" s="63"/>
      <c r="D34" s="63"/>
      <c r="E34" s="62"/>
      <c r="F34" s="62"/>
      <c r="G34" s="133"/>
      <c r="H34" s="133"/>
      <c r="I34" s="62"/>
      <c r="J34" s="63"/>
      <c r="K34" s="63"/>
      <c r="L34" s="160"/>
    </row>
    <row r="35" spans="1:12" ht="13" x14ac:dyDescent="0.15">
      <c r="A35" s="59">
        <v>34</v>
      </c>
      <c r="B35" s="59"/>
      <c r="C35" s="63"/>
      <c r="D35" s="63"/>
      <c r="E35" s="62"/>
      <c r="F35" s="62"/>
      <c r="G35" s="133"/>
      <c r="H35" s="133"/>
      <c r="I35" s="62"/>
      <c r="J35" s="63"/>
      <c r="K35" s="63"/>
      <c r="L35" s="62"/>
    </row>
    <row r="36" spans="1:12" ht="13" x14ac:dyDescent="0.15">
      <c r="A36" s="58">
        <v>35</v>
      </c>
      <c r="B36" s="58"/>
      <c r="C36" s="63"/>
      <c r="D36" s="63"/>
      <c r="E36" s="62"/>
      <c r="F36" s="62"/>
      <c r="G36" s="133"/>
      <c r="H36" s="133"/>
      <c r="I36" s="62"/>
      <c r="J36" s="63"/>
      <c r="K36" s="60"/>
      <c r="L36" s="60"/>
    </row>
    <row r="37" spans="1:12" ht="13" x14ac:dyDescent="0.15">
      <c r="A37" s="59">
        <v>36</v>
      </c>
      <c r="B37" s="59"/>
      <c r="C37" s="63"/>
      <c r="D37" s="63"/>
      <c r="E37" s="62"/>
      <c r="F37" s="62"/>
      <c r="G37" s="133"/>
      <c r="H37" s="133"/>
      <c r="I37" s="62"/>
      <c r="J37" s="60"/>
      <c r="K37" s="63"/>
      <c r="L37" s="160"/>
    </row>
    <row r="38" spans="1:12" ht="13" x14ac:dyDescent="0.15">
      <c r="A38" s="58">
        <v>37</v>
      </c>
      <c r="B38" s="58"/>
      <c r="C38" s="60"/>
      <c r="D38" s="63"/>
      <c r="E38" s="61"/>
      <c r="F38" s="62"/>
      <c r="G38" s="133"/>
      <c r="H38" s="133"/>
      <c r="I38" s="62"/>
      <c r="J38" s="60"/>
      <c r="K38" s="63"/>
      <c r="L38" s="62"/>
    </row>
    <row r="39" spans="1:12" ht="13" x14ac:dyDescent="0.15">
      <c r="A39" s="59">
        <v>38</v>
      </c>
      <c r="B39" s="59"/>
      <c r="C39" s="63"/>
      <c r="D39" s="63"/>
      <c r="E39" s="62"/>
      <c r="F39" s="62"/>
      <c r="G39" s="133"/>
      <c r="H39" s="133"/>
      <c r="I39" s="62"/>
      <c r="J39" s="60"/>
      <c r="K39" s="63"/>
      <c r="L39" s="160"/>
    </row>
    <row r="40" spans="1:12" ht="13" x14ac:dyDescent="0.15">
      <c r="A40" s="58">
        <v>39</v>
      </c>
      <c r="B40" s="58"/>
      <c r="C40" s="63"/>
      <c r="D40" s="64"/>
      <c r="E40" s="62"/>
      <c r="F40" s="62"/>
      <c r="G40" s="133"/>
      <c r="H40" s="133"/>
      <c r="I40" s="62"/>
      <c r="J40" s="60"/>
      <c r="K40" s="63"/>
      <c r="L40" s="61"/>
    </row>
    <row r="41" spans="1:12" ht="13" x14ac:dyDescent="0.15">
      <c r="A41" s="59">
        <v>40</v>
      </c>
      <c r="B41" s="59"/>
      <c r="C41" s="63"/>
      <c r="E41" s="62"/>
      <c r="F41" s="62"/>
      <c r="G41" s="133"/>
      <c r="H41" s="133"/>
      <c r="I41" s="62"/>
      <c r="J41" s="60"/>
      <c r="K41" s="63"/>
      <c r="L41" s="61"/>
    </row>
    <row r="42" spans="1:12" ht="13" x14ac:dyDescent="0.15">
      <c r="A42" s="58">
        <v>41</v>
      </c>
      <c r="B42" s="58"/>
      <c r="C42" s="63"/>
      <c r="D42" s="63"/>
      <c r="E42" s="62"/>
      <c r="F42" s="62"/>
      <c r="G42" s="133"/>
      <c r="H42" s="133"/>
      <c r="I42" s="62"/>
      <c r="J42" s="60"/>
      <c r="K42" s="63"/>
      <c r="L42" s="62"/>
    </row>
    <row r="43" spans="1:12" ht="13" x14ac:dyDescent="0.15">
      <c r="A43" s="59">
        <v>42</v>
      </c>
      <c r="B43" s="59"/>
      <c r="C43" s="60"/>
      <c r="D43" s="60"/>
      <c r="E43" s="61"/>
      <c r="F43" s="62"/>
      <c r="G43" s="133"/>
      <c r="H43" s="133"/>
      <c r="I43" s="62"/>
      <c r="J43" s="60"/>
      <c r="K43" s="63"/>
      <c r="L43" s="128"/>
    </row>
    <row r="44" spans="1:12" ht="13" x14ac:dyDescent="0.15">
      <c r="A44" s="58">
        <v>43</v>
      </c>
      <c r="B44" s="58"/>
      <c r="C44" s="63"/>
      <c r="D44" s="63"/>
      <c r="E44" s="62"/>
      <c r="F44" s="62"/>
      <c r="G44" s="133"/>
      <c r="H44" s="133"/>
      <c r="I44" s="62"/>
      <c r="J44" s="63"/>
      <c r="K44" s="63"/>
      <c r="L44" s="62"/>
    </row>
    <row r="45" spans="1:12" ht="13" x14ac:dyDescent="0.15">
      <c r="A45" s="59">
        <v>44</v>
      </c>
      <c r="B45" s="59"/>
      <c r="C45" s="63"/>
      <c r="D45" s="63"/>
      <c r="E45" s="62"/>
      <c r="F45" s="62"/>
      <c r="G45" s="133"/>
      <c r="H45" s="133"/>
      <c r="I45" s="62"/>
      <c r="J45" s="63"/>
      <c r="K45" s="63"/>
      <c r="L45" s="160"/>
    </row>
    <row r="46" spans="1:12" ht="13" x14ac:dyDescent="0.15">
      <c r="A46" s="58">
        <v>45</v>
      </c>
      <c r="B46" s="58"/>
      <c r="C46" s="63"/>
      <c r="D46" s="63"/>
      <c r="E46" s="62"/>
      <c r="F46" s="62"/>
      <c r="G46" s="133"/>
      <c r="H46" s="133"/>
      <c r="I46" s="62"/>
      <c r="J46" s="63"/>
      <c r="K46" s="63"/>
      <c r="L46" s="160"/>
    </row>
    <row r="47" spans="1:12" ht="13" x14ac:dyDescent="0.15">
      <c r="A47" s="59">
        <v>46</v>
      </c>
      <c r="B47" s="59"/>
      <c r="C47" s="63"/>
      <c r="D47" s="63"/>
      <c r="E47" s="62"/>
      <c r="F47" s="62"/>
      <c r="G47" s="133"/>
      <c r="H47" s="133"/>
      <c r="I47" s="62"/>
      <c r="J47" s="63"/>
      <c r="K47" s="63"/>
      <c r="L47" s="62"/>
    </row>
    <row r="48" spans="1:12" ht="13" x14ac:dyDescent="0.15">
      <c r="A48" s="58">
        <v>47</v>
      </c>
      <c r="B48" s="58"/>
      <c r="C48" s="63"/>
      <c r="D48" s="63"/>
      <c r="E48" s="62"/>
      <c r="F48" s="62"/>
      <c r="G48" s="133"/>
      <c r="H48" s="133"/>
      <c r="I48" s="62"/>
      <c r="J48" s="63"/>
      <c r="K48" s="63"/>
      <c r="L48" s="161"/>
    </row>
    <row r="49" spans="1:12" ht="13" x14ac:dyDescent="0.15">
      <c r="A49" s="59">
        <v>48</v>
      </c>
      <c r="B49" s="59"/>
      <c r="C49" s="63"/>
      <c r="D49" s="63"/>
      <c r="E49" s="62"/>
      <c r="F49" s="62"/>
      <c r="G49" s="133"/>
      <c r="H49" s="133"/>
      <c r="I49" s="62"/>
      <c r="J49" s="63"/>
      <c r="K49" s="63"/>
      <c r="L49" s="62"/>
    </row>
    <row r="50" spans="1:12" ht="13" x14ac:dyDescent="0.15">
      <c r="A50" s="58">
        <v>49</v>
      </c>
      <c r="B50" s="58"/>
      <c r="C50" s="63"/>
      <c r="D50" s="63"/>
      <c r="E50" s="62"/>
      <c r="F50" s="62"/>
      <c r="G50" s="133"/>
      <c r="H50" s="133"/>
      <c r="I50" s="62"/>
      <c r="J50" s="63"/>
      <c r="K50" s="63"/>
      <c r="L50" s="62"/>
    </row>
    <row r="51" spans="1:12" ht="13" x14ac:dyDescent="0.15">
      <c r="A51" s="59">
        <v>50</v>
      </c>
      <c r="B51" s="59"/>
      <c r="C51" s="63"/>
      <c r="D51" s="63"/>
      <c r="E51" s="62"/>
      <c r="F51" s="62"/>
      <c r="G51" s="133"/>
      <c r="H51" s="133"/>
      <c r="I51" s="62"/>
      <c r="J51" s="63"/>
      <c r="K51" s="63"/>
      <c r="L51" s="62"/>
    </row>
    <row r="52" spans="1:12" ht="13" x14ac:dyDescent="0.15">
      <c r="A52" s="58">
        <v>51</v>
      </c>
      <c r="B52" s="58"/>
      <c r="C52" s="63"/>
      <c r="D52" s="63"/>
      <c r="E52" s="62"/>
      <c r="F52" s="62"/>
      <c r="G52" s="133"/>
      <c r="H52" s="133"/>
      <c r="I52" s="62"/>
      <c r="J52" s="63"/>
      <c r="K52" s="63"/>
      <c r="L52" s="62"/>
    </row>
    <row r="53" spans="1:12" ht="13" x14ac:dyDescent="0.15">
      <c r="A53" s="59">
        <v>52</v>
      </c>
      <c r="B53" s="59"/>
      <c r="C53" s="63"/>
      <c r="D53" s="63"/>
      <c r="E53" s="62"/>
      <c r="F53" s="62"/>
      <c r="G53" s="133"/>
      <c r="H53" s="133"/>
      <c r="I53" s="62"/>
      <c r="J53" s="63"/>
      <c r="K53" s="63"/>
      <c r="L53" s="62"/>
    </row>
    <row r="54" spans="1:12" ht="13" x14ac:dyDescent="0.15">
      <c r="A54" s="58">
        <v>53</v>
      </c>
      <c r="B54" s="58"/>
      <c r="C54" s="63"/>
      <c r="D54" s="63"/>
      <c r="E54" s="62"/>
      <c r="F54" s="62"/>
      <c r="G54" s="133"/>
      <c r="H54" s="133"/>
      <c r="I54" s="62"/>
      <c r="J54" s="63"/>
      <c r="K54" s="63"/>
      <c r="L54" s="62"/>
    </row>
    <row r="55" spans="1:12" ht="13" x14ac:dyDescent="0.15">
      <c r="A55" s="59">
        <v>54</v>
      </c>
      <c r="B55" s="59"/>
      <c r="C55" s="63"/>
      <c r="D55" s="63"/>
      <c r="E55" s="62"/>
      <c r="F55" s="62"/>
      <c r="G55" s="133"/>
      <c r="H55" s="133"/>
      <c r="I55" s="62"/>
      <c r="J55" s="63"/>
      <c r="K55" s="63"/>
      <c r="L55" s="62"/>
    </row>
    <row r="56" spans="1:12" ht="13" x14ac:dyDescent="0.15">
      <c r="A56" s="58">
        <v>55</v>
      </c>
      <c r="B56" s="58"/>
      <c r="C56" s="63"/>
      <c r="D56" s="63"/>
      <c r="E56" s="62"/>
      <c r="F56" s="62"/>
      <c r="G56" s="133"/>
      <c r="H56" s="133"/>
      <c r="I56" s="62"/>
      <c r="J56" s="63"/>
      <c r="K56" s="63"/>
      <c r="L56" s="62"/>
    </row>
    <row r="57" spans="1:12" ht="13" x14ac:dyDescent="0.15">
      <c r="A57" s="59">
        <v>56</v>
      </c>
      <c r="B57" s="59"/>
      <c r="C57" s="63"/>
      <c r="D57" s="63"/>
      <c r="E57" s="62"/>
      <c r="F57" s="62"/>
      <c r="G57" s="133"/>
      <c r="H57" s="133"/>
      <c r="I57" s="62"/>
      <c r="J57" s="63"/>
      <c r="K57" s="63"/>
      <c r="L57" s="62"/>
    </row>
    <row r="58" spans="1:12" ht="13" x14ac:dyDescent="0.15">
      <c r="A58" s="58">
        <v>57</v>
      </c>
      <c r="B58" s="58"/>
      <c r="C58" s="63"/>
      <c r="D58" s="63"/>
      <c r="E58" s="62"/>
      <c r="F58" s="62"/>
      <c r="G58" s="133"/>
      <c r="H58" s="133"/>
      <c r="I58" s="62"/>
      <c r="J58" s="63"/>
      <c r="K58" s="63"/>
      <c r="L58" s="62"/>
    </row>
    <row r="59" spans="1:12" ht="13" x14ac:dyDescent="0.15">
      <c r="A59" s="59">
        <v>58</v>
      </c>
      <c r="B59" s="59"/>
      <c r="C59" s="63"/>
      <c r="D59" s="63"/>
      <c r="E59" s="62"/>
      <c r="F59" s="62"/>
      <c r="G59" s="133"/>
      <c r="H59" s="133"/>
      <c r="I59" s="62"/>
      <c r="J59" s="63"/>
      <c r="K59" s="63"/>
      <c r="L59" s="62"/>
    </row>
    <row r="60" spans="1:12" ht="13" x14ac:dyDescent="0.15">
      <c r="A60" s="58">
        <v>59</v>
      </c>
      <c r="B60" s="58"/>
      <c r="C60" s="63"/>
      <c r="D60" s="63"/>
      <c r="E60" s="62"/>
      <c r="F60" s="62"/>
      <c r="G60" s="133"/>
      <c r="H60" s="133"/>
      <c r="I60" s="62"/>
      <c r="J60" s="63"/>
      <c r="K60" s="63"/>
      <c r="L60" s="62"/>
    </row>
    <row r="61" spans="1:12" ht="13" x14ac:dyDescent="0.15">
      <c r="A61" s="59">
        <v>60</v>
      </c>
      <c r="B61" s="59"/>
      <c r="C61" s="63"/>
      <c r="D61" s="63"/>
      <c r="E61" s="62"/>
      <c r="F61" s="62"/>
      <c r="G61" s="133"/>
      <c r="H61" s="133"/>
      <c r="I61" s="62"/>
      <c r="J61" s="63"/>
      <c r="K61" s="63"/>
      <c r="L61" s="62"/>
    </row>
    <row r="62" spans="1:12" ht="13" x14ac:dyDescent="0.15">
      <c r="A62" s="58">
        <v>61</v>
      </c>
      <c r="B62" s="58"/>
      <c r="C62" s="63"/>
      <c r="D62" s="63"/>
      <c r="E62" s="62"/>
      <c r="F62" s="62"/>
      <c r="G62" s="133"/>
      <c r="H62" s="133"/>
      <c r="I62" s="62"/>
      <c r="J62" s="63"/>
      <c r="K62" s="63"/>
      <c r="L62" s="62"/>
    </row>
    <row r="63" spans="1:12" ht="13" x14ac:dyDescent="0.15">
      <c r="A63" s="59">
        <v>62</v>
      </c>
      <c r="B63" s="59"/>
      <c r="C63" s="63"/>
      <c r="D63" s="63"/>
      <c r="E63" s="62"/>
      <c r="F63" s="62"/>
      <c r="G63" s="133"/>
      <c r="H63" s="133"/>
      <c r="I63" s="62"/>
      <c r="J63" s="63"/>
      <c r="K63" s="63"/>
      <c r="L63" s="62"/>
    </row>
    <row r="64" spans="1:12" ht="13" x14ac:dyDescent="0.15">
      <c r="A64" s="58">
        <v>63</v>
      </c>
      <c r="B64" s="58"/>
      <c r="C64" s="63"/>
      <c r="D64" s="63"/>
      <c r="E64" s="62"/>
      <c r="F64" s="62"/>
      <c r="G64" s="133"/>
      <c r="H64" s="133"/>
      <c r="I64" s="62"/>
      <c r="J64" s="63"/>
      <c r="K64" s="63"/>
      <c r="L64" s="62"/>
    </row>
    <row r="65" spans="1:12" ht="13" x14ac:dyDescent="0.15">
      <c r="A65" s="59">
        <v>64</v>
      </c>
      <c r="B65" s="59"/>
      <c r="C65" s="63"/>
      <c r="D65" s="63"/>
      <c r="E65" s="62"/>
      <c r="F65" s="62"/>
      <c r="G65" s="133"/>
      <c r="H65" s="133"/>
      <c r="I65" s="62"/>
      <c r="J65" s="63"/>
      <c r="K65" s="63"/>
      <c r="L65" s="62"/>
    </row>
    <row r="66" spans="1:12" ht="13" x14ac:dyDescent="0.15">
      <c r="A66" s="58">
        <v>65</v>
      </c>
      <c r="B66" s="58"/>
      <c r="C66" s="63"/>
      <c r="D66" s="63"/>
      <c r="E66" s="62"/>
      <c r="F66" s="62"/>
      <c r="G66" s="133"/>
      <c r="H66" s="133"/>
      <c r="I66" s="62"/>
      <c r="J66" s="63"/>
      <c r="K66" s="63"/>
      <c r="L66" s="62"/>
    </row>
    <row r="67" spans="1:12" ht="13" x14ac:dyDescent="0.15">
      <c r="A67" s="59">
        <v>66</v>
      </c>
      <c r="B67" s="59"/>
      <c r="C67" s="63"/>
      <c r="D67" s="63"/>
      <c r="E67" s="62"/>
      <c r="F67" s="62"/>
      <c r="G67" s="133"/>
      <c r="H67" s="133"/>
      <c r="I67" s="62"/>
      <c r="J67" s="63"/>
      <c r="K67" s="63"/>
      <c r="L67" s="62"/>
    </row>
    <row r="68" spans="1:12" ht="13" x14ac:dyDescent="0.15">
      <c r="A68" s="58">
        <v>67</v>
      </c>
      <c r="B68" s="58"/>
      <c r="C68" s="63"/>
      <c r="D68" s="63"/>
      <c r="E68" s="62"/>
      <c r="F68" s="62"/>
      <c r="G68" s="133"/>
      <c r="H68" s="133"/>
      <c r="I68" s="62"/>
      <c r="J68" s="63"/>
      <c r="K68" s="63"/>
      <c r="L68" s="62"/>
    </row>
    <row r="69" spans="1:12" ht="13" x14ac:dyDescent="0.15">
      <c r="A69" s="59">
        <v>68</v>
      </c>
      <c r="B69" s="59"/>
      <c r="C69" s="63"/>
      <c r="D69" s="63"/>
      <c r="E69" s="62"/>
      <c r="F69" s="62"/>
      <c r="G69" s="133"/>
      <c r="H69" s="133"/>
      <c r="I69" s="62"/>
      <c r="J69" s="63"/>
      <c r="K69" s="63"/>
      <c r="L69" s="62"/>
    </row>
    <row r="70" spans="1:12" ht="13" x14ac:dyDescent="0.15">
      <c r="A70" s="58">
        <v>69</v>
      </c>
      <c r="B70" s="58"/>
      <c r="C70" s="63"/>
      <c r="D70" s="63"/>
      <c r="E70" s="62"/>
      <c r="F70" s="62"/>
      <c r="G70" s="133"/>
      <c r="H70" s="133"/>
      <c r="I70" s="62"/>
      <c r="J70" s="63"/>
      <c r="K70" s="63"/>
      <c r="L70" s="62"/>
    </row>
    <row r="71" spans="1:12" ht="13" x14ac:dyDescent="0.15">
      <c r="A71" s="59">
        <v>70</v>
      </c>
      <c r="B71" s="59"/>
      <c r="C71" s="63"/>
      <c r="D71" s="63"/>
      <c r="E71" s="62"/>
      <c r="F71" s="62"/>
      <c r="G71" s="133"/>
      <c r="H71" s="133"/>
      <c r="I71" s="62"/>
      <c r="J71" s="63"/>
      <c r="K71" s="63"/>
      <c r="L71" s="62"/>
    </row>
    <row r="72" spans="1:12" ht="13" x14ac:dyDescent="0.15">
      <c r="A72" s="58">
        <v>71</v>
      </c>
      <c r="B72" s="58"/>
      <c r="C72" s="63"/>
      <c r="D72" s="63"/>
      <c r="E72" s="62"/>
      <c r="F72" s="62"/>
      <c r="G72" s="133"/>
      <c r="H72" s="133"/>
      <c r="I72" s="62"/>
      <c r="J72" s="63"/>
      <c r="K72" s="63"/>
      <c r="L72" s="62"/>
    </row>
    <row r="73" spans="1:12" ht="13" x14ac:dyDescent="0.15">
      <c r="A73" s="59">
        <v>72</v>
      </c>
      <c r="B73" s="59"/>
      <c r="C73" s="63"/>
      <c r="D73" s="63"/>
      <c r="E73" s="62"/>
      <c r="F73" s="62"/>
      <c r="G73" s="133"/>
      <c r="H73" s="133"/>
      <c r="I73" s="62"/>
      <c r="J73" s="63"/>
      <c r="K73" s="63"/>
      <c r="L73" s="62"/>
    </row>
    <row r="74" spans="1:12" ht="13" x14ac:dyDescent="0.15">
      <c r="A74" s="58">
        <v>73</v>
      </c>
      <c r="B74" s="58"/>
      <c r="C74" s="63"/>
      <c r="D74" s="63"/>
      <c r="E74" s="62"/>
      <c r="F74" s="62"/>
      <c r="G74" s="133"/>
      <c r="H74" s="133"/>
      <c r="I74" s="62"/>
      <c r="J74" s="63"/>
      <c r="K74" s="63"/>
      <c r="L74" s="62"/>
    </row>
    <row r="75" spans="1:12" ht="13" x14ac:dyDescent="0.15">
      <c r="A75" s="59">
        <v>74</v>
      </c>
      <c r="B75" s="59"/>
      <c r="C75" s="63"/>
      <c r="D75" s="63"/>
      <c r="E75" s="62"/>
      <c r="F75" s="62"/>
      <c r="G75" s="133"/>
      <c r="H75" s="133"/>
      <c r="I75" s="62"/>
      <c r="J75" s="63"/>
      <c r="K75" s="63"/>
      <c r="L75" s="62"/>
    </row>
    <row r="76" spans="1:12" ht="13" x14ac:dyDescent="0.15">
      <c r="A76" s="58">
        <v>75</v>
      </c>
      <c r="B76" s="58"/>
      <c r="C76" s="63"/>
      <c r="D76" s="63"/>
      <c r="E76" s="62"/>
      <c r="F76" s="62"/>
      <c r="G76" s="133"/>
      <c r="H76" s="133"/>
      <c r="I76" s="62"/>
      <c r="J76" s="63"/>
      <c r="K76" s="63"/>
      <c r="L76" s="62"/>
    </row>
    <row r="77" spans="1:12" ht="13" x14ac:dyDescent="0.15">
      <c r="A77" s="59">
        <v>76</v>
      </c>
      <c r="B77" s="59"/>
      <c r="C77" s="63"/>
      <c r="D77" s="63"/>
      <c r="E77" s="62"/>
      <c r="F77" s="62"/>
      <c r="G77" s="133"/>
      <c r="H77" s="133"/>
      <c r="I77" s="62"/>
      <c r="J77" s="63"/>
      <c r="K77" s="63"/>
      <c r="L77" s="62"/>
    </row>
    <row r="78" spans="1:12" ht="13" x14ac:dyDescent="0.15">
      <c r="A78" s="58">
        <v>77</v>
      </c>
      <c r="B78" s="58"/>
      <c r="C78" s="63"/>
      <c r="D78" s="63"/>
      <c r="E78" s="62"/>
      <c r="F78" s="62"/>
      <c r="G78" s="133"/>
      <c r="H78" s="133"/>
      <c r="I78" s="62"/>
      <c r="J78" s="63"/>
      <c r="K78" s="63"/>
      <c r="L78" s="62"/>
    </row>
    <row r="79" spans="1:12" ht="13" x14ac:dyDescent="0.15">
      <c r="A79" s="59">
        <v>78</v>
      </c>
      <c r="B79" s="59"/>
      <c r="C79" s="63"/>
      <c r="D79" s="63"/>
      <c r="E79" s="62"/>
      <c r="F79" s="62"/>
      <c r="G79" s="133"/>
      <c r="H79" s="133"/>
      <c r="I79" s="62"/>
      <c r="J79" s="63"/>
      <c r="K79" s="63"/>
      <c r="L79" s="62"/>
    </row>
    <row r="80" spans="1:12" ht="13" x14ac:dyDescent="0.15">
      <c r="A80" s="58">
        <v>79</v>
      </c>
      <c r="B80" s="58"/>
      <c r="C80" s="63"/>
      <c r="D80" s="63"/>
      <c r="E80" s="62"/>
      <c r="F80" s="62"/>
      <c r="G80" s="133"/>
      <c r="H80" s="133"/>
      <c r="I80" s="62"/>
      <c r="J80" s="63"/>
      <c r="K80" s="63"/>
      <c r="L80" s="62"/>
    </row>
    <row r="81" spans="1:12" ht="13" x14ac:dyDescent="0.15">
      <c r="A81" s="59">
        <v>80</v>
      </c>
      <c r="B81" s="59"/>
      <c r="C81" s="63"/>
      <c r="D81" s="63"/>
      <c r="E81" s="62"/>
      <c r="F81" s="62"/>
      <c r="G81" s="133"/>
      <c r="H81" s="133"/>
      <c r="I81" s="62"/>
      <c r="J81" s="63"/>
      <c r="K81" s="63"/>
      <c r="L81" s="62"/>
    </row>
    <row r="82" spans="1:12" ht="13" x14ac:dyDescent="0.15">
      <c r="A82" s="58">
        <v>81</v>
      </c>
      <c r="B82" s="58"/>
      <c r="C82" s="63"/>
      <c r="D82" s="63"/>
      <c r="E82" s="62"/>
      <c r="F82" s="62"/>
      <c r="G82" s="133"/>
      <c r="H82" s="133"/>
      <c r="I82" s="62"/>
      <c r="J82" s="63"/>
      <c r="K82" s="63"/>
      <c r="L82" s="62"/>
    </row>
    <row r="83" spans="1:12" ht="13" x14ac:dyDescent="0.15">
      <c r="A83" s="59">
        <v>82</v>
      </c>
      <c r="B83" s="59"/>
      <c r="C83" s="63"/>
      <c r="D83" s="63"/>
      <c r="E83" s="62"/>
      <c r="F83" s="62"/>
      <c r="G83" s="133"/>
      <c r="H83" s="133"/>
      <c r="I83" s="62"/>
      <c r="J83" s="63"/>
      <c r="K83" s="63"/>
      <c r="L83" s="62"/>
    </row>
    <row r="84" spans="1:12" ht="13" x14ac:dyDescent="0.15">
      <c r="A84" s="58">
        <v>83</v>
      </c>
      <c r="B84" s="58"/>
      <c r="C84" s="63"/>
      <c r="D84" s="63"/>
      <c r="E84" s="62"/>
      <c r="F84" s="62"/>
      <c r="G84" s="133"/>
      <c r="H84" s="133"/>
      <c r="I84" s="62"/>
      <c r="J84" s="63"/>
      <c r="K84" s="63"/>
      <c r="L84" s="62"/>
    </row>
    <row r="85" spans="1:12" ht="13" x14ac:dyDescent="0.15">
      <c r="A85" s="59">
        <v>84</v>
      </c>
      <c r="B85" s="59"/>
      <c r="C85" s="63"/>
      <c r="D85" s="63"/>
      <c r="E85" s="62"/>
      <c r="F85" s="62"/>
      <c r="G85" s="133"/>
      <c r="H85" s="133"/>
      <c r="I85" s="62"/>
      <c r="J85" s="63"/>
      <c r="K85" s="63"/>
      <c r="L85" s="62"/>
    </row>
    <row r="86" spans="1:12" ht="13" x14ac:dyDescent="0.15">
      <c r="A86" s="58">
        <v>85</v>
      </c>
      <c r="B86" s="58"/>
      <c r="C86" s="63"/>
      <c r="D86" s="63"/>
      <c r="E86" s="62"/>
      <c r="F86" s="62"/>
      <c r="G86" s="133"/>
      <c r="H86" s="133"/>
      <c r="I86" s="62"/>
      <c r="J86" s="63"/>
      <c r="K86" s="63"/>
      <c r="L86" s="62"/>
    </row>
    <row r="87" spans="1:12" ht="13" x14ac:dyDescent="0.15">
      <c r="A87" s="59">
        <v>86</v>
      </c>
      <c r="B87" s="59"/>
      <c r="C87" s="63"/>
      <c r="D87" s="63"/>
      <c r="E87" s="62"/>
      <c r="F87" s="62"/>
      <c r="G87" s="133"/>
      <c r="H87" s="133"/>
      <c r="I87" s="62"/>
      <c r="J87" s="63"/>
      <c r="K87" s="63"/>
      <c r="L87" s="62"/>
    </row>
    <row r="88" spans="1:12" ht="13" x14ac:dyDescent="0.15">
      <c r="A88" s="58">
        <v>87</v>
      </c>
      <c r="B88" s="58"/>
      <c r="C88" s="63"/>
      <c r="D88" s="63"/>
      <c r="E88" s="62"/>
      <c r="F88" s="62"/>
      <c r="G88" s="133"/>
      <c r="H88" s="133"/>
      <c r="I88" s="62"/>
      <c r="J88" s="63"/>
      <c r="K88" s="63"/>
      <c r="L88" s="62"/>
    </row>
    <row r="89" spans="1:12" ht="13" x14ac:dyDescent="0.15">
      <c r="A89" s="59">
        <v>88</v>
      </c>
      <c r="B89" s="59"/>
      <c r="C89" s="63"/>
      <c r="D89" s="63"/>
      <c r="E89" s="62"/>
      <c r="F89" s="62"/>
      <c r="G89" s="133"/>
      <c r="H89" s="133"/>
      <c r="I89" s="62"/>
      <c r="J89" s="63"/>
      <c r="K89" s="63"/>
      <c r="L89" s="62"/>
    </row>
    <row r="90" spans="1:12" ht="13" x14ac:dyDescent="0.15">
      <c r="A90" s="58">
        <v>89</v>
      </c>
      <c r="B90" s="58"/>
      <c r="C90" s="63"/>
      <c r="D90" s="63"/>
      <c r="E90" s="62"/>
      <c r="F90" s="62"/>
      <c r="G90" s="133"/>
      <c r="H90" s="133"/>
      <c r="I90" s="62"/>
      <c r="J90" s="63"/>
      <c r="K90" s="63"/>
      <c r="L90" s="62"/>
    </row>
    <row r="91" spans="1:12" ht="13" x14ac:dyDescent="0.15">
      <c r="A91" s="59">
        <v>90</v>
      </c>
      <c r="B91" s="59"/>
      <c r="C91" s="63"/>
      <c r="D91" s="63"/>
      <c r="E91" s="62"/>
      <c r="F91" s="62"/>
      <c r="G91" s="133"/>
      <c r="H91" s="133"/>
      <c r="I91" s="62"/>
      <c r="J91" s="63"/>
      <c r="K91" s="63"/>
      <c r="L91" s="62"/>
    </row>
    <row r="92" spans="1:12" ht="13" x14ac:dyDescent="0.15">
      <c r="A92" s="58">
        <v>91</v>
      </c>
      <c r="B92" s="58"/>
      <c r="C92" s="63"/>
      <c r="D92" s="63"/>
      <c r="E92" s="62"/>
      <c r="F92" s="62"/>
      <c r="G92" s="133"/>
      <c r="H92" s="133"/>
      <c r="I92" s="62"/>
      <c r="J92" s="63"/>
      <c r="K92" s="63"/>
      <c r="L92" s="62"/>
    </row>
    <row r="93" spans="1:12" ht="13" x14ac:dyDescent="0.15">
      <c r="A93" s="59">
        <v>92</v>
      </c>
      <c r="B93" s="59"/>
      <c r="C93" s="63"/>
      <c r="D93" s="63"/>
      <c r="E93" s="62"/>
      <c r="F93" s="62"/>
      <c r="G93" s="133"/>
      <c r="H93" s="133"/>
      <c r="I93" s="62"/>
      <c r="J93" s="63"/>
      <c r="K93" s="63"/>
      <c r="L93" s="62"/>
    </row>
    <row r="94" spans="1:12" ht="13" x14ac:dyDescent="0.15">
      <c r="A94" s="58">
        <v>93</v>
      </c>
      <c r="B94" s="58"/>
      <c r="C94" s="63"/>
      <c r="D94" s="63"/>
      <c r="E94" s="62"/>
      <c r="F94" s="62"/>
      <c r="G94" s="133"/>
      <c r="H94" s="133"/>
      <c r="I94" s="62"/>
      <c r="J94" s="63"/>
      <c r="K94" s="63"/>
      <c r="L94" s="62"/>
    </row>
    <row r="95" spans="1:12" ht="13" x14ac:dyDescent="0.15">
      <c r="A95" s="59">
        <v>94</v>
      </c>
      <c r="B95" s="59"/>
      <c r="C95" s="63"/>
      <c r="D95" s="63"/>
      <c r="E95" s="62"/>
      <c r="F95" s="62"/>
      <c r="G95" s="133"/>
      <c r="H95" s="133"/>
      <c r="I95" s="62"/>
      <c r="J95" s="63"/>
      <c r="K95" s="63"/>
      <c r="L95" s="62"/>
    </row>
    <row r="96" spans="1:12" ht="13" x14ac:dyDescent="0.15">
      <c r="A96" s="58">
        <v>95</v>
      </c>
      <c r="B96" s="58"/>
      <c r="C96" s="63"/>
      <c r="D96" s="63"/>
      <c r="E96" s="62"/>
      <c r="F96" s="62"/>
      <c r="G96" s="133"/>
      <c r="H96" s="133"/>
      <c r="I96" s="62"/>
      <c r="J96" s="63"/>
      <c r="K96" s="63"/>
      <c r="L96" s="62"/>
    </row>
    <row r="97" spans="1:12" ht="13" x14ac:dyDescent="0.15">
      <c r="A97" s="59">
        <v>96</v>
      </c>
      <c r="B97" s="59"/>
      <c r="C97" s="63"/>
      <c r="D97" s="63"/>
      <c r="E97" s="62"/>
      <c r="F97" s="62"/>
      <c r="G97" s="133"/>
      <c r="H97" s="133"/>
      <c r="I97" s="62"/>
      <c r="J97" s="63"/>
      <c r="K97" s="63"/>
      <c r="L97" s="62"/>
    </row>
    <row r="98" spans="1:12" ht="13" x14ac:dyDescent="0.15">
      <c r="A98" s="58">
        <v>97</v>
      </c>
      <c r="B98" s="58"/>
      <c r="C98" s="63"/>
      <c r="D98" s="63"/>
      <c r="E98" s="62"/>
      <c r="F98" s="62"/>
      <c r="G98" s="133"/>
      <c r="H98" s="133"/>
      <c r="I98" s="62"/>
      <c r="J98" s="63"/>
      <c r="K98" s="63"/>
      <c r="L98" s="62"/>
    </row>
    <row r="99" spans="1:12" ht="13" x14ac:dyDescent="0.15">
      <c r="A99" s="59">
        <v>98</v>
      </c>
      <c r="B99" s="59"/>
      <c r="C99" s="63"/>
      <c r="D99" s="63"/>
      <c r="E99" s="62"/>
      <c r="F99" s="62"/>
      <c r="G99" s="133"/>
      <c r="H99" s="133"/>
      <c r="I99" s="62"/>
      <c r="J99" s="63"/>
      <c r="K99" s="63"/>
      <c r="L99" s="62"/>
    </row>
    <row r="100" spans="1:12" ht="13" x14ac:dyDescent="0.15">
      <c r="A100" s="59">
        <v>99</v>
      </c>
      <c r="B100" s="59"/>
      <c r="C100" s="63"/>
      <c r="D100" s="63"/>
      <c r="E100" s="62"/>
      <c r="F100" s="62"/>
      <c r="G100" s="133"/>
      <c r="H100" s="133"/>
      <c r="I100" s="62"/>
      <c r="J100" s="63"/>
      <c r="K100" s="63"/>
      <c r="L100" s="62"/>
    </row>
    <row r="1048576" spans="7:7" ht="13" x14ac:dyDescent="0.15">
      <c r="G1048576" s="133" t="s">
        <v>293</v>
      </c>
    </row>
  </sheetData>
  <autoFilter ref="A1:L100" xr:uid="{6882EA6D-4A1F-4FE6-8B72-CFCB9535306D}"/>
  <conditionalFormatting sqref="B5:B13">
    <cfRule type="expression" dxfId="59" priority="1" stopIfTrue="1">
      <formula>($G5="Fail")</formula>
    </cfRule>
    <cfRule type="expression" dxfId="58" priority="2" stopIfTrue="1">
      <formula>($G5="Pass")</formula>
    </cfRule>
  </conditionalFormatting>
  <conditionalFormatting sqref="B3:C4 C5">
    <cfRule type="expression" dxfId="57" priority="5" stopIfTrue="1">
      <formula>($G3="Fail")</formula>
    </cfRule>
    <cfRule type="expression" dxfId="56" priority="6" stopIfTrue="1">
      <formula>($G3="Pass")</formula>
    </cfRule>
  </conditionalFormatting>
  <conditionalFormatting sqref="C6">
    <cfRule type="expression" dxfId="55" priority="230" stopIfTrue="1">
      <formula>(#REF!="Fail")</formula>
    </cfRule>
    <cfRule type="expression" dxfId="54" priority="231" stopIfTrue="1">
      <formula>(#REF!="Pass")</formula>
    </cfRule>
  </conditionalFormatting>
  <dataValidations count="1">
    <dataValidation type="list" allowBlank="1" showInputMessage="1" showErrorMessage="1" sqref="J1:J1048576" xr:uid="{EB90CB24-41CB-4920-82A3-447718E30BC7}">
      <formula1>defect</formula1>
    </dataValidation>
  </dataValidations>
  <pageMargins left="0.7" right="0.7" top="0.75" bottom="0.75" header="0.3" footer="0.3"/>
  <pageSetup paperSize="9" orientation="portrait" r:id="rId1"/>
  <headerFooter>
    <oddHeader>&amp;C&amp;"Calibri"&amp;10&amp;K737373 Serco Business - Commercial in Confidence&amp;1#_x000D_</oddHead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DC517-C76E-4EC8-B1B8-3CA233DF20ED}">
  <sheetPr filterMode="1"/>
  <dimension ref="A2:M60"/>
  <sheetViews>
    <sheetView workbookViewId="0"/>
  </sheetViews>
  <sheetFormatPr baseColWidth="10" defaultColWidth="8.83203125" defaultRowHeight="13" x14ac:dyDescent="0.15"/>
  <cols>
    <col min="1" max="1" width="8.6640625" style="136" bestFit="1" customWidth="1"/>
    <col min="2" max="2" width="26.5" bestFit="1" customWidth="1"/>
    <col min="3" max="3" width="26.5" customWidth="1"/>
    <col min="4" max="4" width="26.5" style="136" customWidth="1"/>
    <col min="5" max="5" width="26.33203125" bestFit="1" customWidth="1"/>
    <col min="6" max="7" width="26.33203125" customWidth="1"/>
    <col min="8" max="8" width="6.83203125" bestFit="1" customWidth="1"/>
    <col min="9" max="13" width="7" bestFit="1" customWidth="1"/>
  </cols>
  <sheetData>
    <row r="2" spans="1:13" x14ac:dyDescent="0.15">
      <c r="B2" s="37" t="s">
        <v>294</v>
      </c>
      <c r="C2" s="37"/>
      <c r="D2" s="142"/>
    </row>
    <row r="4" spans="1:13" x14ac:dyDescent="0.15">
      <c r="C4" s="37"/>
    </row>
    <row r="5" spans="1:13" x14ac:dyDescent="0.15">
      <c r="B5" s="37" t="s">
        <v>295</v>
      </c>
      <c r="C5" s="37"/>
      <c r="D5" s="142"/>
      <c r="E5" s="37" t="s">
        <v>296</v>
      </c>
      <c r="F5" s="37"/>
      <c r="G5" s="37"/>
      <c r="H5" s="37" t="s">
        <v>297</v>
      </c>
      <c r="I5" s="37" t="s">
        <v>298</v>
      </c>
      <c r="J5" s="37" t="s">
        <v>299</v>
      </c>
      <c r="K5" s="37" t="s">
        <v>300</v>
      </c>
      <c r="L5" s="37" t="s">
        <v>301</v>
      </c>
      <c r="M5" s="37" t="s">
        <v>302</v>
      </c>
    </row>
    <row r="6" spans="1:13" ht="52.5" hidden="1" customHeight="1" x14ac:dyDescent="0.15">
      <c r="A6" s="137" t="s">
        <v>303</v>
      </c>
      <c r="B6" s="143" t="s">
        <v>304</v>
      </c>
      <c r="C6" s="37"/>
      <c r="D6" s="136" t="s">
        <v>303</v>
      </c>
      <c r="E6" s="144" t="s">
        <v>305</v>
      </c>
      <c r="G6" s="136" t="s">
        <v>303</v>
      </c>
      <c r="H6" s="144" t="s">
        <v>305</v>
      </c>
    </row>
    <row r="7" spans="1:13" ht="38.25" hidden="1" customHeight="1" x14ac:dyDescent="0.15">
      <c r="A7" s="136" t="s">
        <v>306</v>
      </c>
      <c r="B7" s="144" t="s">
        <v>307</v>
      </c>
      <c r="C7" s="37"/>
      <c r="D7" s="136" t="s">
        <v>303</v>
      </c>
      <c r="E7" s="144" t="s">
        <v>308</v>
      </c>
      <c r="G7" s="136" t="s">
        <v>303</v>
      </c>
      <c r="H7" s="144" t="s">
        <v>308</v>
      </c>
    </row>
    <row r="8" spans="1:13" ht="54" hidden="1" customHeight="1" x14ac:dyDescent="0.15">
      <c r="A8" s="136" t="s">
        <v>306</v>
      </c>
      <c r="B8" s="144" t="s">
        <v>309</v>
      </c>
      <c r="C8" s="37"/>
      <c r="D8" s="136" t="s">
        <v>303</v>
      </c>
      <c r="E8" s="144" t="s">
        <v>310</v>
      </c>
      <c r="G8" s="136" t="s">
        <v>303</v>
      </c>
      <c r="H8" s="144" t="s">
        <v>310</v>
      </c>
    </row>
    <row r="9" spans="1:13" ht="54" hidden="1" customHeight="1" x14ac:dyDescent="0.15">
      <c r="A9" s="138" t="s">
        <v>311</v>
      </c>
      <c r="B9" s="145" t="s">
        <v>312</v>
      </c>
      <c r="C9" s="37"/>
      <c r="D9" s="136" t="s">
        <v>303</v>
      </c>
      <c r="E9" s="144" t="s">
        <v>313</v>
      </c>
      <c r="G9" s="136" t="s">
        <v>303</v>
      </c>
      <c r="H9" s="144" t="s">
        <v>313</v>
      </c>
    </row>
    <row r="10" spans="1:13" ht="54" hidden="1" customHeight="1" x14ac:dyDescent="0.15">
      <c r="A10" s="138" t="s">
        <v>314</v>
      </c>
      <c r="B10" s="145" t="s">
        <v>315</v>
      </c>
      <c r="C10" s="37"/>
      <c r="D10" s="140" t="s">
        <v>316</v>
      </c>
      <c r="E10" s="146" t="s">
        <v>317</v>
      </c>
      <c r="H10" t="s">
        <v>318</v>
      </c>
    </row>
    <row r="11" spans="1:13" ht="54" hidden="1" customHeight="1" x14ac:dyDescent="0.15">
      <c r="A11" s="138" t="s">
        <v>314</v>
      </c>
      <c r="B11" s="145" t="s">
        <v>319</v>
      </c>
      <c r="C11" s="37"/>
      <c r="D11" s="138" t="s">
        <v>303</v>
      </c>
      <c r="E11" s="145" t="s">
        <v>320</v>
      </c>
      <c r="H11" t="s">
        <v>321</v>
      </c>
    </row>
    <row r="12" spans="1:13" ht="28.5" hidden="1" customHeight="1" x14ac:dyDescent="0.15">
      <c r="A12" s="138" t="s">
        <v>303</v>
      </c>
      <c r="B12" s="145" t="s">
        <v>322</v>
      </c>
      <c r="C12" s="37"/>
      <c r="D12" s="136" t="s">
        <v>314</v>
      </c>
      <c r="E12" s="144" t="s">
        <v>323</v>
      </c>
      <c r="G12" t="s">
        <v>314</v>
      </c>
      <c r="H12" s="144" t="s">
        <v>323</v>
      </c>
    </row>
    <row r="13" spans="1:13" ht="46.5" hidden="1" customHeight="1" x14ac:dyDescent="0.15">
      <c r="A13" s="138" t="s">
        <v>314</v>
      </c>
      <c r="B13" s="145" t="s">
        <v>324</v>
      </c>
      <c r="C13" s="37"/>
      <c r="D13" s="136" t="s">
        <v>314</v>
      </c>
      <c r="E13" s="144" t="s">
        <v>325</v>
      </c>
      <c r="G13" t="s">
        <v>314</v>
      </c>
      <c r="H13" s="144" t="s">
        <v>325</v>
      </c>
    </row>
    <row r="14" spans="1:13" ht="53.25" hidden="1" customHeight="1" x14ac:dyDescent="0.15">
      <c r="A14" s="138" t="s">
        <v>316</v>
      </c>
      <c r="B14" s="145" t="s">
        <v>326</v>
      </c>
      <c r="C14" s="37"/>
      <c r="D14" s="136" t="s">
        <v>314</v>
      </c>
      <c r="E14" s="144" t="s">
        <v>327</v>
      </c>
      <c r="G14" t="s">
        <v>314</v>
      </c>
      <c r="H14" s="144" t="s">
        <v>327</v>
      </c>
    </row>
    <row r="15" spans="1:13" ht="28.5" hidden="1" customHeight="1" x14ac:dyDescent="0.15">
      <c r="A15" s="138" t="s">
        <v>316</v>
      </c>
      <c r="B15" s="145" t="s">
        <v>328</v>
      </c>
      <c r="C15" s="37"/>
      <c r="D15" s="136" t="s">
        <v>311</v>
      </c>
      <c r="E15" s="144" t="s">
        <v>329</v>
      </c>
      <c r="H15" t="s">
        <v>330</v>
      </c>
    </row>
    <row r="16" spans="1:13" ht="87" hidden="1" customHeight="1" x14ac:dyDescent="0.15">
      <c r="A16" s="138" t="s">
        <v>303</v>
      </c>
      <c r="B16" s="145" t="s">
        <v>331</v>
      </c>
      <c r="C16" s="37"/>
      <c r="D16" s="138" t="s">
        <v>311</v>
      </c>
      <c r="E16" s="145" t="s">
        <v>332</v>
      </c>
      <c r="H16" t="s">
        <v>333</v>
      </c>
    </row>
    <row r="17" spans="1:9" ht="52.5" hidden="1" customHeight="1" x14ac:dyDescent="0.15">
      <c r="A17" s="136" t="s">
        <v>303</v>
      </c>
      <c r="B17" s="144" t="s">
        <v>334</v>
      </c>
      <c r="C17" s="37"/>
      <c r="D17" s="138" t="s">
        <v>303</v>
      </c>
      <c r="E17" s="145" t="s">
        <v>335</v>
      </c>
      <c r="H17" t="s">
        <v>336</v>
      </c>
    </row>
    <row r="18" spans="1:9" ht="67.5" hidden="1" customHeight="1" x14ac:dyDescent="0.15">
      <c r="A18" s="139" t="s">
        <v>337</v>
      </c>
      <c r="B18" s="144" t="s">
        <v>338</v>
      </c>
      <c r="C18" s="37"/>
      <c r="D18" s="138" t="s">
        <v>303</v>
      </c>
      <c r="E18" s="145" t="s">
        <v>339</v>
      </c>
      <c r="H18" t="s">
        <v>340</v>
      </c>
    </row>
    <row r="19" spans="1:9" ht="56.25" hidden="1" customHeight="1" x14ac:dyDescent="0.15">
      <c r="A19" s="139" t="s">
        <v>341</v>
      </c>
      <c r="B19" s="144" t="s">
        <v>342</v>
      </c>
      <c r="C19" s="37"/>
      <c r="D19" s="138" t="s">
        <v>316</v>
      </c>
      <c r="E19" s="145" t="s">
        <v>343</v>
      </c>
      <c r="H19" t="s">
        <v>344</v>
      </c>
      <c r="I19" t="s">
        <v>345</v>
      </c>
    </row>
    <row r="20" spans="1:9" ht="56.25" hidden="1" customHeight="1" x14ac:dyDescent="0.15">
      <c r="A20" s="138" t="s">
        <v>316</v>
      </c>
      <c r="B20" s="145" t="s">
        <v>346</v>
      </c>
      <c r="C20" s="37"/>
      <c r="D20" s="138" t="s">
        <v>316</v>
      </c>
      <c r="E20" s="145" t="s">
        <v>347</v>
      </c>
      <c r="H20" t="s">
        <v>348</v>
      </c>
      <c r="I20" t="s">
        <v>349</v>
      </c>
    </row>
    <row r="21" spans="1:9" ht="64.5" hidden="1" customHeight="1" x14ac:dyDescent="0.15">
      <c r="A21" s="147" t="s">
        <v>350</v>
      </c>
      <c r="B21" s="145" t="s">
        <v>351</v>
      </c>
      <c r="C21" s="37"/>
      <c r="D21" s="138" t="s">
        <v>316</v>
      </c>
      <c r="E21" s="145" t="s">
        <v>352</v>
      </c>
      <c r="H21" t="s">
        <v>353</v>
      </c>
    </row>
    <row r="22" spans="1:9" ht="57.75" hidden="1" customHeight="1" x14ac:dyDescent="0.15">
      <c r="A22" s="138" t="s">
        <v>316</v>
      </c>
      <c r="B22" s="145" t="s">
        <v>354</v>
      </c>
      <c r="C22" s="37"/>
      <c r="D22" s="138" t="s">
        <v>303</v>
      </c>
      <c r="E22" s="145" t="s">
        <v>355</v>
      </c>
      <c r="H22" t="s">
        <v>356</v>
      </c>
    </row>
    <row r="23" spans="1:9" ht="36" hidden="1" customHeight="1" x14ac:dyDescent="0.15">
      <c r="A23" s="138" t="s">
        <v>357</v>
      </c>
      <c r="B23" s="145" t="s">
        <v>358</v>
      </c>
      <c r="C23" s="37"/>
      <c r="D23" s="138" t="s">
        <v>316</v>
      </c>
      <c r="E23" s="145" t="s">
        <v>359</v>
      </c>
      <c r="H23" t="s">
        <v>360</v>
      </c>
    </row>
    <row r="24" spans="1:9" ht="30.75" hidden="1" customHeight="1" x14ac:dyDescent="0.15">
      <c r="A24" s="138" t="s">
        <v>357</v>
      </c>
      <c r="B24" s="145" t="s">
        <v>361</v>
      </c>
      <c r="C24" s="37"/>
      <c r="D24" s="138" t="s">
        <v>303</v>
      </c>
      <c r="E24" s="145" t="s">
        <v>362</v>
      </c>
      <c r="H24" t="s">
        <v>363</v>
      </c>
    </row>
    <row r="25" spans="1:9" ht="30.75" hidden="1" customHeight="1" x14ac:dyDescent="0.15">
      <c r="A25" s="138" t="s">
        <v>357</v>
      </c>
      <c r="B25" s="145" t="s">
        <v>364</v>
      </c>
      <c r="C25" s="37"/>
      <c r="D25" s="138" t="s">
        <v>316</v>
      </c>
      <c r="E25" s="145" t="s">
        <v>365</v>
      </c>
      <c r="H25" t="s">
        <v>366</v>
      </c>
    </row>
    <row r="26" spans="1:9" ht="30.75" hidden="1" customHeight="1" x14ac:dyDescent="0.15">
      <c r="A26" s="138" t="s">
        <v>357</v>
      </c>
      <c r="B26" s="145" t="s">
        <v>367</v>
      </c>
      <c r="C26" s="37"/>
      <c r="D26" s="136" t="s">
        <v>311</v>
      </c>
      <c r="E26" s="144" t="s">
        <v>368</v>
      </c>
      <c r="G26" t="s">
        <v>311</v>
      </c>
      <c r="H26" s="144" t="s">
        <v>368</v>
      </c>
    </row>
    <row r="27" spans="1:9" ht="32.25" hidden="1" customHeight="1" x14ac:dyDescent="0.15">
      <c r="A27" s="138" t="s">
        <v>357</v>
      </c>
      <c r="B27" s="145" t="s">
        <v>369</v>
      </c>
      <c r="C27" s="37"/>
      <c r="D27" s="138" t="s">
        <v>314</v>
      </c>
      <c r="E27" s="145" t="s">
        <v>370</v>
      </c>
      <c r="H27" s="144"/>
    </row>
    <row r="28" spans="1:9" ht="27.75" customHeight="1" x14ac:dyDescent="0.15">
      <c r="A28" s="138" t="s">
        <v>357</v>
      </c>
      <c r="B28" s="145" t="s">
        <v>371</v>
      </c>
      <c r="C28" s="37"/>
      <c r="D28" s="138" t="s">
        <v>357</v>
      </c>
      <c r="E28" s="145" t="s">
        <v>372</v>
      </c>
    </row>
    <row r="29" spans="1:9" ht="29.25" customHeight="1" x14ac:dyDescent="0.15">
      <c r="A29" s="138" t="s">
        <v>373</v>
      </c>
      <c r="B29" s="145" t="s">
        <v>374</v>
      </c>
      <c r="C29" s="37"/>
      <c r="D29" s="138" t="s">
        <v>357</v>
      </c>
      <c r="E29" s="145" t="s">
        <v>375</v>
      </c>
    </row>
    <row r="30" spans="1:9" ht="33.75" customHeight="1" x14ac:dyDescent="0.15">
      <c r="A30" s="138" t="s">
        <v>373</v>
      </c>
      <c r="B30" s="145" t="s">
        <v>376</v>
      </c>
      <c r="C30" s="37"/>
      <c r="D30" s="138" t="s">
        <v>357</v>
      </c>
      <c r="E30" s="145" t="s">
        <v>377</v>
      </c>
    </row>
    <row r="31" spans="1:9" ht="37.5" customHeight="1" x14ac:dyDescent="0.15">
      <c r="A31" s="138" t="s">
        <v>373</v>
      </c>
      <c r="B31" s="145" t="s">
        <v>378</v>
      </c>
      <c r="C31" s="37"/>
      <c r="D31" s="138" t="s">
        <v>357</v>
      </c>
      <c r="E31" s="145" t="s">
        <v>379</v>
      </c>
    </row>
    <row r="32" spans="1:9" ht="30" customHeight="1" x14ac:dyDescent="0.15">
      <c r="A32" s="138" t="s">
        <v>303</v>
      </c>
      <c r="B32" s="145" t="s">
        <v>380</v>
      </c>
      <c r="C32" s="37"/>
      <c r="D32" s="138" t="s">
        <v>357</v>
      </c>
      <c r="E32" s="145" t="s">
        <v>381</v>
      </c>
    </row>
    <row r="33" spans="1:8" ht="36.75" customHeight="1" x14ac:dyDescent="0.15">
      <c r="A33" s="138" t="s">
        <v>303</v>
      </c>
      <c r="B33" s="145" t="s">
        <v>382</v>
      </c>
      <c r="C33" s="37"/>
      <c r="D33" s="138" t="s">
        <v>357</v>
      </c>
      <c r="E33" s="145" t="s">
        <v>383</v>
      </c>
    </row>
    <row r="34" spans="1:8" ht="31.5" customHeight="1" x14ac:dyDescent="0.15">
      <c r="A34" s="136" t="s">
        <v>316</v>
      </c>
      <c r="B34" s="144" t="s">
        <v>384</v>
      </c>
      <c r="C34" s="37"/>
      <c r="D34" s="138" t="s">
        <v>357</v>
      </c>
      <c r="E34" s="145" t="s">
        <v>385</v>
      </c>
    </row>
    <row r="35" spans="1:8" ht="31.5" customHeight="1" x14ac:dyDescent="0.15">
      <c r="B35" s="148"/>
      <c r="C35" s="37"/>
      <c r="D35" s="138" t="s">
        <v>357</v>
      </c>
      <c r="E35" s="145" t="s">
        <v>386</v>
      </c>
    </row>
    <row r="36" spans="1:8" ht="31.5" customHeight="1" x14ac:dyDescent="0.15">
      <c r="C36" s="37"/>
      <c r="D36" s="138" t="s">
        <v>357</v>
      </c>
      <c r="E36" s="145" t="s">
        <v>387</v>
      </c>
    </row>
    <row r="37" spans="1:8" ht="31.5" customHeight="1" x14ac:dyDescent="0.15">
      <c r="D37" s="136" t="s">
        <v>357</v>
      </c>
      <c r="E37" s="144" t="s">
        <v>388</v>
      </c>
      <c r="G37" t="s">
        <v>357</v>
      </c>
      <c r="H37" s="144" t="s">
        <v>388</v>
      </c>
    </row>
    <row r="38" spans="1:8" ht="31.5" customHeight="1" x14ac:dyDescent="0.15">
      <c r="D38" s="138" t="s">
        <v>357</v>
      </c>
      <c r="E38" s="145" t="s">
        <v>389</v>
      </c>
    </row>
    <row r="39" spans="1:8" ht="31.5" customHeight="1" x14ac:dyDescent="0.15">
      <c r="D39" s="136" t="s">
        <v>357</v>
      </c>
      <c r="E39" s="144" t="s">
        <v>390</v>
      </c>
      <c r="G39" t="s">
        <v>357</v>
      </c>
      <c r="H39" s="144" t="s">
        <v>390</v>
      </c>
    </row>
    <row r="40" spans="1:8" ht="31.5" customHeight="1" x14ac:dyDescent="0.15">
      <c r="D40" s="136" t="s">
        <v>373</v>
      </c>
      <c r="E40" s="144" t="s">
        <v>391</v>
      </c>
      <c r="G40" t="s">
        <v>357</v>
      </c>
      <c r="H40" s="144" t="s">
        <v>391</v>
      </c>
    </row>
    <row r="41" spans="1:8" ht="31.5" customHeight="1" x14ac:dyDescent="0.15">
      <c r="D41" s="136" t="s">
        <v>373</v>
      </c>
      <c r="E41" s="144" t="s">
        <v>392</v>
      </c>
      <c r="G41" t="s">
        <v>357</v>
      </c>
      <c r="H41" s="144" t="s">
        <v>392</v>
      </c>
    </row>
    <row r="42" spans="1:8" ht="31.5" customHeight="1" x14ac:dyDescent="0.15">
      <c r="D42" s="136" t="s">
        <v>373</v>
      </c>
      <c r="E42" s="144" t="s">
        <v>393</v>
      </c>
      <c r="G42" t="s">
        <v>357</v>
      </c>
      <c r="H42" s="144" t="s">
        <v>393</v>
      </c>
    </row>
    <row r="43" spans="1:8" ht="31.5" customHeight="1" x14ac:dyDescent="0.15">
      <c r="D43" s="136" t="s">
        <v>373</v>
      </c>
      <c r="E43" s="144" t="s">
        <v>394</v>
      </c>
      <c r="G43" t="s">
        <v>373</v>
      </c>
      <c r="H43" s="144" t="s">
        <v>394</v>
      </c>
    </row>
    <row r="44" spans="1:8" ht="31.5" customHeight="1" x14ac:dyDescent="0.15">
      <c r="D44" s="136" t="s">
        <v>373</v>
      </c>
      <c r="E44" s="144" t="s">
        <v>395</v>
      </c>
      <c r="G44" t="s">
        <v>373</v>
      </c>
      <c r="H44" s="144" t="s">
        <v>395</v>
      </c>
    </row>
    <row r="45" spans="1:8" ht="31.5" customHeight="1" x14ac:dyDescent="0.15">
      <c r="D45" s="136" t="s">
        <v>373</v>
      </c>
      <c r="E45" s="144" t="s">
        <v>396</v>
      </c>
      <c r="G45" t="s">
        <v>373</v>
      </c>
      <c r="H45" s="144" t="s">
        <v>396</v>
      </c>
    </row>
    <row r="46" spans="1:8" ht="31.5" customHeight="1" x14ac:dyDescent="0.15">
      <c r="D46" s="136" t="s">
        <v>373</v>
      </c>
      <c r="E46" s="144" t="s">
        <v>397</v>
      </c>
      <c r="G46" t="s">
        <v>373</v>
      </c>
      <c r="H46" s="144" t="s">
        <v>397</v>
      </c>
    </row>
    <row r="47" spans="1:8" ht="28" x14ac:dyDescent="0.15">
      <c r="D47" s="138" t="s">
        <v>311</v>
      </c>
      <c r="E47" s="145" t="s">
        <v>307</v>
      </c>
    </row>
    <row r="48" spans="1:8" ht="42" x14ac:dyDescent="0.15">
      <c r="D48" s="138" t="s">
        <v>311</v>
      </c>
      <c r="E48" s="145" t="s">
        <v>309</v>
      </c>
    </row>
    <row r="49" spans="4:8" ht="74.25" customHeight="1" x14ac:dyDescent="0.15">
      <c r="D49" s="138" t="s">
        <v>311</v>
      </c>
      <c r="E49" s="145" t="s">
        <v>398</v>
      </c>
    </row>
    <row r="50" spans="4:8" ht="53.25" customHeight="1" x14ac:dyDescent="0.15">
      <c r="D50" s="138" t="s">
        <v>303</v>
      </c>
      <c r="E50" s="145" t="s">
        <v>399</v>
      </c>
    </row>
    <row r="51" spans="4:8" ht="30.75" customHeight="1" x14ac:dyDescent="0.15">
      <c r="D51" s="138" t="s">
        <v>311</v>
      </c>
      <c r="E51" s="145" t="s">
        <v>400</v>
      </c>
    </row>
    <row r="52" spans="4:8" ht="28" x14ac:dyDescent="0.15">
      <c r="D52" s="138" t="s">
        <v>316</v>
      </c>
      <c r="E52" s="149" t="s">
        <v>401</v>
      </c>
    </row>
    <row r="53" spans="4:8" ht="28" x14ac:dyDescent="0.15">
      <c r="D53" s="138" t="s">
        <v>316</v>
      </c>
      <c r="E53" s="149" t="s">
        <v>402</v>
      </c>
    </row>
    <row r="54" spans="4:8" ht="27" customHeight="1" x14ac:dyDescent="0.15">
      <c r="D54" s="136" t="s">
        <v>316</v>
      </c>
      <c r="E54" s="148" t="s">
        <v>403</v>
      </c>
      <c r="H54" s="148" t="s">
        <v>403</v>
      </c>
    </row>
    <row r="55" spans="4:8" ht="30.75" customHeight="1" x14ac:dyDescent="0.15">
      <c r="D55" s="136" t="s">
        <v>316</v>
      </c>
      <c r="E55" s="148" t="s">
        <v>404</v>
      </c>
      <c r="H55" s="148" t="s">
        <v>404</v>
      </c>
    </row>
    <row r="56" spans="4:8" ht="30.75" customHeight="1" x14ac:dyDescent="0.15">
      <c r="D56" s="136" t="s">
        <v>316</v>
      </c>
      <c r="E56" s="148" t="s">
        <v>405</v>
      </c>
      <c r="H56" s="148" t="s">
        <v>405</v>
      </c>
    </row>
    <row r="57" spans="4:8" ht="42" x14ac:dyDescent="0.15">
      <c r="D57" s="138" t="s">
        <v>303</v>
      </c>
      <c r="E57" s="145" t="s">
        <v>406</v>
      </c>
    </row>
    <row r="58" spans="4:8" ht="28" x14ac:dyDescent="0.15">
      <c r="D58" s="138" t="s">
        <v>314</v>
      </c>
      <c r="E58" s="145" t="s">
        <v>352</v>
      </c>
    </row>
    <row r="59" spans="4:8" x14ac:dyDescent="0.15">
      <c r="D59" s="138" t="s">
        <v>311</v>
      </c>
      <c r="E59" s="135" t="s">
        <v>407</v>
      </c>
    </row>
    <row r="60" spans="4:8" x14ac:dyDescent="0.15">
      <c r="D60" s="138" t="s">
        <v>311</v>
      </c>
      <c r="E60" s="135" t="s">
        <v>408</v>
      </c>
    </row>
  </sheetData>
  <autoFilter ref="A5:M34" xr:uid="{2B2DC517-C76E-4EC8-B1B8-3CA233DF20ED}">
    <filterColumn colId="3">
      <filters>
        <filter val="MS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22338-0C80-4AFC-BF63-AEE7EACE607E}">
  <dimension ref="A1:AE131"/>
  <sheetViews>
    <sheetView workbookViewId="0">
      <selection activeCell="H19" sqref="H19"/>
    </sheetView>
  </sheetViews>
  <sheetFormatPr baseColWidth="10" defaultColWidth="8.83203125" defaultRowHeight="12.75" customHeight="1" x14ac:dyDescent="0.15"/>
  <cols>
    <col min="2" max="2" width="20.5" customWidth="1"/>
    <col min="3" max="4" width="27" customWidth="1"/>
    <col min="6" max="6" width="12.33203125" customWidth="1"/>
    <col min="7" max="7" width="13.83203125" customWidth="1"/>
    <col min="8" max="8" width="27.5" customWidth="1"/>
    <col min="9" max="9" width="27.33203125" customWidth="1"/>
    <col min="10" max="11" width="18.83203125" customWidth="1"/>
  </cols>
  <sheetData>
    <row r="1" spans="1:31" ht="28" x14ac:dyDescent="0.15">
      <c r="A1" s="67" t="s">
        <v>253</v>
      </c>
      <c r="B1" s="68" t="s">
        <v>409</v>
      </c>
      <c r="C1" s="68" t="s">
        <v>410</v>
      </c>
      <c r="D1" s="68" t="s">
        <v>411</v>
      </c>
      <c r="E1" s="67" t="s">
        <v>259</v>
      </c>
      <c r="F1" s="69" t="s">
        <v>260</v>
      </c>
      <c r="G1" s="68" t="s">
        <v>261</v>
      </c>
      <c r="H1" s="70" t="s">
        <v>292</v>
      </c>
      <c r="I1" s="207" t="s">
        <v>263</v>
      </c>
      <c r="J1" s="230" t="s">
        <v>412</v>
      </c>
      <c r="K1" s="207" t="s">
        <v>254</v>
      </c>
    </row>
    <row r="2" spans="1:31" ht="13" x14ac:dyDescent="0.15">
      <c r="A2" s="100"/>
      <c r="B2" s="76"/>
      <c r="C2" s="120"/>
      <c r="D2" s="81"/>
      <c r="E2" s="74"/>
      <c r="F2" s="104"/>
      <c r="G2" s="75"/>
      <c r="H2" s="121"/>
      <c r="I2" s="79"/>
      <c r="J2" s="62"/>
      <c r="K2" s="101"/>
    </row>
    <row r="3" spans="1:31" ht="13" x14ac:dyDescent="0.15">
      <c r="A3" s="100"/>
      <c r="B3" s="76"/>
      <c r="C3" s="120"/>
      <c r="D3" s="81"/>
      <c r="E3" s="74"/>
      <c r="F3" s="104"/>
      <c r="G3" s="122"/>
      <c r="H3" s="123"/>
      <c r="I3" s="102"/>
      <c r="J3" s="62"/>
      <c r="K3" s="101"/>
    </row>
    <row r="4" spans="1:31" ht="13" x14ac:dyDescent="0.15">
      <c r="A4" s="100"/>
      <c r="B4" s="76"/>
      <c r="C4" s="120"/>
      <c r="D4" s="81"/>
      <c r="E4" s="74"/>
      <c r="F4" s="104"/>
      <c r="G4" s="122"/>
      <c r="H4" s="123"/>
      <c r="I4" s="102"/>
      <c r="J4" s="62"/>
      <c r="K4" s="101"/>
    </row>
    <row r="5" spans="1:31" ht="13" x14ac:dyDescent="0.15">
      <c r="A5" s="100"/>
      <c r="B5" s="76"/>
      <c r="C5" s="120"/>
      <c r="D5" s="81"/>
      <c r="E5" s="74"/>
      <c r="F5" s="104"/>
      <c r="G5" s="122"/>
      <c r="H5" s="123"/>
      <c r="I5" s="102"/>
      <c r="J5" s="62"/>
      <c r="K5" s="101"/>
    </row>
    <row r="6" spans="1:31" ht="13" x14ac:dyDescent="0.15">
      <c r="A6" s="100"/>
      <c r="B6" s="76"/>
      <c r="C6" s="120"/>
      <c r="D6" s="81"/>
      <c r="E6" s="74"/>
      <c r="F6" s="104"/>
      <c r="G6" s="122"/>
      <c r="H6" s="123"/>
      <c r="I6" s="102"/>
      <c r="J6" s="62"/>
      <c r="K6" s="101"/>
    </row>
    <row r="7" spans="1:31" ht="13" x14ac:dyDescent="0.15">
      <c r="A7" s="100"/>
      <c r="B7" s="76"/>
      <c r="C7" s="120"/>
      <c r="D7" s="81"/>
      <c r="E7" s="74"/>
      <c r="F7" s="104"/>
      <c r="G7" s="124"/>
      <c r="H7" s="123"/>
      <c r="I7" s="102"/>
      <c r="J7" s="62"/>
      <c r="K7" s="101"/>
    </row>
    <row r="8" spans="1:31" ht="13" x14ac:dyDescent="0.15">
      <c r="A8" s="100"/>
      <c r="B8" s="76"/>
      <c r="C8" s="120"/>
      <c r="D8" s="81"/>
      <c r="E8" s="74"/>
      <c r="F8" s="104"/>
      <c r="G8" s="124"/>
      <c r="H8" s="123"/>
      <c r="I8" s="102"/>
      <c r="J8" s="62"/>
      <c r="K8" s="101"/>
    </row>
    <row r="9" spans="1:31" ht="13" x14ac:dyDescent="0.15">
      <c r="A9" s="100"/>
      <c r="B9" s="76"/>
      <c r="C9" s="120"/>
      <c r="D9" s="81"/>
      <c r="E9" s="74"/>
      <c r="F9" s="104"/>
      <c r="G9" s="124"/>
      <c r="H9" s="123"/>
      <c r="I9" s="105"/>
      <c r="J9" s="62"/>
      <c r="K9" s="101"/>
    </row>
    <row r="10" spans="1:31" ht="13" x14ac:dyDescent="0.15">
      <c r="A10" s="100"/>
      <c r="B10" s="76"/>
      <c r="C10" s="120"/>
      <c r="D10" s="81"/>
      <c r="E10" s="74"/>
      <c r="F10" s="74"/>
      <c r="G10" s="124"/>
      <c r="H10" s="123"/>
      <c r="I10" s="106"/>
      <c r="J10" s="62"/>
      <c r="K10" s="101"/>
    </row>
    <row r="11" spans="1:31" ht="13" x14ac:dyDescent="0.15">
      <c r="A11" s="100"/>
      <c r="B11" s="76"/>
      <c r="C11" s="103"/>
      <c r="D11" s="81"/>
      <c r="E11" s="74"/>
      <c r="F11" s="74"/>
      <c r="G11" s="124"/>
      <c r="H11" s="123"/>
      <c r="I11" s="94"/>
      <c r="J11" s="62"/>
      <c r="K11" s="101"/>
    </row>
    <row r="12" spans="1:31" ht="13" x14ac:dyDescent="0.15">
      <c r="A12" s="100"/>
      <c r="B12" s="76"/>
      <c r="C12" s="120"/>
      <c r="D12" s="81"/>
      <c r="E12" s="74"/>
      <c r="F12" s="104"/>
      <c r="G12" s="124"/>
      <c r="H12" s="123"/>
      <c r="I12" s="106"/>
      <c r="J12" s="62"/>
      <c r="K12" s="101"/>
      <c r="AE12">
        <f>COUNTIF('Sheet 4'!$I$2:$I$38,Summary!AC12)</f>
        <v>0</v>
      </c>
    </row>
    <row r="13" spans="1:31" ht="13" x14ac:dyDescent="0.15">
      <c r="A13" s="100"/>
      <c r="B13" s="100"/>
      <c r="C13" s="103"/>
      <c r="D13" s="125"/>
      <c r="E13" s="74"/>
      <c r="F13" s="74"/>
      <c r="G13" s="124"/>
      <c r="H13" s="92"/>
      <c r="I13" s="102"/>
      <c r="J13" s="62"/>
      <c r="K13" s="101"/>
    </row>
    <row r="14" spans="1:31" ht="13" x14ac:dyDescent="0.15">
      <c r="A14" s="100"/>
      <c r="B14" s="100"/>
      <c r="C14" s="103"/>
      <c r="D14" s="125"/>
      <c r="E14" s="74"/>
      <c r="F14" s="74"/>
      <c r="G14" s="124"/>
      <c r="H14" s="92"/>
      <c r="I14" s="106"/>
      <c r="J14" s="62"/>
      <c r="K14" s="101"/>
    </row>
    <row r="15" spans="1:31" ht="13" x14ac:dyDescent="0.15">
      <c r="A15" s="100"/>
      <c r="B15" s="100"/>
      <c r="C15" s="103"/>
      <c r="D15" s="125"/>
      <c r="E15" s="74"/>
      <c r="F15" s="74"/>
      <c r="G15" s="124"/>
      <c r="H15" s="93"/>
      <c r="I15" s="102"/>
      <c r="J15" s="62"/>
      <c r="K15" s="101"/>
    </row>
    <row r="16" spans="1:31" ht="13" x14ac:dyDescent="0.15">
      <c r="A16" s="100"/>
      <c r="B16" s="100"/>
      <c r="C16" s="103"/>
      <c r="D16" s="100"/>
      <c r="E16" s="74"/>
      <c r="F16" s="74"/>
      <c r="G16" s="124"/>
      <c r="H16" s="93"/>
      <c r="I16" s="106"/>
      <c r="J16" s="62"/>
      <c r="K16" s="101"/>
    </row>
    <row r="17" spans="1:11" ht="13" x14ac:dyDescent="0.15">
      <c r="A17" s="100"/>
      <c r="B17" s="100"/>
      <c r="C17" s="103"/>
      <c r="D17" s="100"/>
      <c r="E17" s="74"/>
      <c r="F17" s="74"/>
      <c r="G17" s="124"/>
      <c r="H17" s="93"/>
      <c r="I17" s="106"/>
      <c r="J17" s="62"/>
      <c r="K17" s="101"/>
    </row>
    <row r="18" spans="1:11" ht="13" x14ac:dyDescent="0.15">
      <c r="A18" s="100"/>
      <c r="B18" s="100"/>
      <c r="C18" s="103"/>
      <c r="D18" s="100"/>
      <c r="E18" s="74"/>
      <c r="F18" s="74"/>
      <c r="G18" s="124"/>
      <c r="H18" s="93"/>
      <c r="I18" s="95"/>
      <c r="J18" s="62"/>
      <c r="K18" s="101"/>
    </row>
    <row r="19" spans="1:11" ht="13" x14ac:dyDescent="0.15">
      <c r="A19" s="100"/>
      <c r="B19" s="100"/>
      <c r="C19" s="103"/>
      <c r="D19" s="125"/>
      <c r="E19" s="74"/>
      <c r="F19" s="74"/>
      <c r="G19" s="124"/>
      <c r="H19" s="93"/>
      <c r="I19" s="106"/>
      <c r="J19" s="62"/>
      <c r="K19" s="101"/>
    </row>
    <row r="20" spans="1:11" ht="13" x14ac:dyDescent="0.15">
      <c r="A20" s="100"/>
      <c r="B20" s="100"/>
      <c r="C20" s="103"/>
      <c r="D20" s="125"/>
      <c r="E20" s="74"/>
      <c r="F20" s="74"/>
      <c r="G20" s="124"/>
      <c r="H20" s="93"/>
      <c r="I20" s="106"/>
      <c r="J20" s="62"/>
      <c r="K20" s="101"/>
    </row>
    <row r="21" spans="1:11" ht="13" x14ac:dyDescent="0.15">
      <c r="A21" s="100"/>
      <c r="B21" s="100"/>
      <c r="C21" s="99"/>
      <c r="D21" s="103"/>
      <c r="E21" s="113"/>
      <c r="F21" s="66"/>
      <c r="G21" s="52"/>
      <c r="H21" s="97"/>
      <c r="I21" s="63"/>
      <c r="J21" s="62"/>
      <c r="K21" s="62"/>
    </row>
    <row r="22" spans="1:11" ht="13" x14ac:dyDescent="0.15">
      <c r="A22" s="100"/>
      <c r="B22" s="100"/>
      <c r="C22" s="99"/>
      <c r="D22" s="126"/>
      <c r="E22" s="113"/>
      <c r="F22" s="66"/>
      <c r="G22" s="52"/>
      <c r="H22" s="97"/>
      <c r="I22" s="63"/>
      <c r="J22" s="62"/>
      <c r="K22" s="62"/>
    </row>
    <row r="23" spans="1:11" ht="13" x14ac:dyDescent="0.15">
      <c r="A23" s="100"/>
      <c r="B23" s="100"/>
      <c r="C23" s="99"/>
      <c r="D23" s="103"/>
      <c r="E23" s="113"/>
      <c r="F23" s="127"/>
      <c r="G23" s="52"/>
      <c r="H23" s="97"/>
      <c r="I23" s="63"/>
      <c r="J23" s="62"/>
      <c r="K23" s="62"/>
    </row>
    <row r="24" spans="1:11" ht="13" x14ac:dyDescent="0.15">
      <c r="A24" s="100"/>
      <c r="B24" s="100"/>
      <c r="C24" s="99"/>
      <c r="D24" s="103"/>
      <c r="E24" s="113"/>
      <c r="F24" s="127"/>
      <c r="G24" s="52"/>
      <c r="H24" s="97"/>
      <c r="I24" s="63"/>
      <c r="J24" s="62"/>
      <c r="K24" s="62"/>
    </row>
    <row r="25" spans="1:11" ht="13" x14ac:dyDescent="0.15">
      <c r="A25" s="100"/>
      <c r="B25" s="100"/>
      <c r="C25" s="99"/>
      <c r="D25" s="103"/>
      <c r="E25" s="113"/>
      <c r="F25" s="127"/>
      <c r="G25" s="52"/>
      <c r="H25" s="96"/>
      <c r="I25" s="63"/>
      <c r="J25" s="62"/>
      <c r="K25" s="62"/>
    </row>
    <row r="26" spans="1:11" ht="13" x14ac:dyDescent="0.15">
      <c r="A26" s="100"/>
      <c r="B26" s="100"/>
      <c r="C26" s="99"/>
      <c r="D26" s="100"/>
      <c r="E26" s="114"/>
      <c r="F26" s="75"/>
      <c r="G26" s="52"/>
      <c r="H26" s="96"/>
      <c r="I26" s="63"/>
      <c r="J26" s="62"/>
      <c r="K26" s="62"/>
    </row>
    <row r="27" spans="1:11" ht="13" x14ac:dyDescent="0.15">
      <c r="A27" s="100"/>
      <c r="B27" s="100"/>
      <c r="C27" s="99"/>
      <c r="D27" s="100"/>
      <c r="E27" s="114"/>
      <c r="F27" s="75"/>
      <c r="G27" s="52"/>
      <c r="H27" s="96"/>
      <c r="I27" s="63"/>
      <c r="J27" s="62"/>
      <c r="K27" s="62"/>
    </row>
    <row r="28" spans="1:11" ht="13" x14ac:dyDescent="0.15">
      <c r="A28" s="100"/>
      <c r="B28" s="100"/>
      <c r="C28" s="99"/>
      <c r="D28" s="100"/>
      <c r="E28" s="114"/>
      <c r="F28" s="75"/>
      <c r="G28" s="52"/>
      <c r="H28" s="96"/>
      <c r="I28" s="63"/>
      <c r="J28" s="62"/>
      <c r="K28" s="62"/>
    </row>
    <row r="29" spans="1:11" ht="13" x14ac:dyDescent="0.15">
      <c r="A29" s="100"/>
      <c r="B29" s="100"/>
      <c r="C29" s="99"/>
      <c r="D29" s="100"/>
      <c r="E29" s="114"/>
      <c r="F29" s="75"/>
      <c r="G29" s="52"/>
      <c r="H29" s="98"/>
      <c r="I29" s="63"/>
      <c r="J29" s="62"/>
      <c r="K29" s="62"/>
    </row>
    <row r="30" spans="1:11" ht="13" x14ac:dyDescent="0.15">
      <c r="A30" s="100"/>
      <c r="B30" s="100"/>
      <c r="C30" s="99"/>
      <c r="D30" s="100"/>
      <c r="E30" s="114"/>
      <c r="F30" s="75"/>
      <c r="G30" s="52"/>
      <c r="H30" s="96"/>
      <c r="I30" s="63"/>
      <c r="J30" s="62"/>
      <c r="K30" s="62"/>
    </row>
    <row r="31" spans="1:11" ht="13" x14ac:dyDescent="0.15">
      <c r="A31" s="100"/>
      <c r="B31" s="125"/>
      <c r="C31" s="99"/>
      <c r="D31" s="125"/>
      <c r="E31" s="114"/>
      <c r="F31" s="75"/>
      <c r="G31" s="52"/>
      <c r="H31" s="97"/>
      <c r="I31" s="63"/>
      <c r="J31" s="62"/>
      <c r="K31" s="62"/>
    </row>
    <row r="32" spans="1:11" ht="13" x14ac:dyDescent="0.15">
      <c r="A32" s="100"/>
      <c r="B32" s="125"/>
      <c r="C32" s="99"/>
      <c r="D32" s="125"/>
      <c r="E32" s="114"/>
      <c r="F32" s="75"/>
      <c r="G32" s="52"/>
      <c r="H32" s="96"/>
      <c r="I32" s="63"/>
      <c r="J32" s="62"/>
      <c r="K32" s="62"/>
    </row>
    <row r="33" spans="1:11" ht="13" x14ac:dyDescent="0.15">
      <c r="A33" s="100"/>
      <c r="B33" s="100"/>
      <c r="C33" s="99"/>
      <c r="D33" s="125"/>
      <c r="E33" s="114"/>
      <c r="F33" s="75"/>
      <c r="G33" s="52"/>
      <c r="H33" s="97"/>
      <c r="I33" s="63"/>
      <c r="J33" s="62"/>
      <c r="K33" s="62"/>
    </row>
    <row r="34" spans="1:11" ht="13" x14ac:dyDescent="0.15">
      <c r="A34" s="100"/>
      <c r="B34" s="100"/>
      <c r="C34" s="99"/>
      <c r="D34" s="125"/>
      <c r="E34" s="114"/>
      <c r="F34" s="75"/>
      <c r="G34" s="52"/>
      <c r="H34" s="97"/>
      <c r="I34" s="63"/>
      <c r="J34" s="62"/>
      <c r="K34" s="62"/>
    </row>
    <row r="35" spans="1:11" ht="13" x14ac:dyDescent="0.15">
      <c r="A35" s="100"/>
      <c r="B35" s="100"/>
      <c r="C35" s="99"/>
      <c r="D35" s="125"/>
      <c r="E35" s="114"/>
      <c r="F35" s="75"/>
      <c r="G35" s="52"/>
      <c r="H35" s="97"/>
      <c r="I35" s="63"/>
      <c r="J35" s="62"/>
      <c r="K35" s="62"/>
    </row>
    <row r="36" spans="1:11" ht="13" x14ac:dyDescent="0.15">
      <c r="A36" s="100"/>
      <c r="B36" s="100"/>
      <c r="C36" s="99"/>
      <c r="D36" s="125"/>
      <c r="E36" s="74"/>
      <c r="F36" s="75"/>
      <c r="G36" s="52"/>
      <c r="H36" s="97"/>
      <c r="I36" s="63"/>
      <c r="J36" s="62"/>
      <c r="K36" s="62"/>
    </row>
    <row r="37" spans="1:11" ht="13" x14ac:dyDescent="0.15">
      <c r="A37" s="100"/>
      <c r="B37" s="125"/>
      <c r="C37" s="99"/>
      <c r="D37" s="125"/>
      <c r="E37" s="74"/>
      <c r="F37" s="75"/>
      <c r="G37" s="52"/>
      <c r="H37" s="96"/>
      <c r="I37" s="63"/>
      <c r="J37" s="62"/>
      <c r="K37" s="62"/>
    </row>
    <row r="38" spans="1:11" ht="13" x14ac:dyDescent="0.15">
      <c r="A38" s="100"/>
      <c r="B38" s="89"/>
      <c r="C38" s="99"/>
      <c r="D38" s="125"/>
      <c r="E38" s="52"/>
      <c r="F38" s="66"/>
      <c r="G38" s="52"/>
      <c r="H38" s="97"/>
      <c r="I38" s="63"/>
      <c r="J38" s="62"/>
      <c r="K38" s="62"/>
    </row>
    <row r="39" spans="1:11" ht="13" x14ac:dyDescent="0.15">
      <c r="A39" s="100"/>
      <c r="B39" s="90"/>
      <c r="C39" s="99"/>
      <c r="D39" s="125"/>
      <c r="E39" s="52"/>
      <c r="F39" s="66"/>
      <c r="G39" s="52"/>
      <c r="H39" s="128"/>
      <c r="I39" s="63"/>
      <c r="J39" s="62"/>
      <c r="K39" s="62"/>
    </row>
    <row r="40" spans="1:11" ht="13" x14ac:dyDescent="0.15">
      <c r="A40" s="100"/>
      <c r="B40" s="100"/>
      <c r="C40" s="99"/>
      <c r="D40" s="125"/>
      <c r="E40" s="74"/>
      <c r="F40" s="66"/>
      <c r="G40" s="52"/>
      <c r="H40" s="96"/>
      <c r="I40" s="63"/>
      <c r="J40" s="62"/>
      <c r="K40" s="62"/>
    </row>
    <row r="41" spans="1:11" ht="13" x14ac:dyDescent="0.15">
      <c r="A41" s="100"/>
      <c r="B41" s="125"/>
      <c r="C41" s="99"/>
      <c r="D41" s="125"/>
      <c r="E41" s="52"/>
      <c r="F41" s="66"/>
      <c r="G41" s="52"/>
      <c r="H41" s="96"/>
      <c r="I41" s="63"/>
      <c r="J41" s="62"/>
      <c r="K41" s="62"/>
    </row>
    <row r="42" spans="1:11" ht="13" x14ac:dyDescent="0.15">
      <c r="A42" s="100"/>
      <c r="B42" s="76"/>
      <c r="C42" s="76"/>
      <c r="D42" s="103"/>
      <c r="E42" s="52"/>
      <c r="F42" s="66"/>
      <c r="G42" s="52"/>
      <c r="H42" s="96"/>
      <c r="I42" s="63"/>
      <c r="J42" s="62"/>
      <c r="K42" s="62"/>
    </row>
    <row r="43" spans="1:11" ht="13" x14ac:dyDescent="0.15">
      <c r="A43" s="100"/>
      <c r="B43" s="76"/>
      <c r="C43" s="76"/>
      <c r="D43" s="103"/>
      <c r="E43" s="52"/>
      <c r="F43" s="66"/>
      <c r="G43" s="52"/>
      <c r="H43" s="96"/>
      <c r="I43" s="63"/>
      <c r="J43" s="62"/>
      <c r="K43" s="62"/>
    </row>
    <row r="44" spans="1:11" ht="13" x14ac:dyDescent="0.15">
      <c r="A44" s="100"/>
      <c r="B44" s="76"/>
      <c r="C44" s="76"/>
      <c r="D44" s="103"/>
      <c r="E44" s="52"/>
      <c r="F44" s="127"/>
      <c r="G44" s="52"/>
      <c r="H44" s="150"/>
      <c r="I44" s="63"/>
      <c r="J44" s="62"/>
      <c r="K44" s="62"/>
    </row>
    <row r="45" spans="1:11" ht="13" x14ac:dyDescent="0.15">
      <c r="A45" s="100"/>
      <c r="B45" s="76"/>
      <c r="C45" s="76"/>
      <c r="D45" s="103"/>
      <c r="E45" s="52"/>
      <c r="F45" s="127"/>
      <c r="G45" s="52"/>
      <c r="H45" s="96"/>
      <c r="I45" s="63"/>
      <c r="J45" s="62"/>
      <c r="K45" s="62"/>
    </row>
    <row r="46" spans="1:11" ht="13" x14ac:dyDescent="0.15">
      <c r="A46" s="100"/>
      <c r="B46" s="76"/>
      <c r="C46" s="76"/>
      <c r="D46" s="103"/>
      <c r="E46" s="52"/>
      <c r="F46" s="127"/>
      <c r="G46" s="52"/>
      <c r="H46" s="96"/>
      <c r="I46" s="63"/>
      <c r="J46" s="62"/>
      <c r="K46" s="62"/>
    </row>
    <row r="47" spans="1:11" ht="13" x14ac:dyDescent="0.15">
      <c r="A47" s="100"/>
      <c r="B47" s="76"/>
      <c r="C47" s="76"/>
      <c r="D47" s="100"/>
      <c r="E47" s="52"/>
      <c r="F47" s="75"/>
      <c r="G47" s="52"/>
      <c r="H47" s="96"/>
      <c r="I47" s="63"/>
      <c r="J47" s="62"/>
      <c r="K47" s="62"/>
    </row>
    <row r="48" spans="1:11" ht="13" x14ac:dyDescent="0.15">
      <c r="A48" s="100"/>
      <c r="B48" s="100"/>
      <c r="C48" s="76"/>
      <c r="D48" s="100"/>
      <c r="E48" s="52"/>
      <c r="F48" s="75"/>
      <c r="G48" s="52"/>
      <c r="H48" s="96"/>
      <c r="I48" s="63"/>
      <c r="J48" s="62"/>
      <c r="K48" s="62"/>
    </row>
    <row r="49" spans="1:11" ht="13" x14ac:dyDescent="0.15">
      <c r="A49" s="100"/>
      <c r="B49" s="100"/>
      <c r="C49" s="99"/>
      <c r="D49" s="100"/>
      <c r="E49" s="52"/>
      <c r="F49" s="75"/>
      <c r="G49" s="52"/>
      <c r="H49" s="96"/>
      <c r="I49" s="63"/>
      <c r="J49" s="62"/>
      <c r="K49" s="62"/>
    </row>
    <row r="50" spans="1:11" ht="13" x14ac:dyDescent="0.15">
      <c r="A50" s="100"/>
      <c r="B50" s="100"/>
      <c r="C50" s="76"/>
      <c r="D50" s="100"/>
      <c r="E50" s="75"/>
      <c r="F50" s="75"/>
      <c r="G50" s="52"/>
      <c r="H50" s="96"/>
      <c r="I50" s="63"/>
      <c r="J50" s="62"/>
      <c r="K50" s="62"/>
    </row>
    <row r="51" spans="1:11" ht="13" x14ac:dyDescent="0.15">
      <c r="A51" s="100"/>
      <c r="B51" s="100"/>
      <c r="C51" s="76"/>
      <c r="D51" s="100"/>
      <c r="E51" s="75"/>
      <c r="F51" s="75"/>
      <c r="G51" s="52"/>
      <c r="H51" s="96"/>
      <c r="I51" s="63"/>
      <c r="J51" s="62"/>
      <c r="K51" s="62"/>
    </row>
    <row r="52" spans="1:11" ht="13" x14ac:dyDescent="0.15">
      <c r="A52" s="100"/>
      <c r="B52" s="100"/>
      <c r="C52" s="76"/>
      <c r="D52" s="100"/>
      <c r="E52" s="75"/>
      <c r="F52" s="75"/>
      <c r="G52" s="52"/>
      <c r="H52" s="96"/>
      <c r="I52" s="63"/>
      <c r="J52" s="62"/>
      <c r="K52" s="62"/>
    </row>
    <row r="53" spans="1:11" ht="13" x14ac:dyDescent="0.15">
      <c r="A53" s="100"/>
      <c r="B53" s="125"/>
      <c r="C53" s="76"/>
      <c r="D53" s="125"/>
      <c r="E53" s="52"/>
      <c r="F53" s="75"/>
      <c r="G53" s="52"/>
      <c r="H53" s="96"/>
      <c r="I53" s="63"/>
      <c r="J53" s="62"/>
      <c r="K53" s="62"/>
    </row>
    <row r="54" spans="1:11" ht="13" x14ac:dyDescent="0.15">
      <c r="A54" s="100"/>
      <c r="B54" s="125"/>
      <c r="C54" s="76"/>
      <c r="D54" s="125"/>
      <c r="E54" s="52"/>
      <c r="F54" s="75"/>
      <c r="G54" s="52"/>
      <c r="H54" s="96"/>
      <c r="I54" s="63"/>
      <c r="J54" s="62"/>
      <c r="K54" s="62"/>
    </row>
    <row r="55" spans="1:11" ht="13" x14ac:dyDescent="0.15">
      <c r="A55" s="100"/>
      <c r="B55" s="76"/>
      <c r="C55" s="76"/>
      <c r="D55" s="125"/>
      <c r="E55" s="52"/>
      <c r="F55" s="75"/>
      <c r="G55" s="52"/>
      <c r="H55" s="96"/>
      <c r="I55" s="63"/>
      <c r="J55" s="62"/>
      <c r="K55" s="62"/>
    </row>
    <row r="56" spans="1:11" ht="13" x14ac:dyDescent="0.15">
      <c r="A56" s="100"/>
      <c r="B56" s="125"/>
      <c r="C56" s="76"/>
      <c r="D56" s="125"/>
      <c r="E56" s="52"/>
      <c r="F56" s="75"/>
      <c r="G56" s="52"/>
      <c r="H56" s="96"/>
      <c r="I56" s="63"/>
      <c r="J56" s="62"/>
      <c r="K56" s="62"/>
    </row>
    <row r="57" spans="1:11" ht="13" x14ac:dyDescent="0.15">
      <c r="A57" s="100"/>
      <c r="B57" s="89"/>
      <c r="C57" s="129"/>
      <c r="D57" s="125"/>
      <c r="E57" s="52"/>
      <c r="F57" s="75"/>
      <c r="G57" s="52"/>
      <c r="H57" s="96"/>
      <c r="I57" s="63"/>
      <c r="J57" s="62"/>
      <c r="K57" s="62"/>
    </row>
    <row r="58" spans="1:11" ht="13" x14ac:dyDescent="0.15">
      <c r="A58" s="100"/>
      <c r="B58" s="90"/>
      <c r="C58" s="129"/>
      <c r="D58" s="125"/>
      <c r="E58" s="52"/>
      <c r="F58" s="75"/>
      <c r="G58" s="52"/>
      <c r="H58" s="96"/>
      <c r="I58" s="63"/>
      <c r="J58" s="62"/>
      <c r="K58" s="62"/>
    </row>
    <row r="59" spans="1:11" ht="13" x14ac:dyDescent="0.15">
      <c r="A59" s="47"/>
      <c r="B59" s="50"/>
      <c r="C59" s="51"/>
      <c r="D59" s="51"/>
      <c r="E59" s="52"/>
      <c r="F59" s="66"/>
      <c r="G59" s="52"/>
      <c r="H59" s="64"/>
      <c r="I59" s="63"/>
      <c r="J59" s="62"/>
      <c r="K59" s="62"/>
    </row>
    <row r="60" spans="1:11" ht="13" x14ac:dyDescent="0.15">
      <c r="A60" s="89"/>
      <c r="B60" s="89"/>
      <c r="C60" s="115"/>
      <c r="D60" s="116"/>
      <c r="E60" s="66"/>
      <c r="F60" s="66"/>
      <c r="G60" s="52"/>
      <c r="H60" s="96"/>
      <c r="I60" s="63"/>
      <c r="J60" s="62"/>
      <c r="K60" s="62"/>
    </row>
    <row r="61" spans="1:11" ht="13" x14ac:dyDescent="0.15">
      <c r="A61" s="89"/>
      <c r="B61" s="89"/>
      <c r="C61" s="115"/>
      <c r="D61" s="116"/>
      <c r="E61" s="66"/>
      <c r="F61" s="66"/>
      <c r="G61" s="52"/>
      <c r="H61" s="96"/>
      <c r="I61" s="63"/>
      <c r="J61" s="62"/>
      <c r="K61" s="62"/>
    </row>
    <row r="62" spans="1:11" ht="13" x14ac:dyDescent="0.15">
      <c r="A62" s="89"/>
      <c r="B62" s="89"/>
      <c r="C62" s="115"/>
      <c r="D62" s="116"/>
      <c r="E62" s="66"/>
      <c r="F62" s="66"/>
      <c r="G62" s="52"/>
      <c r="H62" s="96"/>
      <c r="I62" s="63"/>
      <c r="J62" s="62"/>
      <c r="K62" s="62"/>
    </row>
    <row r="63" spans="1:11" ht="13" x14ac:dyDescent="0.15">
      <c r="A63" s="89"/>
      <c r="B63" s="89"/>
      <c r="C63" s="115"/>
      <c r="D63" s="116"/>
      <c r="E63" s="66"/>
      <c r="F63" s="66"/>
      <c r="G63" s="52"/>
      <c r="H63" s="96"/>
      <c r="I63" s="63"/>
      <c r="J63" s="62"/>
      <c r="K63" s="62"/>
    </row>
    <row r="64" spans="1:11" ht="13" x14ac:dyDescent="0.15">
      <c r="A64" s="90"/>
      <c r="B64" s="90"/>
      <c r="C64" s="117"/>
      <c r="D64" s="118"/>
      <c r="E64" s="66"/>
      <c r="F64" s="66"/>
      <c r="G64" s="52"/>
      <c r="H64" s="96"/>
      <c r="I64" s="63"/>
      <c r="J64" s="62"/>
      <c r="K64" s="62"/>
    </row>
    <row r="65" spans="1:11" ht="13" x14ac:dyDescent="0.15">
      <c r="A65" s="89"/>
      <c r="B65" s="89"/>
      <c r="C65" s="115"/>
      <c r="D65" s="115"/>
      <c r="E65" s="66"/>
      <c r="F65" s="66"/>
      <c r="G65" s="52"/>
      <c r="H65" s="96"/>
      <c r="I65" s="63"/>
      <c r="J65" s="62"/>
      <c r="K65" s="62"/>
    </row>
    <row r="66" spans="1:11" ht="13" x14ac:dyDescent="0.15">
      <c r="A66" s="89"/>
      <c r="B66" s="89"/>
      <c r="C66" s="115"/>
      <c r="D66" s="115"/>
      <c r="E66" s="66"/>
      <c r="F66" s="66"/>
      <c r="G66" s="52"/>
      <c r="H66" s="96"/>
      <c r="I66" s="63"/>
      <c r="J66" s="62"/>
      <c r="K66" s="62"/>
    </row>
    <row r="67" spans="1:11" ht="13" x14ac:dyDescent="0.15">
      <c r="A67" s="89"/>
      <c r="B67" s="89"/>
      <c r="C67" s="115"/>
      <c r="D67" s="115"/>
      <c r="E67" s="66"/>
      <c r="F67" s="66"/>
      <c r="G67" s="52"/>
      <c r="H67" s="96"/>
      <c r="I67" s="63"/>
      <c r="J67" s="62"/>
      <c r="K67" s="62"/>
    </row>
    <row r="68" spans="1:11" ht="13" x14ac:dyDescent="0.15">
      <c r="A68" s="89"/>
      <c r="B68" s="89"/>
      <c r="C68" s="115"/>
      <c r="D68" s="115"/>
      <c r="E68" s="66"/>
      <c r="F68" s="66"/>
      <c r="G68" s="52"/>
      <c r="H68" s="96"/>
      <c r="I68" s="63"/>
      <c r="J68" s="62"/>
      <c r="K68" s="62"/>
    </row>
    <row r="69" spans="1:11" ht="13" x14ac:dyDescent="0.15">
      <c r="A69" s="89"/>
      <c r="B69" s="89"/>
      <c r="C69" s="115"/>
      <c r="D69" s="115"/>
      <c r="E69" s="66"/>
      <c r="F69" s="66"/>
      <c r="G69" s="52"/>
      <c r="H69" s="96"/>
      <c r="I69" s="63"/>
      <c r="J69" s="62"/>
      <c r="K69" s="62"/>
    </row>
    <row r="70" spans="1:11" ht="13" x14ac:dyDescent="0.15">
      <c r="A70" s="100"/>
      <c r="B70" s="130"/>
      <c r="C70" s="119"/>
      <c r="D70" s="129"/>
      <c r="E70" s="66"/>
      <c r="F70" s="66"/>
      <c r="G70" s="52"/>
      <c r="H70" s="96"/>
      <c r="I70" s="63"/>
      <c r="J70" s="62"/>
      <c r="K70" s="62"/>
    </row>
    <row r="71" spans="1:11" ht="13" x14ac:dyDescent="0.15">
      <c r="A71" s="100"/>
      <c r="B71" s="76"/>
      <c r="C71" s="83"/>
      <c r="D71" s="81"/>
      <c r="E71" s="74"/>
      <c r="F71" s="104"/>
      <c r="G71" s="74"/>
      <c r="H71" s="91"/>
      <c r="I71" s="77"/>
      <c r="J71" s="62"/>
      <c r="K71" s="101"/>
    </row>
    <row r="72" spans="1:11" ht="13" x14ac:dyDescent="0.15">
      <c r="A72" s="100"/>
      <c r="B72" s="76"/>
      <c r="C72" s="83"/>
      <c r="D72" s="81"/>
      <c r="E72" s="74"/>
      <c r="F72" s="104"/>
      <c r="G72" s="74"/>
      <c r="H72" s="91"/>
      <c r="I72" s="77"/>
      <c r="J72" s="62"/>
      <c r="K72" s="101"/>
    </row>
    <row r="73" spans="1:11" ht="13" x14ac:dyDescent="0.15">
      <c r="A73" s="100"/>
      <c r="B73" s="76"/>
      <c r="C73" s="83"/>
      <c r="D73" s="81"/>
      <c r="E73" s="74"/>
      <c r="F73" s="104"/>
      <c r="G73" s="74"/>
      <c r="H73" s="91"/>
      <c r="I73" s="77"/>
      <c r="J73" s="62"/>
      <c r="K73" s="101"/>
    </row>
    <row r="74" spans="1:11" ht="13" x14ac:dyDescent="0.15">
      <c r="A74" s="100"/>
      <c r="B74" s="76"/>
      <c r="C74" s="83"/>
      <c r="D74" s="81"/>
      <c r="E74" s="74"/>
      <c r="F74" s="104"/>
      <c r="G74" s="74"/>
      <c r="H74" s="91"/>
      <c r="I74" s="77"/>
      <c r="J74" s="62"/>
      <c r="K74" s="101"/>
    </row>
    <row r="75" spans="1:11" ht="13" x14ac:dyDescent="0.15">
      <c r="A75" s="100"/>
      <c r="B75" s="76"/>
      <c r="C75" s="83"/>
      <c r="D75" s="81"/>
      <c r="E75" s="74"/>
      <c r="F75" s="104"/>
      <c r="G75" s="74"/>
      <c r="H75" s="91"/>
      <c r="I75" s="77"/>
      <c r="J75" s="62"/>
      <c r="K75" s="101"/>
    </row>
    <row r="76" spans="1:11" ht="13" x14ac:dyDescent="0.15">
      <c r="A76" s="100"/>
      <c r="B76" s="76"/>
      <c r="C76" s="103"/>
      <c r="D76" s="81"/>
      <c r="E76" s="75"/>
      <c r="F76" s="107"/>
      <c r="G76" s="74"/>
      <c r="H76" s="91"/>
      <c r="I76" s="108"/>
      <c r="J76" s="62"/>
      <c r="K76" s="101"/>
    </row>
    <row r="77" spans="1:11" ht="13" x14ac:dyDescent="0.15">
      <c r="A77" s="100"/>
      <c r="B77" s="76"/>
      <c r="C77" s="83"/>
      <c r="D77" s="81"/>
      <c r="E77" s="74"/>
      <c r="F77" s="104"/>
      <c r="G77" s="74"/>
      <c r="H77" s="91"/>
      <c r="I77" s="77"/>
      <c r="J77" s="62"/>
      <c r="K77" s="101"/>
    </row>
    <row r="78" spans="1:11" ht="13" x14ac:dyDescent="0.15">
      <c r="A78" s="100"/>
      <c r="B78" s="76"/>
      <c r="C78" s="83"/>
      <c r="D78" s="81"/>
      <c r="E78" s="74"/>
      <c r="F78" s="104"/>
      <c r="G78" s="74"/>
      <c r="H78" s="109"/>
      <c r="I78" s="76"/>
      <c r="J78" s="62"/>
      <c r="K78" s="101"/>
    </row>
    <row r="79" spans="1:11" ht="13" x14ac:dyDescent="0.15">
      <c r="A79" s="100"/>
      <c r="B79" s="76"/>
      <c r="C79" s="103"/>
      <c r="D79" s="82"/>
      <c r="E79" s="110"/>
      <c r="F79" s="111"/>
      <c r="G79" s="110"/>
      <c r="H79" s="91"/>
      <c r="I79" s="101"/>
      <c r="J79" s="62"/>
      <c r="K79" s="101"/>
    </row>
    <row r="80" spans="1:11" ht="13" x14ac:dyDescent="0.15">
      <c r="A80" s="100"/>
      <c r="B80" s="76"/>
      <c r="C80" s="103"/>
      <c r="D80" s="81"/>
      <c r="E80" s="75"/>
      <c r="F80" s="107"/>
      <c r="G80" s="74"/>
      <c r="H80" s="91"/>
      <c r="I80" s="101"/>
      <c r="J80" s="62"/>
      <c r="K80" s="101"/>
    </row>
    <row r="81" spans="1:11" ht="13" x14ac:dyDescent="0.15">
      <c r="A81" s="100"/>
      <c r="B81" s="76"/>
      <c r="C81" s="103"/>
      <c r="D81" s="81"/>
      <c r="E81" s="74"/>
      <c r="F81" s="104"/>
      <c r="G81" s="74"/>
      <c r="H81" s="91"/>
      <c r="I81" s="78"/>
      <c r="J81" s="62"/>
      <c r="K81" s="101"/>
    </row>
    <row r="82" spans="1:11" ht="13" x14ac:dyDescent="0.15">
      <c r="A82" s="100"/>
      <c r="B82" s="76"/>
      <c r="C82" s="83"/>
      <c r="D82" s="81"/>
      <c r="E82" s="74"/>
      <c r="F82" s="104"/>
      <c r="G82" s="74"/>
      <c r="H82" s="91"/>
      <c r="I82" s="84"/>
      <c r="J82" s="62"/>
      <c r="K82" s="101"/>
    </row>
    <row r="83" spans="1:11" ht="13" x14ac:dyDescent="0.15">
      <c r="A83" s="100"/>
      <c r="B83" s="76"/>
      <c r="C83" s="103"/>
      <c r="D83" s="81"/>
      <c r="E83" s="74"/>
      <c r="F83" s="104"/>
      <c r="G83" s="74"/>
      <c r="H83" s="91"/>
      <c r="I83" s="108"/>
      <c r="J83" s="62"/>
      <c r="K83" s="101"/>
    </row>
    <row r="84" spans="1:11" ht="13" x14ac:dyDescent="0.15">
      <c r="A84" s="100"/>
      <c r="B84" s="76"/>
      <c r="C84" s="83"/>
      <c r="D84" s="81"/>
      <c r="E84" s="74"/>
      <c r="F84" s="104"/>
      <c r="G84" s="74"/>
      <c r="H84" s="96"/>
      <c r="I84" s="79"/>
      <c r="J84" s="62"/>
      <c r="K84" s="101"/>
    </row>
    <row r="85" spans="1:11" ht="13" x14ac:dyDescent="0.15">
      <c r="A85" s="100"/>
      <c r="B85" s="76"/>
      <c r="C85" s="103"/>
      <c r="D85" s="81"/>
      <c r="E85" s="74"/>
      <c r="F85" s="104"/>
      <c r="G85" s="74"/>
      <c r="H85" s="91"/>
      <c r="I85" s="108"/>
      <c r="J85" s="62"/>
      <c r="K85" s="101"/>
    </row>
    <row r="86" spans="1:11" ht="13" x14ac:dyDescent="0.15">
      <c r="A86" s="100"/>
      <c r="B86" s="76"/>
      <c r="C86" s="103"/>
      <c r="D86" s="81"/>
      <c r="E86" s="75"/>
      <c r="F86" s="107"/>
      <c r="G86" s="74"/>
      <c r="H86" s="91"/>
      <c r="I86" s="101"/>
      <c r="J86" s="62"/>
      <c r="K86" s="101"/>
    </row>
    <row r="87" spans="1:11" ht="13" x14ac:dyDescent="0.15">
      <c r="A87" s="100"/>
      <c r="B87" s="76"/>
      <c r="C87" s="103"/>
      <c r="D87" s="81"/>
      <c r="E87" s="75"/>
      <c r="F87" s="107"/>
      <c r="G87" s="74"/>
      <c r="H87" s="91"/>
      <c r="I87" s="101"/>
      <c r="J87" s="62"/>
      <c r="K87" s="101"/>
    </row>
    <row r="88" spans="1:11" ht="13" x14ac:dyDescent="0.15">
      <c r="A88" s="100"/>
      <c r="B88" s="76"/>
      <c r="C88" s="83"/>
      <c r="D88" s="81"/>
      <c r="E88" s="74"/>
      <c r="F88" s="104"/>
      <c r="G88" s="74"/>
      <c r="H88" s="96"/>
      <c r="I88" s="79"/>
      <c r="J88" s="62"/>
      <c r="K88" s="101"/>
    </row>
    <row r="89" spans="1:11" ht="13" x14ac:dyDescent="0.15">
      <c r="A89" s="100"/>
      <c r="B89" s="76"/>
      <c r="C89" s="103"/>
      <c r="D89" s="81"/>
      <c r="E89" s="74"/>
      <c r="F89" s="104"/>
      <c r="G89" s="74"/>
      <c r="H89" s="85"/>
      <c r="I89" s="108"/>
      <c r="J89" s="62"/>
      <c r="K89" s="101"/>
    </row>
    <row r="90" spans="1:11" ht="13" x14ac:dyDescent="0.15">
      <c r="A90" s="100"/>
      <c r="B90" s="76"/>
      <c r="C90" s="83"/>
      <c r="D90" s="81"/>
      <c r="E90" s="74"/>
      <c r="F90" s="104"/>
      <c r="G90" s="74"/>
      <c r="H90" s="91"/>
      <c r="I90" s="101"/>
      <c r="J90" s="62"/>
      <c r="K90" s="101"/>
    </row>
    <row r="91" spans="1:11" ht="13" x14ac:dyDescent="0.15">
      <c r="A91" s="100"/>
      <c r="B91" s="76"/>
      <c r="C91" s="83"/>
      <c r="D91" s="81"/>
      <c r="E91" s="74"/>
      <c r="F91" s="104"/>
      <c r="G91" s="74"/>
      <c r="H91" s="91"/>
      <c r="I91" s="101"/>
      <c r="J91" s="62"/>
      <c r="K91" s="101"/>
    </row>
    <row r="92" spans="1:11" ht="13" x14ac:dyDescent="0.15">
      <c r="A92" s="100"/>
      <c r="B92" s="76"/>
      <c r="C92" s="83"/>
      <c r="D92" s="81"/>
      <c r="E92" s="74"/>
      <c r="F92" s="104"/>
      <c r="G92" s="74"/>
      <c r="H92" s="91"/>
      <c r="I92" s="101"/>
      <c r="J92" s="62"/>
      <c r="K92" s="101"/>
    </row>
    <row r="93" spans="1:11" ht="13" x14ac:dyDescent="0.15">
      <c r="A93" s="100"/>
      <c r="B93" s="76"/>
      <c r="C93" s="103"/>
      <c r="D93" s="81"/>
      <c r="E93" s="74"/>
      <c r="F93" s="104"/>
      <c r="G93" s="74"/>
      <c r="H93" s="91"/>
      <c r="I93" s="101"/>
      <c r="J93" s="62"/>
      <c r="K93" s="101"/>
    </row>
    <row r="94" spans="1:11" ht="13" x14ac:dyDescent="0.15">
      <c r="A94" s="100"/>
      <c r="B94" s="76"/>
      <c r="C94" s="2"/>
      <c r="D94" s="81"/>
      <c r="E94" s="74"/>
      <c r="F94" s="104"/>
      <c r="G94" s="74"/>
      <c r="H94" s="86"/>
      <c r="I94" s="77"/>
      <c r="J94" s="101"/>
      <c r="K94" s="101"/>
    </row>
    <row r="95" spans="1:11" ht="13" x14ac:dyDescent="0.15">
      <c r="A95" s="100"/>
      <c r="B95" s="76"/>
      <c r="C95" s="83"/>
      <c r="D95" s="81"/>
      <c r="E95" s="74"/>
      <c r="F95" s="104"/>
      <c r="G95" s="74"/>
      <c r="H95" s="96"/>
      <c r="I95" s="79"/>
      <c r="J95" s="62"/>
      <c r="K95" s="101"/>
    </row>
    <row r="96" spans="1:11" ht="13" x14ac:dyDescent="0.15">
      <c r="A96" s="100"/>
      <c r="B96" s="76"/>
      <c r="C96" s="83"/>
      <c r="D96" s="81"/>
      <c r="E96" s="74"/>
      <c r="F96" s="104"/>
      <c r="G96" s="74"/>
      <c r="H96" s="96"/>
      <c r="I96" s="79"/>
      <c r="J96" s="62"/>
      <c r="K96" s="101"/>
    </row>
    <row r="97" spans="1:11" ht="13" x14ac:dyDescent="0.15">
      <c r="A97" s="100"/>
      <c r="B97" s="76"/>
      <c r="C97" s="103"/>
      <c r="D97" s="81"/>
      <c r="E97" s="74"/>
      <c r="F97" s="104"/>
      <c r="G97" s="74"/>
      <c r="H97" s="109"/>
      <c r="I97" s="108"/>
      <c r="J97" s="62"/>
      <c r="K97" s="101"/>
    </row>
    <row r="98" spans="1:11" ht="13" x14ac:dyDescent="0.15">
      <c r="A98" s="100"/>
      <c r="B98" s="76"/>
      <c r="C98" s="83"/>
      <c r="D98" s="82"/>
      <c r="E98" s="110"/>
      <c r="F98" s="111"/>
      <c r="G98" s="110"/>
      <c r="H98" s="91"/>
      <c r="I98" s="78"/>
      <c r="J98" s="62"/>
      <c r="K98" s="101"/>
    </row>
    <row r="99" spans="1:11" ht="13" x14ac:dyDescent="0.15">
      <c r="A99" s="100"/>
      <c r="B99" s="76"/>
      <c r="C99" s="103"/>
      <c r="D99" s="81"/>
      <c r="E99" s="74"/>
      <c r="F99" s="104"/>
      <c r="G99" s="74"/>
      <c r="H99" s="91"/>
      <c r="I99" s="108"/>
      <c r="J99" s="62"/>
      <c r="K99" s="101"/>
    </row>
    <row r="100" spans="1:11" ht="13" x14ac:dyDescent="0.15">
      <c r="A100" s="100"/>
      <c r="B100" s="76"/>
      <c r="C100" s="83"/>
      <c r="D100" s="81"/>
      <c r="E100" s="74"/>
      <c r="F100" s="104"/>
      <c r="G100" s="74"/>
      <c r="H100" s="91"/>
      <c r="I100" s="101"/>
      <c r="J100" s="62"/>
      <c r="K100" s="101"/>
    </row>
    <row r="101" spans="1:11" ht="13" x14ac:dyDescent="0.15">
      <c r="A101" s="100"/>
      <c r="B101" s="76"/>
      <c r="C101" s="83"/>
      <c r="D101" s="81"/>
      <c r="E101" s="74"/>
      <c r="F101" s="104"/>
      <c r="G101" s="74"/>
      <c r="H101" s="91"/>
      <c r="I101" s="101"/>
      <c r="J101" s="62"/>
      <c r="K101" s="101"/>
    </row>
    <row r="102" spans="1:11" ht="13" x14ac:dyDescent="0.15">
      <c r="A102" s="100"/>
      <c r="B102" s="76"/>
      <c r="C102" s="83"/>
      <c r="D102" s="81"/>
      <c r="E102" s="74"/>
      <c r="F102" s="104"/>
      <c r="G102" s="74"/>
      <c r="H102" s="91"/>
      <c r="I102" s="101"/>
      <c r="J102" s="62"/>
      <c r="K102" s="101"/>
    </row>
    <row r="103" spans="1:11" ht="13" x14ac:dyDescent="0.15">
      <c r="A103" s="100"/>
      <c r="B103" s="76"/>
      <c r="C103" s="83"/>
      <c r="D103" s="81"/>
      <c r="E103" s="74"/>
      <c r="F103" s="104"/>
      <c r="G103" s="74"/>
      <c r="H103" s="91"/>
      <c r="I103" s="101"/>
      <c r="J103" s="62"/>
      <c r="K103" s="101"/>
    </row>
    <row r="104" spans="1:11" ht="13" x14ac:dyDescent="0.15">
      <c r="A104" s="100"/>
      <c r="B104" s="76"/>
      <c r="C104" s="83"/>
      <c r="D104" s="81"/>
      <c r="E104" s="74"/>
      <c r="F104" s="104"/>
      <c r="G104" s="74"/>
      <c r="H104" s="91"/>
      <c r="I104" s="101"/>
      <c r="J104" s="62"/>
      <c r="K104" s="101"/>
    </row>
    <row r="105" spans="1:11" ht="13" x14ac:dyDescent="0.15">
      <c r="A105" s="100"/>
      <c r="B105" s="76"/>
      <c r="C105" s="83"/>
      <c r="D105" s="81"/>
      <c r="E105" s="74"/>
      <c r="F105" s="104"/>
      <c r="G105" s="74"/>
      <c r="H105" s="91"/>
      <c r="I105" s="77"/>
      <c r="J105" s="62"/>
      <c r="K105" s="101"/>
    </row>
    <row r="106" spans="1:11" ht="13" x14ac:dyDescent="0.15">
      <c r="A106" s="100"/>
      <c r="B106" s="76"/>
      <c r="C106" s="83"/>
      <c r="D106" s="81"/>
      <c r="E106" s="74"/>
      <c r="F106" s="104"/>
      <c r="G106" s="74"/>
      <c r="H106" s="91"/>
      <c r="I106" s="108"/>
      <c r="J106" s="62"/>
      <c r="K106" s="101"/>
    </row>
    <row r="107" spans="1:11" ht="13" x14ac:dyDescent="0.15">
      <c r="A107" s="100"/>
      <c r="B107" s="76"/>
      <c r="C107" s="103"/>
      <c r="D107" s="81"/>
      <c r="E107" s="74"/>
      <c r="F107" s="104"/>
      <c r="G107" s="74"/>
      <c r="H107" s="91"/>
      <c r="I107" s="101"/>
      <c r="J107" s="62"/>
      <c r="K107" s="101"/>
    </row>
    <row r="108" spans="1:11" ht="13" x14ac:dyDescent="0.15">
      <c r="A108" s="100"/>
      <c r="B108" s="76"/>
      <c r="C108" s="103"/>
      <c r="D108" s="81"/>
      <c r="E108" s="74"/>
      <c r="F108" s="104"/>
      <c r="G108" s="74"/>
      <c r="H108" s="91"/>
      <c r="I108" s="101"/>
      <c r="J108" s="62"/>
      <c r="K108" s="101"/>
    </row>
    <row r="109" spans="1:11" ht="13" x14ac:dyDescent="0.15">
      <c r="A109" s="100"/>
      <c r="B109" s="76"/>
      <c r="C109" s="103"/>
      <c r="D109" s="81"/>
      <c r="E109" s="74"/>
      <c r="F109" s="104"/>
      <c r="G109" s="74"/>
      <c r="H109" s="91"/>
      <c r="I109" s="101"/>
      <c r="J109" s="62"/>
      <c r="K109" s="101"/>
    </row>
    <row r="110" spans="1:11" ht="13" x14ac:dyDescent="0.15">
      <c r="A110" s="100"/>
      <c r="B110" s="76"/>
      <c r="C110" s="103"/>
      <c r="D110" s="81"/>
      <c r="E110" s="74"/>
      <c r="F110" s="104"/>
      <c r="G110" s="74"/>
      <c r="H110" s="91"/>
      <c r="I110" s="101"/>
      <c r="J110" s="62"/>
      <c r="K110" s="101"/>
    </row>
    <row r="111" spans="1:11" ht="13" x14ac:dyDescent="0.15">
      <c r="A111" s="100"/>
      <c r="B111" s="76"/>
      <c r="C111" s="103"/>
      <c r="D111" s="81"/>
      <c r="E111" s="74"/>
      <c r="F111" s="104"/>
      <c r="G111" s="74"/>
      <c r="H111" s="91"/>
      <c r="I111" s="101"/>
      <c r="J111" s="62"/>
      <c r="K111" s="101"/>
    </row>
    <row r="112" spans="1:11" ht="13" x14ac:dyDescent="0.15">
      <c r="A112" s="100"/>
      <c r="B112" s="76"/>
      <c r="C112" s="103"/>
      <c r="D112" s="81"/>
      <c r="E112" s="74"/>
      <c r="F112" s="104"/>
      <c r="G112" s="74"/>
      <c r="H112" s="91"/>
      <c r="I112" s="78"/>
      <c r="J112" s="62"/>
      <c r="K112" s="101"/>
    </row>
    <row r="113" spans="1:11" ht="13" x14ac:dyDescent="0.15">
      <c r="A113" s="100"/>
      <c r="B113" s="76"/>
      <c r="C113" s="83"/>
      <c r="D113" s="81"/>
      <c r="E113" s="74"/>
      <c r="F113" s="104"/>
      <c r="G113" s="74"/>
      <c r="H113" s="91"/>
      <c r="I113" s="108"/>
      <c r="J113" s="62"/>
      <c r="K113" s="101"/>
    </row>
    <row r="114" spans="1:11" ht="13" x14ac:dyDescent="0.15">
      <c r="A114" s="100"/>
      <c r="B114" s="76"/>
      <c r="C114" s="2"/>
      <c r="D114" s="81"/>
      <c r="E114" s="74"/>
      <c r="F114" s="104"/>
      <c r="G114" s="74"/>
      <c r="H114" s="91"/>
      <c r="I114" s="77"/>
      <c r="J114" s="62"/>
      <c r="K114" s="101"/>
    </row>
    <row r="115" spans="1:11" ht="13" x14ac:dyDescent="0.15">
      <c r="A115" s="100"/>
      <c r="B115" s="76"/>
      <c r="C115" s="83"/>
      <c r="D115" s="81"/>
      <c r="E115" s="74"/>
      <c r="F115" s="104"/>
      <c r="G115" s="74"/>
      <c r="H115" s="91"/>
      <c r="I115" s="77"/>
      <c r="J115" s="62"/>
      <c r="K115" s="101"/>
    </row>
    <row r="116" spans="1:11" ht="13" x14ac:dyDescent="0.15">
      <c r="A116" s="100"/>
      <c r="B116" s="76"/>
      <c r="C116" s="2"/>
      <c r="D116" s="81"/>
      <c r="E116" s="74"/>
      <c r="F116" s="104"/>
      <c r="G116" s="74"/>
      <c r="H116" s="91"/>
      <c r="I116" s="77"/>
      <c r="J116" s="62"/>
      <c r="K116" s="101"/>
    </row>
    <row r="117" spans="1:11" ht="13" x14ac:dyDescent="0.15">
      <c r="A117" s="100"/>
      <c r="B117" s="76"/>
      <c r="C117" s="83"/>
      <c r="D117" s="81"/>
      <c r="E117" s="74"/>
      <c r="F117" s="104"/>
      <c r="G117" s="74"/>
      <c r="H117" s="91"/>
      <c r="I117" s="108"/>
      <c r="J117" s="62"/>
      <c r="K117" s="101"/>
    </row>
    <row r="118" spans="1:11" ht="13" x14ac:dyDescent="0.15">
      <c r="A118" s="100"/>
      <c r="B118" s="76"/>
      <c r="C118" s="83"/>
      <c r="D118" s="81"/>
      <c r="E118" s="74"/>
      <c r="F118" s="104"/>
      <c r="G118" s="74"/>
      <c r="H118" s="91"/>
      <c r="I118" s="77"/>
      <c r="J118" s="62"/>
      <c r="K118" s="101"/>
    </row>
    <row r="119" spans="1:11" ht="13" x14ac:dyDescent="0.15">
      <c r="A119" s="100"/>
      <c r="B119" s="76"/>
      <c r="C119" s="83"/>
      <c r="D119" s="81"/>
      <c r="E119" s="74"/>
      <c r="F119" s="104"/>
      <c r="G119" s="74"/>
      <c r="H119" s="91"/>
      <c r="I119" s="77"/>
      <c r="J119" s="101"/>
      <c r="K119" s="101"/>
    </row>
    <row r="120" spans="1:11" ht="13" x14ac:dyDescent="0.15">
      <c r="A120" s="100"/>
      <c r="B120" s="76"/>
      <c r="C120" s="83"/>
      <c r="D120" s="81"/>
      <c r="E120" s="74"/>
      <c r="F120" s="104"/>
      <c r="G120" s="74"/>
      <c r="H120" s="91"/>
      <c r="I120" s="108"/>
      <c r="J120" s="101"/>
      <c r="K120" s="101"/>
    </row>
    <row r="121" spans="1:11" ht="13" x14ac:dyDescent="0.15">
      <c r="A121" s="100"/>
      <c r="B121" s="76"/>
      <c r="C121" s="83"/>
      <c r="D121" s="87"/>
      <c r="E121" s="75"/>
      <c r="F121" s="75"/>
      <c r="G121" s="88"/>
      <c r="H121" s="109"/>
      <c r="I121" s="101"/>
      <c r="J121" s="101"/>
      <c r="K121" s="101"/>
    </row>
    <row r="122" spans="1:11" ht="13" x14ac:dyDescent="0.15">
      <c r="A122" s="100"/>
      <c r="B122" s="76"/>
      <c r="C122" s="83"/>
      <c r="D122" s="82"/>
      <c r="E122" s="110"/>
      <c r="F122" s="111"/>
      <c r="G122" s="110"/>
      <c r="H122" s="91"/>
      <c r="I122" s="101"/>
      <c r="J122" s="101"/>
      <c r="K122" s="101"/>
    </row>
    <row r="123" spans="1:11" ht="13" x14ac:dyDescent="0.15">
      <c r="A123" s="100"/>
      <c r="B123" s="76"/>
      <c r="C123" s="83"/>
      <c r="D123" s="87"/>
      <c r="E123" s="75"/>
      <c r="F123" s="75"/>
      <c r="G123" s="88"/>
      <c r="H123" s="109"/>
      <c r="I123" s="101"/>
      <c r="J123" s="101"/>
      <c r="K123" s="101"/>
    </row>
    <row r="124" spans="1:11" ht="13" x14ac:dyDescent="0.15">
      <c r="A124" s="100"/>
      <c r="B124" s="76"/>
      <c r="C124" s="83"/>
      <c r="D124" s="82"/>
      <c r="E124" s="110"/>
      <c r="F124" s="111"/>
      <c r="G124" s="110"/>
      <c r="H124" s="91"/>
      <c r="I124" s="101"/>
      <c r="J124" s="101"/>
      <c r="K124" s="101"/>
    </row>
    <row r="125" spans="1:11" ht="13" x14ac:dyDescent="0.15">
      <c r="A125" s="100"/>
      <c r="B125" s="76"/>
      <c r="C125" s="83"/>
      <c r="D125" s="81"/>
      <c r="E125" s="74"/>
      <c r="F125" s="104"/>
      <c r="G125" s="74"/>
      <c r="H125" s="91"/>
      <c r="I125" s="101"/>
      <c r="J125" s="101"/>
      <c r="K125" s="101"/>
    </row>
    <row r="126" spans="1:11" ht="13" x14ac:dyDescent="0.15">
      <c r="A126" s="100"/>
      <c r="B126" s="76"/>
      <c r="C126" s="83"/>
      <c r="D126" s="81"/>
      <c r="E126" s="74"/>
      <c r="F126" s="104"/>
      <c r="G126" s="74"/>
      <c r="H126" s="91"/>
      <c r="I126" s="101"/>
      <c r="J126" s="101"/>
      <c r="K126" s="101"/>
    </row>
    <row r="127" spans="1:11" ht="13" x14ac:dyDescent="0.15">
      <c r="A127" s="100"/>
      <c r="B127" s="76"/>
      <c r="C127" s="83"/>
      <c r="D127" s="81"/>
      <c r="E127" s="74"/>
      <c r="F127" s="104"/>
      <c r="G127" s="74"/>
      <c r="H127" s="91"/>
      <c r="I127" s="101"/>
      <c r="J127" s="101"/>
      <c r="K127" s="101"/>
    </row>
    <row r="128" spans="1:11" ht="13" x14ac:dyDescent="0.15">
      <c r="A128" s="100"/>
      <c r="B128" s="76"/>
      <c r="C128" s="83"/>
      <c r="D128" s="81"/>
      <c r="E128" s="74"/>
      <c r="F128" s="104"/>
      <c r="G128" s="74"/>
      <c r="H128" s="91"/>
      <c r="I128" s="101"/>
      <c r="J128" s="101"/>
      <c r="K128" s="101"/>
    </row>
    <row r="129" spans="1:11" ht="13" x14ac:dyDescent="0.15">
      <c r="A129" s="100"/>
      <c r="B129" s="76"/>
      <c r="C129" s="83"/>
      <c r="D129" s="81"/>
      <c r="E129" s="74"/>
      <c r="F129" s="104"/>
      <c r="G129" s="74"/>
      <c r="H129" s="91"/>
      <c r="I129" s="101"/>
      <c r="J129" s="101"/>
      <c r="K129" s="101"/>
    </row>
    <row r="130" spans="1:11" ht="13" x14ac:dyDescent="0.15">
      <c r="A130" s="100"/>
      <c r="B130" s="76"/>
      <c r="C130" s="2"/>
      <c r="D130" s="81"/>
      <c r="E130" s="74"/>
      <c r="F130" s="104"/>
      <c r="G130" s="74"/>
      <c r="H130" s="91"/>
      <c r="I130" s="84"/>
      <c r="J130" s="101"/>
      <c r="K130" s="101"/>
    </row>
    <row r="131" spans="1:11" ht="13" x14ac:dyDescent="0.15">
      <c r="A131" s="100"/>
      <c r="B131" s="76"/>
      <c r="C131" s="83"/>
      <c r="D131" s="81"/>
      <c r="E131" s="74"/>
      <c r="F131" s="104"/>
      <c r="G131" s="74"/>
      <c r="H131" s="91"/>
      <c r="I131" s="108"/>
      <c r="J131" s="101"/>
      <c r="K131" s="101"/>
    </row>
  </sheetData>
  <conditionalFormatting sqref="A38:A41">
    <cfRule type="expression" dxfId="53" priority="37" stopIfTrue="1">
      <formula>($G38="Fail")</formula>
    </cfRule>
    <cfRule type="expression" dxfId="52" priority="38" stopIfTrue="1">
      <formula>($G38="Pass")</formula>
    </cfRule>
  </conditionalFormatting>
  <conditionalFormatting sqref="A42:B43 B44:D52 A44:A58 D53:D56 C57:D58">
    <cfRule type="expression" dxfId="51" priority="56" stopIfTrue="1">
      <formula>($G42="Pass")</formula>
    </cfRule>
    <cfRule type="expression" dxfId="50" priority="55" stopIfTrue="1">
      <formula>($G42="Fail")</formula>
    </cfRule>
  </conditionalFormatting>
  <conditionalFormatting sqref="A60:D65 C66:D66 A66:A131 B67:D68 C69:D70">
    <cfRule type="expression" dxfId="49" priority="40" stopIfTrue="1">
      <formula>($G60="Pass")</formula>
    </cfRule>
    <cfRule type="expression" dxfId="48" priority="39" stopIfTrue="1">
      <formula>($G60="Fail")</formula>
    </cfRule>
  </conditionalFormatting>
  <conditionalFormatting sqref="A21:G37">
    <cfRule type="expression" dxfId="47" priority="2" stopIfTrue="1">
      <formula>($G21="Pass")</formula>
    </cfRule>
    <cfRule type="expression" dxfId="46" priority="1" stopIfTrue="1">
      <formula>($G21="Fail")</formula>
    </cfRule>
  </conditionalFormatting>
  <conditionalFormatting sqref="A59:G59">
    <cfRule type="expression" dxfId="45" priority="3" stopIfTrue="1">
      <formula>($G59="Fail")</formula>
    </cfRule>
    <cfRule type="expression" dxfId="44" priority="4" stopIfTrue="1">
      <formula>($G59="Pass")</formula>
    </cfRule>
  </conditionalFormatting>
  <conditionalFormatting sqref="B13">
    <cfRule type="expression" dxfId="43" priority="88" stopIfTrue="1">
      <formula>($G13="Pass")</formula>
    </cfRule>
    <cfRule type="expression" dxfId="42" priority="87" stopIfTrue="1">
      <formula>($G13="Fail")</formula>
    </cfRule>
    <cfRule type="expression" dxfId="41" priority="86" stopIfTrue="1">
      <formula>($G13="Pass")</formula>
    </cfRule>
    <cfRule type="expression" dxfId="40" priority="85" stopIfTrue="1">
      <formula>($G13="Fail")</formula>
    </cfRule>
  </conditionalFormatting>
  <conditionalFormatting sqref="B13:B15">
    <cfRule type="expression" dxfId="39" priority="80" stopIfTrue="1">
      <formula>($G13="Pass")</formula>
    </cfRule>
    <cfRule type="expression" dxfId="38" priority="79" stopIfTrue="1">
      <formula>($G13="Fail")</formula>
    </cfRule>
  </conditionalFormatting>
  <conditionalFormatting sqref="B13:B20">
    <cfRule type="expression" dxfId="37" priority="96" stopIfTrue="1">
      <formula>($G13="Pass")</formula>
    </cfRule>
    <cfRule type="expression" dxfId="36" priority="95" stopIfTrue="1">
      <formula>($G13="Fail")</formula>
    </cfRule>
  </conditionalFormatting>
  <conditionalFormatting sqref="B53:B58">
    <cfRule type="expression" dxfId="35" priority="46" stopIfTrue="1">
      <formula>($G53="Pass")</formula>
    </cfRule>
    <cfRule type="expression" dxfId="34" priority="45" stopIfTrue="1">
      <formula>($G53="Fail")</formula>
    </cfRule>
  </conditionalFormatting>
  <conditionalFormatting sqref="B66">
    <cfRule type="expression" dxfId="33" priority="41" stopIfTrue="1">
      <formula>($G69="Fail")</formula>
    </cfRule>
    <cfRule type="expression" dxfId="32" priority="42" stopIfTrue="1">
      <formula>($G69="Pass")</formula>
    </cfRule>
  </conditionalFormatting>
  <conditionalFormatting sqref="B69">
    <cfRule type="expression" dxfId="31" priority="9" stopIfTrue="1">
      <formula>($G69="Fail")</formula>
    </cfRule>
    <cfRule type="expression" dxfId="30" priority="10" stopIfTrue="1">
      <formula>($G69="Pass")</formula>
    </cfRule>
  </conditionalFormatting>
  <conditionalFormatting sqref="B38:C39">
    <cfRule type="expression" dxfId="29" priority="64" stopIfTrue="1">
      <formula>($G38="Pass")</formula>
    </cfRule>
    <cfRule type="expression" dxfId="28" priority="63" stopIfTrue="1">
      <formula>($G38="Fail")</formula>
    </cfRule>
  </conditionalFormatting>
  <conditionalFormatting sqref="B41:C41">
    <cfRule type="expression" dxfId="27" priority="32" stopIfTrue="1">
      <formula>($G41="Pass")</formula>
    </cfRule>
    <cfRule type="expression" dxfId="26" priority="31" stopIfTrue="1">
      <formula>($G41="Fail")</formula>
    </cfRule>
  </conditionalFormatting>
  <conditionalFormatting sqref="B40:F40">
    <cfRule type="expression" dxfId="25" priority="20" stopIfTrue="1">
      <formula>($G40="Pass")</formula>
    </cfRule>
    <cfRule type="expression" dxfId="24" priority="19" stopIfTrue="1">
      <formula>($G40="Fail")</formula>
    </cfRule>
  </conditionalFormatting>
  <conditionalFormatting sqref="C42">
    <cfRule type="expression" dxfId="23" priority="53" stopIfTrue="1">
      <formula>($G40="Fail")</formula>
    </cfRule>
    <cfRule type="expression" dxfId="22" priority="54" stopIfTrue="1">
      <formula>($G40="Pass")</formula>
    </cfRule>
  </conditionalFormatting>
  <conditionalFormatting sqref="C43">
    <cfRule type="expression" dxfId="21" priority="51" stopIfTrue="1">
      <formula>($G42="Fail")</formula>
    </cfRule>
    <cfRule type="expression" dxfId="20" priority="52" stopIfTrue="1">
      <formula>($G42="Pass")</formula>
    </cfRule>
  </conditionalFormatting>
  <conditionalFormatting sqref="C53">
    <cfRule type="expression" dxfId="19" priority="49" stopIfTrue="1">
      <formula>($G53="Fail")</formula>
    </cfRule>
    <cfRule type="expression" dxfId="18" priority="50" stopIfTrue="1">
      <formula>($G53="Pass")</formula>
    </cfRule>
  </conditionalFormatting>
  <conditionalFormatting sqref="C54">
    <cfRule type="expression" dxfId="17" priority="57" stopIfTrue="1">
      <formula>($G53="Fail")</formula>
    </cfRule>
    <cfRule type="expression" dxfId="16" priority="58" stopIfTrue="1">
      <formula>($G53="Pass")</formula>
    </cfRule>
  </conditionalFormatting>
  <conditionalFormatting sqref="C56">
    <cfRule type="expression" dxfId="13" priority="48" stopIfTrue="1">
      <formula>($G56="Pass")</formula>
    </cfRule>
    <cfRule type="expression" dxfId="12" priority="47" stopIfTrue="1">
      <formula>($G56="Fail")</formula>
    </cfRule>
  </conditionalFormatting>
  <conditionalFormatting sqref="D41:D43">
    <cfRule type="expression" dxfId="11" priority="18" stopIfTrue="1">
      <formula>($G41="Pass")</formula>
    </cfRule>
    <cfRule type="expression" dxfId="10" priority="17" stopIfTrue="1">
      <formula>($G41="Fail")</formula>
    </cfRule>
  </conditionalFormatting>
  <conditionalFormatting sqref="D38:F38">
    <cfRule type="expression" dxfId="9" priority="29" stopIfTrue="1">
      <formula>($G38="Fail")</formula>
    </cfRule>
    <cfRule type="expression" dxfId="8" priority="30" stopIfTrue="1">
      <formula>($G38="Pass")</formula>
    </cfRule>
  </conditionalFormatting>
  <conditionalFormatting sqref="E42:G58">
    <cfRule type="expression" dxfId="7" priority="6" stopIfTrue="1">
      <formula>($G42="Pass")</formula>
    </cfRule>
    <cfRule type="expression" dxfId="6" priority="5" stopIfTrue="1">
      <formula>($G42="Fail")</formula>
    </cfRule>
  </conditionalFormatting>
  <conditionalFormatting sqref="E60:G70">
    <cfRule type="expression" dxfId="5" priority="12" stopIfTrue="1">
      <formula>($G60="Pass")</formula>
    </cfRule>
    <cfRule type="expression" dxfId="4" priority="11" stopIfTrue="1">
      <formula>($G60="Fail")</formula>
    </cfRule>
  </conditionalFormatting>
  <conditionalFormatting sqref="G2:G6 A2:A20 D13:D20">
    <cfRule type="expression" dxfId="3" priority="103" stopIfTrue="1">
      <formula>($G2="Fail")</formula>
    </cfRule>
    <cfRule type="expression" dxfId="2" priority="104" stopIfTrue="1">
      <formula>($G2="Pass")</formula>
    </cfRule>
  </conditionalFormatting>
  <conditionalFormatting sqref="G38:G41">
    <cfRule type="expression" dxfId="1" priority="21" stopIfTrue="1">
      <formula>($G38="Fail")</formula>
    </cfRule>
    <cfRule type="expression" dxfId="0" priority="22" stopIfTrue="1">
      <formula>($G38="Pass")</formula>
    </cfRule>
  </conditionalFormatting>
  <dataValidations count="1">
    <dataValidation type="list" allowBlank="1" showInputMessage="1" showErrorMessage="1" sqref="G122 G124:G131 G1:G120" xr:uid="{7C952D86-1997-4A61-A121-77B158615793}">
      <formula1>statuslist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9" stopIfTrue="1" id="{18021B9E-2512-4986-95CD-91ABA9A402B4}">
            <xm:f>('Sheet 3'!#REF!="Fail")</xm:f>
            <x14:dxf>
              <fill>
                <patternFill>
                  <bgColor rgb="FFFF0000"/>
                </patternFill>
              </fill>
            </x14:dxf>
          </x14:cfRule>
          <x14:cfRule type="expression" priority="60" stopIfTrue="1" id="{C9E56EB7-AAD6-4BF0-AD7D-EEBA03EAACB6}">
            <xm:f>('Sheet 3'!#REF!="Pass")</xm:f>
            <x14:dxf>
              <fill>
                <patternFill>
                  <bgColor rgb="FF92D050"/>
                </patternFill>
              </fill>
            </x14:dxf>
          </x14:cfRule>
          <xm:sqref>C55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b19dd56-76cb-4eb4-b732-a7bb000555f0">
      <Terms xmlns="http://schemas.microsoft.com/office/infopath/2007/PartnerControls"/>
    </lcf76f155ced4ddcb4097134ff3c332f>
    <TaxCatchAll xmlns="ebdbc82e-63f9-47eb-a0fa-eea99640aad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91018EFE0A11B46BC00528705C7D237" ma:contentTypeVersion="11" ma:contentTypeDescription="Create a new document." ma:contentTypeScope="" ma:versionID="ebd95197068452cd797f884c5117886c">
  <xsd:schema xmlns:xsd="http://www.w3.org/2001/XMLSchema" xmlns:xs="http://www.w3.org/2001/XMLSchema" xmlns:p="http://schemas.microsoft.com/office/2006/metadata/properties" xmlns:ns2="3b19dd56-76cb-4eb4-b732-a7bb000555f0" xmlns:ns3="ebdbc82e-63f9-47eb-a0fa-eea99640aad4" targetNamespace="http://schemas.microsoft.com/office/2006/metadata/properties" ma:root="true" ma:fieldsID="809e2cf2ae4bdbed8a1475751fc0abb6" ns2:_="" ns3:_="">
    <xsd:import namespace="3b19dd56-76cb-4eb4-b732-a7bb000555f0"/>
    <xsd:import namespace="ebdbc82e-63f9-47eb-a0fa-eea99640aad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19dd56-76cb-4eb4-b732-a7bb000555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89a9150-bad4-4178-8bcd-3c9db978f2f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dbc82e-63f9-47eb-a0fa-eea99640aad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5decce5-a108-44dd-abf9-6ec4b94ec2bf}" ma:internalName="TaxCatchAll" ma:showField="CatchAllData" ma:web="ebdbc82e-63f9-47eb-a0fa-eea99640aa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1E644B2-2559-4456-96E7-5EC72762DBD4}">
  <ds:schemaRefs>
    <ds:schemaRef ds:uri="http://schemas.microsoft.com/office/2006/metadata/properties"/>
    <ds:schemaRef ds:uri="http://schemas.microsoft.com/office/infopath/2007/PartnerControls"/>
    <ds:schemaRef ds:uri="3b19dd56-76cb-4eb4-b732-a7bb000555f0"/>
    <ds:schemaRef ds:uri="ebdbc82e-63f9-47eb-a0fa-eea99640aad4"/>
  </ds:schemaRefs>
</ds:datastoreItem>
</file>

<file path=customXml/itemProps2.xml><?xml version="1.0" encoding="utf-8"?>
<ds:datastoreItem xmlns:ds="http://schemas.openxmlformats.org/officeDocument/2006/customXml" ds:itemID="{E096DA9E-5C82-4128-9F1B-83301BE308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b19dd56-76cb-4eb4-b732-a7bb000555f0"/>
    <ds:schemaRef ds:uri="ebdbc82e-63f9-47eb-a0fa-eea99640aa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E8101D3-AA49-4B42-B1EF-353911782D2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Version Control</vt:lpstr>
      <vt:lpstr>Summary</vt:lpstr>
      <vt:lpstr>DS and Optimisation</vt:lpstr>
      <vt:lpstr>Sheet 2</vt:lpstr>
      <vt:lpstr>Sheet 3</vt:lpstr>
      <vt:lpstr>Sheet 4</vt:lpstr>
      <vt:lpstr>Validation</vt:lpstr>
      <vt:lpstr>Defects</vt:lpstr>
      <vt:lpstr>Sheet1</vt:lpstr>
      <vt:lpstr>OVERALL</vt:lpstr>
      <vt:lpstr>defect</vt:lpstr>
      <vt:lpstr>statuslist</vt:lpstr>
    </vt:vector>
  </TitlesOfParts>
  <Manager/>
  <Company>Capgemini Energy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Registered User</dc:creator>
  <cp:keywords/>
  <dc:description/>
  <cp:lastModifiedBy>Watkin, David</cp:lastModifiedBy>
  <cp:revision/>
  <dcterms:created xsi:type="dcterms:W3CDTF">2011-01-31T16:58:54Z</dcterms:created>
  <dcterms:modified xsi:type="dcterms:W3CDTF">2026-05-21T12:53:04Z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TitusGUID">
    <vt:lpwstr>bb16a51d-3ae1-4ba0-91b9-9bf85ed982df</vt:lpwstr>
  </property>
  <property fmtid="{D5CDD505-2E9C-101B-9397-08002B2CF9AE}" pid="4" name="Description0">
    <vt:lpwstr/>
  </property>
  <property fmtid="{D5CDD505-2E9C-101B-9397-08002B2CF9AE}" pid="5" name="aliashDocumentMarking">
    <vt:lpwstr>Serco Internal/Serco Internal/Serco Internal</vt:lpwstr>
  </property>
  <property fmtid="{D5CDD505-2E9C-101B-9397-08002B2CF9AE}" pid="6" name="SercoClassification">
    <vt:lpwstr>Serco Internal</vt:lpwstr>
  </property>
  <property fmtid="{D5CDD505-2E9C-101B-9397-08002B2CF9AE}" pid="7" name="ContentTypeId">
    <vt:lpwstr>0x010100091018EFE0A11B46BC00528705C7D237</vt:lpwstr>
  </property>
  <property fmtid="{D5CDD505-2E9C-101B-9397-08002B2CF9AE}" pid="8" name="lcf76f155ced4ddcb4097134ff3c332f">
    <vt:lpwstr/>
  </property>
  <property fmtid="{D5CDD505-2E9C-101B-9397-08002B2CF9AE}" pid="9" name="Status">
    <vt:lpwstr/>
  </property>
  <property fmtid="{D5CDD505-2E9C-101B-9397-08002B2CF9AE}" pid="10" name="TaxCatchAll">
    <vt:lpwstr/>
  </property>
  <property fmtid="{D5CDD505-2E9C-101B-9397-08002B2CF9AE}" pid="11" name="MSIP_Label_cb1078a2-f269-44fb-b0f1-6cfa8af2e442_Enabled">
    <vt:lpwstr>true</vt:lpwstr>
  </property>
  <property fmtid="{D5CDD505-2E9C-101B-9397-08002B2CF9AE}" pid="12" name="MSIP_Label_cb1078a2-f269-44fb-b0f1-6cfa8af2e442_SetDate">
    <vt:lpwstr>2024-10-28T12:48:34Z</vt:lpwstr>
  </property>
  <property fmtid="{D5CDD505-2E9C-101B-9397-08002B2CF9AE}" pid="13" name="MSIP_Label_cb1078a2-f269-44fb-b0f1-6cfa8af2e442_Method">
    <vt:lpwstr>Privileged</vt:lpwstr>
  </property>
  <property fmtid="{D5CDD505-2E9C-101B-9397-08002B2CF9AE}" pid="14" name="MSIP_Label_cb1078a2-f269-44fb-b0f1-6cfa8af2e442_Name">
    <vt:lpwstr>cb1078a2-f269-44fb-b0f1-6cfa8af2e442</vt:lpwstr>
  </property>
  <property fmtid="{D5CDD505-2E9C-101B-9397-08002B2CF9AE}" pid="15" name="MSIP_Label_cb1078a2-f269-44fb-b0f1-6cfa8af2e442_SiteId">
    <vt:lpwstr>f93616dd-45a6-40c8-9e29-adab2fb5f25c</vt:lpwstr>
  </property>
  <property fmtid="{D5CDD505-2E9C-101B-9397-08002B2CF9AE}" pid="16" name="MSIP_Label_cb1078a2-f269-44fb-b0f1-6cfa8af2e442_ActionId">
    <vt:lpwstr>d860ce58-b38a-4d0b-98b9-6dc1f6a94fc3</vt:lpwstr>
  </property>
  <property fmtid="{D5CDD505-2E9C-101B-9397-08002B2CF9AE}" pid="17" name="MSIP_Label_cb1078a2-f269-44fb-b0f1-6cfa8af2e442_ContentBits">
    <vt:lpwstr>1</vt:lpwstr>
  </property>
  <property fmtid="{D5CDD505-2E9C-101B-9397-08002B2CF9AE}" pid="18" name="MediaServiceImageTags">
    <vt:lpwstr/>
  </property>
</Properties>
</file>